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filterPrivacy="1" autoCompressPictures="0" defaultThemeVersion="124226"/>
  <xr:revisionPtr revIDLastSave="0" documentId="8_{4CCB712B-3719-FE4E-A9E8-524044FD3423}" xr6:coauthVersionLast="47" xr6:coauthVersionMax="47" xr10:uidLastSave="{00000000-0000-0000-0000-000000000000}"/>
  <bookViews>
    <workbookView xWindow="0" yWindow="760" windowWidth="30240" windowHeight="17580" tabRatio="814" activeTab="5" xr2:uid="{00000000-000D-0000-FFFF-FFFF00000000}"/>
  </bookViews>
  <sheets>
    <sheet name="Amenag, Infrastr et Equipemt " sheetId="7" r:id="rId1"/>
    <sheet name="Mat bureau &amp; Mat roulants" sheetId="18" r:id="rId2"/>
    <sheet name="Salaires &amp; Avantages" sheetId="2" r:id="rId3"/>
    <sheet name="Exploitation" sheetId="12" r:id="rId4"/>
    <sheet name="Diverses charges immobilisées" sheetId="19" r:id="rId5"/>
    <sheet name="Amort technique" sheetId="20" r:id="rId6"/>
    <sheet name="Coûts de product° Agricole" sheetId="29" r:id="rId7"/>
    <sheet name="Matière 1é &amp; fourni Agriculture" sheetId="27" r:id="rId8"/>
    <sheet name="CA Agriculture" sheetId="28" r:id="rId9"/>
    <sheet name="Matière 1é &amp; fourni Elevage" sheetId="11" r:id="rId10"/>
    <sheet name="CA Elevage" sheetId="1" r:id="rId11"/>
    <sheet name="CRP" sheetId="15" r:id="rId12"/>
    <sheet name="Schéma de financement" sheetId="24" r:id="rId13"/>
    <sheet name="Amort pret" sheetId="25" r:id="rId14"/>
    <sheet name="Impots et taxes" sheetId="22" r:id="rId15"/>
    <sheet name="BFR" sheetId="21" r:id="rId16"/>
    <sheet name="Coût" sheetId="23" r:id="rId17"/>
    <sheet name="Activités" sheetId="17" r:id="rId18"/>
    <sheet name="Feuil2" sheetId="26" r:id="rId19"/>
  </sheets>
  <externalReferences>
    <externalReference r:id="rId20"/>
    <externalReference r:id="rId21"/>
  </externalReferences>
  <definedNames>
    <definedName name="Début_Prêt">'[1]Plan d''amortissement'!$D$9</definedName>
    <definedName name="Dernière_Ligne" localSheetId="8">IF('CA Agriculture'!Valeurs_Entrées,Ligne_EnTête+'CA Agriculture'!Nbre_de_Paiements,Ligne_EnTête)</definedName>
    <definedName name="Dernière_Ligne" localSheetId="7">IF('Matière 1é &amp; fourni Agriculture'!Valeurs_Entrées,Ligne_EnTête+'Matière 1é &amp; fourni Agriculture'!Nbre_de_Paiements,Ligne_EnTête)</definedName>
    <definedName name="Dernière_Ligne">IF(Valeurs_Entrées,Ligne_EnTête+Nbre_de_Paiements,Ligne_EnTête)</definedName>
    <definedName name="Durée_Prêt">'[1]Plan d''amortissement'!$D$7</definedName>
    <definedName name="Ent">#REF!</definedName>
    <definedName name="Ligne_EnTête">ROW('[1]Plan d''amortissement'!$17:$17)</definedName>
    <definedName name="Montant_Prêt">'[1]Plan d''amortissement'!$D$5</definedName>
    <definedName name="Nbre_de_Paiements" localSheetId="8">MATCH(0.01,Solde_Final,-1)+1</definedName>
    <definedName name="Nbre_de_Paiements" localSheetId="7">MATCH(0.01,Solde_Final,-1)+1</definedName>
    <definedName name="Nbre_de_Paiements">MATCH(0.01,Solde_Final,-1)+1</definedName>
    <definedName name="Nbre_Pmt">#REF!</definedName>
    <definedName name="Nbre_Pmt_Par_An" localSheetId="8">#REF!</definedName>
    <definedName name="Nbre_Pmt_Par_An">#REF!</definedName>
    <definedName name="Pmt_Mensuel_Programmé" localSheetId="8">#REF!</definedName>
    <definedName name="Pmt_Mensuel_Programmé">#REF!</definedName>
    <definedName name="Pmt_Programmé" localSheetId="8">#REF!</definedName>
    <definedName name="Pmt_Programmé">#REF!</definedName>
    <definedName name="Pmt_Supplémentaire" localSheetId="8">#REF!</definedName>
    <definedName name="Pmt_Supplémentaire">#REF!</definedName>
    <definedName name="Pmt_Total" localSheetId="8">#REF!</definedName>
    <definedName name="Pmt_Total">#REF!</definedName>
    <definedName name="Pmts_Supplémentaires_Programmés" localSheetId="8">#REF!</definedName>
    <definedName name="Pmts_Supplémentaires_Programmés">#REF!</definedName>
    <definedName name="Princ" localSheetId="8">#REF!</definedName>
    <definedName name="Princ">#REF!</definedName>
    <definedName name="Solde_Départ" localSheetId="8">#REF!</definedName>
    <definedName name="Solde_Départ">#REF!</definedName>
    <definedName name="Solde_Final">'[1]Plan d''amortissement'!$I$18:$I$497</definedName>
    <definedName name="Taux_Intérêt">'[1]Plan d''amortissement'!$D$6</definedName>
    <definedName name="Valeurs_Entrées" localSheetId="8">IF(Montant_Prêt*Taux_Intérêt*Durée_Prêt*Début_Prêt&gt;0,1,0)</definedName>
    <definedName name="Valeurs_Entrées" localSheetId="7">IF(Montant_Prêt*Taux_Intérêt*Durée_Prêt*Début_Prêt&gt;0,1,0)</definedName>
    <definedName name="Valeurs_Entrées">IF(Montant_Prêt*Taux_Intérêt*Durée_Prêt*Début_Prêt&gt;0,1,0)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5" l="1"/>
  <c r="K29" i="15"/>
  <c r="K25" i="15"/>
  <c r="K20" i="15"/>
  <c r="K19" i="15"/>
  <c r="K14" i="15"/>
  <c r="K12" i="15"/>
  <c r="K11" i="15"/>
  <c r="K9" i="15"/>
  <c r="K8" i="15"/>
  <c r="K6" i="15"/>
  <c r="K5" i="15"/>
  <c r="J30" i="15"/>
  <c r="J29" i="15"/>
  <c r="J25" i="15"/>
  <c r="J20" i="15"/>
  <c r="J19" i="15"/>
  <c r="J14" i="15"/>
  <c r="J12" i="15"/>
  <c r="J11" i="15"/>
  <c r="J9" i="15"/>
  <c r="J8" i="15"/>
  <c r="J6" i="15"/>
  <c r="J5" i="15"/>
  <c r="I14" i="15"/>
  <c r="I12" i="15"/>
  <c r="I11" i="15"/>
  <c r="I15" i="15"/>
  <c r="I30" i="15"/>
  <c r="I29" i="15"/>
  <c r="I25" i="15"/>
  <c r="I20" i="15"/>
  <c r="I19" i="15"/>
  <c r="I17" i="15"/>
  <c r="I23" i="15"/>
  <c r="I27" i="15" s="1"/>
  <c r="I32" i="15" s="1"/>
  <c r="I36" i="15" s="1"/>
  <c r="I38" i="15" s="1"/>
  <c r="I40" i="15" s="1"/>
  <c r="I34" i="15"/>
  <c r="I8" i="15"/>
  <c r="I9" i="15"/>
  <c r="I10" i="15"/>
  <c r="I13" i="15"/>
  <c r="I16" i="15"/>
  <c r="I6" i="15"/>
  <c r="I5" i="15"/>
  <c r="K15" i="15"/>
  <c r="J15" i="15"/>
  <c r="K34" i="15"/>
  <c r="J34" i="15"/>
  <c r="E176" i="27"/>
  <c r="G176" i="27"/>
  <c r="H176" i="27"/>
  <c r="E177" i="27"/>
  <c r="G177" i="27"/>
  <c r="G189" i="27" s="1"/>
  <c r="H177" i="27"/>
  <c r="H189" i="27" s="1"/>
  <c r="E178" i="27"/>
  <c r="G178" i="27"/>
  <c r="H178" i="27"/>
  <c r="E179" i="27"/>
  <c r="G179" i="27"/>
  <c r="H179" i="27"/>
  <c r="E180" i="27"/>
  <c r="F180" i="27"/>
  <c r="G180" i="27"/>
  <c r="E181" i="27"/>
  <c r="E189" i="27" s="1"/>
  <c r="F181" i="27"/>
  <c r="G181" i="27"/>
  <c r="F182" i="27"/>
  <c r="G182" i="27"/>
  <c r="H182" i="27"/>
  <c r="F183" i="27"/>
  <c r="F189" i="27" s="1"/>
  <c r="G183" i="27"/>
  <c r="H183" i="27"/>
  <c r="E184" i="27"/>
  <c r="F184" i="27"/>
  <c r="H184" i="27"/>
  <c r="E185" i="27"/>
  <c r="F185" i="27"/>
  <c r="H185" i="27"/>
  <c r="E4" i="21"/>
  <c r="E10" i="21"/>
  <c r="E12" i="21"/>
  <c r="E17" i="21"/>
  <c r="F53" i="27"/>
  <c r="F59" i="27" s="1"/>
  <c r="F61" i="27" s="1"/>
  <c r="F62" i="27" s="1"/>
  <c r="G62" i="27" s="1"/>
  <c r="E149" i="27" s="1"/>
  <c r="E16" i="21"/>
  <c r="F99" i="27"/>
  <c r="F105" i="27" s="1"/>
  <c r="F107" i="27" s="1"/>
  <c r="F108" i="27" s="1"/>
  <c r="G108" i="27" s="1"/>
  <c r="G149" i="27" s="1"/>
  <c r="I4" i="21"/>
  <c r="F76" i="27"/>
  <c r="F78" i="27"/>
  <c r="F79" i="27"/>
  <c r="G79" i="27" s="1"/>
  <c r="F148" i="27" s="1"/>
  <c r="F82" i="27"/>
  <c r="F84" i="27" s="1"/>
  <c r="F88" i="27"/>
  <c r="F89" i="27" s="1"/>
  <c r="G89" i="27" s="1"/>
  <c r="F150" i="27" s="1"/>
  <c r="G3" i="21"/>
  <c r="H3" i="21"/>
  <c r="I3" i="21"/>
  <c r="F3" i="21"/>
  <c r="E3" i="21"/>
  <c r="I2" i="21"/>
  <c r="E2" i="21"/>
  <c r="E5" i="21"/>
  <c r="F5" i="21"/>
  <c r="G5" i="21"/>
  <c r="H5" i="21"/>
  <c r="I5" i="21"/>
  <c r="G11" i="21"/>
  <c r="H11" i="21"/>
  <c r="I11" i="21"/>
  <c r="F11" i="21"/>
  <c r="CJ55" i="28"/>
  <c r="CJ57" i="28"/>
  <c r="CJ58" i="28"/>
  <c r="CK56" i="28"/>
  <c r="CK57" i="28"/>
  <c r="CK58" i="28"/>
  <c r="CL56" i="28"/>
  <c r="CL57" i="28"/>
  <c r="CL58" i="28"/>
  <c r="CM56" i="28"/>
  <c r="CM57" i="28"/>
  <c r="CM58" i="28"/>
  <c r="CL124" i="28"/>
  <c r="CL127" i="28"/>
  <c r="F145" i="28"/>
  <c r="CJ78" i="28"/>
  <c r="CJ80" i="28"/>
  <c r="CJ81" i="28"/>
  <c r="CK79" i="28"/>
  <c r="CK80" i="28"/>
  <c r="CK81" i="28"/>
  <c r="CL79" i="28"/>
  <c r="CL80" i="28"/>
  <c r="CL81" i="28"/>
  <c r="CM79" i="28"/>
  <c r="CM80" i="28"/>
  <c r="CM81" i="28"/>
  <c r="CM124" i="28"/>
  <c r="CM127" i="28"/>
  <c r="G145" i="28"/>
  <c r="CJ101" i="28"/>
  <c r="CJ103" i="28"/>
  <c r="CJ104" i="28"/>
  <c r="CK102" i="28"/>
  <c r="CK103" i="28"/>
  <c r="CK104" i="28"/>
  <c r="CL102" i="28"/>
  <c r="CL103" i="28"/>
  <c r="CL104" i="28"/>
  <c r="CM102" i="28"/>
  <c r="CM103" i="28"/>
  <c r="CM104" i="28"/>
  <c r="CN124" i="28"/>
  <c r="CN127" i="28"/>
  <c r="H145" i="28"/>
  <c r="CJ31" i="28"/>
  <c r="CJ33" i="28"/>
  <c r="CJ34" i="28"/>
  <c r="CK34" i="28"/>
  <c r="CL34" i="28"/>
  <c r="CM34" i="28"/>
  <c r="CK124" i="28"/>
  <c r="CK127" i="28"/>
  <c r="E145" i="28"/>
  <c r="CJ8" i="28"/>
  <c r="CJ10" i="28"/>
  <c r="CJ11" i="28"/>
  <c r="CK11" i="28"/>
  <c r="CL11" i="28"/>
  <c r="CJ124" i="28"/>
  <c r="CJ127" i="28"/>
  <c r="D145" i="28"/>
  <c r="CN125" i="28"/>
  <c r="CJ68" i="28"/>
  <c r="CJ91" i="28"/>
  <c r="CJ114" i="28"/>
  <c r="CJ115" i="28"/>
  <c r="CJ116" i="28"/>
  <c r="CK114" i="28"/>
  <c r="CK113" i="28"/>
  <c r="CK115" i="28"/>
  <c r="CK116" i="28"/>
  <c r="CL114" i="28"/>
  <c r="CL115" i="28"/>
  <c r="CL116" i="28"/>
  <c r="CM114" i="28"/>
  <c r="CM113" i="28"/>
  <c r="CM115" i="28"/>
  <c r="CM116" i="28"/>
  <c r="CN126" i="28"/>
  <c r="CM125" i="28"/>
  <c r="CJ92" i="28"/>
  <c r="CJ93" i="28"/>
  <c r="CK91" i="28"/>
  <c r="CK90" i="28"/>
  <c r="CK92" i="28"/>
  <c r="CK93" i="28"/>
  <c r="CL91" i="28"/>
  <c r="CL92" i="28"/>
  <c r="CL93" i="28"/>
  <c r="CM91" i="28"/>
  <c r="CM90" i="28"/>
  <c r="CM92" i="28"/>
  <c r="CM93" i="28"/>
  <c r="CM126" i="28"/>
  <c r="CL125" i="28"/>
  <c r="CJ69" i="28"/>
  <c r="CJ70" i="28"/>
  <c r="CK68" i="28"/>
  <c r="CK69" i="28"/>
  <c r="CK70" i="28"/>
  <c r="CL68" i="28"/>
  <c r="CL69" i="28"/>
  <c r="CL70" i="28"/>
  <c r="CM68" i="28"/>
  <c r="CM69" i="28"/>
  <c r="CM70" i="28"/>
  <c r="CL126" i="28"/>
  <c r="CJ32" i="28"/>
  <c r="CK32" i="28"/>
  <c r="CK33" i="28"/>
  <c r="CL32" i="28"/>
  <c r="CL33" i="28"/>
  <c r="CM32" i="28"/>
  <c r="CM33" i="28"/>
  <c r="CK125" i="28"/>
  <c r="CJ45" i="28"/>
  <c r="CJ46" i="28"/>
  <c r="CK45" i="28"/>
  <c r="CK46" i="28"/>
  <c r="CL45" i="28"/>
  <c r="CL46" i="28"/>
  <c r="CM45" i="28"/>
  <c r="CM46" i="28"/>
  <c r="CK126" i="28"/>
  <c r="CK10" i="28"/>
  <c r="CL10" i="28"/>
  <c r="CJ125" i="28"/>
  <c r="CJ22" i="28"/>
  <c r="CJ23" i="28"/>
  <c r="CK23" i="28"/>
  <c r="CL22" i="28"/>
  <c r="CL23" i="28"/>
  <c r="CJ126" i="28"/>
  <c r="CJ118" i="28"/>
  <c r="CJ119" i="28"/>
  <c r="CK118" i="28"/>
  <c r="CK119" i="28"/>
  <c r="CL118" i="28"/>
  <c r="CL119" i="28"/>
  <c r="CM118" i="28"/>
  <c r="CM119" i="28"/>
  <c r="CN101" i="28"/>
  <c r="CN113" i="28"/>
  <c r="CN118" i="28"/>
  <c r="CM107" i="28"/>
  <c r="CK107" i="28"/>
  <c r="CJ95" i="28"/>
  <c r="CJ96" i="28"/>
  <c r="CK95" i="28"/>
  <c r="CK96" i="28"/>
  <c r="CL95" i="28"/>
  <c r="CL96" i="28"/>
  <c r="CM95" i="28"/>
  <c r="CM96" i="28"/>
  <c r="CN78" i="28"/>
  <c r="CN90" i="28"/>
  <c r="CN95" i="28"/>
  <c r="CJ72" i="28"/>
  <c r="CJ73" i="28"/>
  <c r="CK72" i="28"/>
  <c r="CK73" i="28"/>
  <c r="CL72" i="28"/>
  <c r="CL73" i="28"/>
  <c r="CM72" i="28"/>
  <c r="CM73" i="28"/>
  <c r="CN55" i="28"/>
  <c r="CN67" i="28"/>
  <c r="CN72" i="28"/>
  <c r="CJ48" i="28"/>
  <c r="CJ49" i="28"/>
  <c r="CK48" i="28"/>
  <c r="CK49" i="28"/>
  <c r="CL48" i="28"/>
  <c r="CL49" i="28"/>
  <c r="CM48" i="28"/>
  <c r="CM49" i="28"/>
  <c r="CN31" i="28"/>
  <c r="CN43" i="28"/>
  <c r="CN48" i="28"/>
  <c r="CJ25" i="28"/>
  <c r="CJ26" i="28"/>
  <c r="CK25" i="28"/>
  <c r="CK26" i="28"/>
  <c r="CL25" i="28"/>
  <c r="CL26" i="28"/>
  <c r="CM8" i="28"/>
  <c r="CM20" i="28"/>
  <c r="CM25" i="28"/>
  <c r="CC57" i="28"/>
  <c r="CC58" i="28"/>
  <c r="CD56" i="28"/>
  <c r="CD57" i="28"/>
  <c r="CD58" i="28"/>
  <c r="CE56" i="28"/>
  <c r="CE57" i="28"/>
  <c r="CE58" i="28"/>
  <c r="CF56" i="28"/>
  <c r="CF57" i="28"/>
  <c r="CF58" i="28"/>
  <c r="CE124" i="28"/>
  <c r="CE127" i="28"/>
  <c r="F144" i="28"/>
  <c r="CC80" i="28"/>
  <c r="CC81" i="28"/>
  <c r="CD79" i="28"/>
  <c r="CD80" i="28"/>
  <c r="CD81" i="28"/>
  <c r="CE79" i="28"/>
  <c r="CE80" i="28"/>
  <c r="CE81" i="28"/>
  <c r="CF79" i="28"/>
  <c r="CF80" i="28"/>
  <c r="CF81" i="28"/>
  <c r="CF124" i="28"/>
  <c r="CF127" i="28"/>
  <c r="G144" i="28"/>
  <c r="CC103" i="28"/>
  <c r="CC104" i="28"/>
  <c r="CD102" i="28"/>
  <c r="CD103" i="28"/>
  <c r="CD104" i="28"/>
  <c r="CE102" i="28"/>
  <c r="CE103" i="28"/>
  <c r="CE104" i="28"/>
  <c r="CF102" i="28"/>
  <c r="CF103" i="28"/>
  <c r="CF104" i="28"/>
  <c r="CG124" i="28"/>
  <c r="CG127" i="28"/>
  <c r="H144" i="28"/>
  <c r="E144" i="28"/>
  <c r="D144" i="28"/>
  <c r="CC32" i="28"/>
  <c r="CC101" i="28"/>
  <c r="CG125" i="28"/>
  <c r="CC68" i="28"/>
  <c r="CC91" i="28"/>
  <c r="CC114" i="28"/>
  <c r="CC115" i="28"/>
  <c r="CC116" i="28"/>
  <c r="CD114" i="28"/>
  <c r="CD113" i="28"/>
  <c r="CD115" i="28"/>
  <c r="CD116" i="28"/>
  <c r="CE114" i="28"/>
  <c r="CE115" i="28"/>
  <c r="CE116" i="28"/>
  <c r="CF114" i="28"/>
  <c r="CF113" i="28"/>
  <c r="CF115" i="28"/>
  <c r="CF116" i="28"/>
  <c r="CG126" i="28"/>
  <c r="CC78" i="28"/>
  <c r="CF125" i="28"/>
  <c r="CC92" i="28"/>
  <c r="CC93" i="28"/>
  <c r="CD91" i="28"/>
  <c r="CD90" i="28"/>
  <c r="CD92" i="28"/>
  <c r="CD93" i="28"/>
  <c r="CE91" i="28"/>
  <c r="CE92" i="28"/>
  <c r="CE93" i="28"/>
  <c r="CF91" i="28"/>
  <c r="CF90" i="28"/>
  <c r="CF92" i="28"/>
  <c r="CF93" i="28"/>
  <c r="CF126" i="28"/>
  <c r="CC55" i="28"/>
  <c r="CE125" i="28"/>
  <c r="CC69" i="28"/>
  <c r="CC70" i="28"/>
  <c r="CD68" i="28"/>
  <c r="CD69" i="28"/>
  <c r="CD70" i="28"/>
  <c r="CE68" i="28"/>
  <c r="CE69" i="28"/>
  <c r="CE70" i="28"/>
  <c r="CF68" i="28"/>
  <c r="CF69" i="28"/>
  <c r="CF70" i="28"/>
  <c r="CE126" i="28"/>
  <c r="CC31" i="28"/>
  <c r="CC33" i="28"/>
  <c r="CC34" i="28"/>
  <c r="CD32" i="28"/>
  <c r="CD33" i="28"/>
  <c r="CD34" i="28"/>
  <c r="CE32" i="28"/>
  <c r="CE33" i="28"/>
  <c r="CE34" i="28"/>
  <c r="CF32" i="28"/>
  <c r="CF33" i="28"/>
  <c r="CF34" i="28"/>
  <c r="CD124" i="28"/>
  <c r="CD125" i="28"/>
  <c r="CC45" i="28"/>
  <c r="CC46" i="28"/>
  <c r="CD45" i="28"/>
  <c r="CD46" i="28"/>
  <c r="CE45" i="28"/>
  <c r="CE46" i="28"/>
  <c r="CF45" i="28"/>
  <c r="CF46" i="28"/>
  <c r="CD126" i="28"/>
  <c r="CD127" i="28"/>
  <c r="CC8" i="28"/>
  <c r="CC10" i="28"/>
  <c r="CC11" i="28"/>
  <c r="CD10" i="28"/>
  <c r="CD11" i="28"/>
  <c r="CE10" i="28"/>
  <c r="CE11" i="28"/>
  <c r="CC124" i="28"/>
  <c r="CC125" i="28"/>
  <c r="CC22" i="28"/>
  <c r="CC23" i="28"/>
  <c r="CD23" i="28"/>
  <c r="CE22" i="28"/>
  <c r="CE23" i="28"/>
  <c r="CC126" i="28"/>
  <c r="CC127" i="28"/>
  <c r="CC118" i="28"/>
  <c r="CC119" i="28"/>
  <c r="CD118" i="28"/>
  <c r="CD119" i="28"/>
  <c r="CE118" i="28"/>
  <c r="CE119" i="28"/>
  <c r="CF118" i="28"/>
  <c r="CF119" i="28"/>
  <c r="CG101" i="28"/>
  <c r="CG113" i="28"/>
  <c r="CG118" i="28"/>
  <c r="CF107" i="28"/>
  <c r="CD107" i="28"/>
  <c r="CC95" i="28"/>
  <c r="CC96" i="28"/>
  <c r="CD95" i="28"/>
  <c r="CD96" i="28"/>
  <c r="CE95" i="28"/>
  <c r="CE96" i="28"/>
  <c r="CF95" i="28"/>
  <c r="CF96" i="28"/>
  <c r="CG78" i="28"/>
  <c r="CG90" i="28"/>
  <c r="CG95" i="28"/>
  <c r="CC72" i="28"/>
  <c r="CC73" i="28"/>
  <c r="CD72" i="28"/>
  <c r="CD73" i="28"/>
  <c r="CE72" i="28"/>
  <c r="CE73" i="28"/>
  <c r="CF72" i="28"/>
  <c r="CF73" i="28"/>
  <c r="CG55" i="28"/>
  <c r="CG67" i="28"/>
  <c r="CG72" i="28"/>
  <c r="CC48" i="28"/>
  <c r="CC49" i="28"/>
  <c r="CD48" i="28"/>
  <c r="CD49" i="28"/>
  <c r="CE48" i="28"/>
  <c r="CE49" i="28"/>
  <c r="CF48" i="28"/>
  <c r="CF49" i="28"/>
  <c r="CG31" i="28"/>
  <c r="CG43" i="28"/>
  <c r="CG48" i="28"/>
  <c r="CC25" i="28"/>
  <c r="CC26" i="28"/>
  <c r="CD25" i="28"/>
  <c r="CD26" i="28"/>
  <c r="CE25" i="28"/>
  <c r="CE26" i="28"/>
  <c r="CF8" i="28"/>
  <c r="CF20" i="28"/>
  <c r="CF25" i="28"/>
  <c r="F147" i="2"/>
  <c r="F146" i="2"/>
  <c r="F133" i="2"/>
  <c r="F134" i="2"/>
  <c r="F135" i="2"/>
  <c r="F127" i="2"/>
  <c r="F126" i="2"/>
  <c r="G125" i="2"/>
  <c r="F125" i="2"/>
  <c r="F130" i="2"/>
  <c r="F129" i="2"/>
  <c r="F128" i="2"/>
  <c r="F115" i="2"/>
  <c r="F114" i="2"/>
  <c r="F113" i="2"/>
  <c r="F112" i="2"/>
  <c r="F111" i="2"/>
  <c r="F110" i="2"/>
  <c r="F149" i="2"/>
  <c r="F148" i="2"/>
  <c r="F145" i="2"/>
  <c r="F144" i="2"/>
  <c r="F102" i="2"/>
  <c r="F101" i="2"/>
  <c r="F100" i="2"/>
  <c r="F51" i="2"/>
  <c r="F50" i="2"/>
  <c r="F49" i="2"/>
  <c r="F46" i="2"/>
  <c r="F45" i="2"/>
  <c r="F44" i="2"/>
  <c r="G91" i="2"/>
  <c r="G90" i="2"/>
  <c r="F92" i="2"/>
  <c r="F91" i="2"/>
  <c r="F90" i="2"/>
  <c r="F89" i="2"/>
  <c r="F88" i="2"/>
  <c r="H87" i="2"/>
  <c r="G87" i="2"/>
  <c r="F87" i="2"/>
  <c r="F80" i="2"/>
  <c r="F79" i="2"/>
  <c r="F78" i="2"/>
  <c r="F65" i="2"/>
  <c r="F64" i="2"/>
  <c r="G63" i="2"/>
  <c r="F63" i="2"/>
  <c r="F22" i="2"/>
  <c r="F20" i="2"/>
  <c r="F37" i="2"/>
  <c r="F36" i="2"/>
  <c r="G36" i="2"/>
  <c r="G35" i="2"/>
  <c r="F35" i="2"/>
  <c r="G114" i="2"/>
  <c r="G113" i="2"/>
  <c r="G111" i="2"/>
  <c r="G110" i="2"/>
  <c r="G61" i="2"/>
  <c r="G60" i="2"/>
  <c r="G62" i="2"/>
  <c r="F62" i="2"/>
  <c r="F61" i="2"/>
  <c r="F60" i="2"/>
  <c r="F143" i="28"/>
  <c r="G143" i="28"/>
  <c r="H143" i="28"/>
  <c r="E143" i="28"/>
  <c r="D143" i="28"/>
  <c r="BV106" i="28"/>
  <c r="BV83" i="28"/>
  <c r="BV60" i="28"/>
  <c r="BV36" i="28"/>
  <c r="BV13" i="28"/>
  <c r="BV9" i="28"/>
  <c r="BV32" i="28"/>
  <c r="BV56" i="28"/>
  <c r="BV79" i="28"/>
  <c r="BV102" i="28"/>
  <c r="BV101" i="28"/>
  <c r="BV103" i="28"/>
  <c r="BV104" i="28"/>
  <c r="BW102" i="28"/>
  <c r="BW103" i="28"/>
  <c r="BW104" i="28"/>
  <c r="BX102" i="28"/>
  <c r="BX103" i="28"/>
  <c r="BX104" i="28"/>
  <c r="BY102" i="28"/>
  <c r="BY103" i="28"/>
  <c r="BY104" i="28"/>
  <c r="BZ124" i="28"/>
  <c r="BZ125" i="28"/>
  <c r="BV68" i="28"/>
  <c r="BV91" i="28"/>
  <c r="BV114" i="28"/>
  <c r="BV113" i="28"/>
  <c r="BV115" i="28"/>
  <c r="BV116" i="28"/>
  <c r="BW114" i="28"/>
  <c r="BW113" i="28"/>
  <c r="BW115" i="28"/>
  <c r="BW116" i="28"/>
  <c r="BX114" i="28"/>
  <c r="BX115" i="28"/>
  <c r="BX116" i="28"/>
  <c r="BY114" i="28"/>
  <c r="BY113" i="28"/>
  <c r="BY115" i="28"/>
  <c r="BY116" i="28"/>
  <c r="BZ126" i="28"/>
  <c r="BZ127" i="28"/>
  <c r="BV78" i="28"/>
  <c r="BV80" i="28"/>
  <c r="BV81" i="28"/>
  <c r="BW79" i="28"/>
  <c r="BW80" i="28"/>
  <c r="BW81" i="28"/>
  <c r="BX79" i="28"/>
  <c r="BX80" i="28"/>
  <c r="BX81" i="28"/>
  <c r="BY79" i="28"/>
  <c r="BY80" i="28"/>
  <c r="BY81" i="28"/>
  <c r="BY124" i="28"/>
  <c r="BY125" i="28"/>
  <c r="BV90" i="28"/>
  <c r="BV92" i="28"/>
  <c r="BV93" i="28"/>
  <c r="BW91" i="28"/>
  <c r="BW90" i="28"/>
  <c r="BW92" i="28"/>
  <c r="BW93" i="28"/>
  <c r="BX91" i="28"/>
  <c r="BX92" i="28"/>
  <c r="BX93" i="28"/>
  <c r="BY91" i="28"/>
  <c r="BY90" i="28"/>
  <c r="BY92" i="28"/>
  <c r="BY93" i="28"/>
  <c r="BY126" i="28"/>
  <c r="BY127" i="28"/>
  <c r="BV55" i="28"/>
  <c r="BV57" i="28"/>
  <c r="BV58" i="28"/>
  <c r="BW56" i="28"/>
  <c r="BW57" i="28"/>
  <c r="BW58" i="28"/>
  <c r="BX56" i="28"/>
  <c r="BX57" i="28"/>
  <c r="BX58" i="28"/>
  <c r="BY56" i="28"/>
  <c r="BY57" i="28"/>
  <c r="BY58" i="28"/>
  <c r="BX124" i="28"/>
  <c r="BX125" i="28"/>
  <c r="BV67" i="28"/>
  <c r="BV69" i="28"/>
  <c r="BV70" i="28"/>
  <c r="BW68" i="28"/>
  <c r="BW69" i="28"/>
  <c r="BW70" i="28"/>
  <c r="BX68" i="28"/>
  <c r="BX69" i="28"/>
  <c r="BX70" i="28"/>
  <c r="BY68" i="28"/>
  <c r="BY69" i="28"/>
  <c r="BY70" i="28"/>
  <c r="BX126" i="28"/>
  <c r="BX127" i="28"/>
  <c r="BV31" i="28"/>
  <c r="BV33" i="28"/>
  <c r="BV34" i="28"/>
  <c r="BW32" i="28"/>
  <c r="BW33" i="28"/>
  <c r="BW34" i="28"/>
  <c r="BX32" i="28"/>
  <c r="BX33" i="28"/>
  <c r="BX34" i="28"/>
  <c r="BY32" i="28"/>
  <c r="BY33" i="28"/>
  <c r="BY34" i="28"/>
  <c r="BW124" i="28"/>
  <c r="BW125" i="28"/>
  <c r="BV43" i="28"/>
  <c r="BV45" i="28"/>
  <c r="BV46" i="28"/>
  <c r="BW45" i="28"/>
  <c r="BW46" i="28"/>
  <c r="BX45" i="28"/>
  <c r="BX46" i="28"/>
  <c r="BY45" i="28"/>
  <c r="BY46" i="28"/>
  <c r="BW126" i="28"/>
  <c r="BW127" i="28"/>
  <c r="BV8" i="28"/>
  <c r="BV10" i="28"/>
  <c r="BV11" i="28"/>
  <c r="BW10" i="28"/>
  <c r="BW11" i="28"/>
  <c r="BX10" i="28"/>
  <c r="BX11" i="28"/>
  <c r="BV124" i="28"/>
  <c r="BV125" i="28"/>
  <c r="BV20" i="28"/>
  <c r="BV22" i="28"/>
  <c r="BV23" i="28"/>
  <c r="BW23" i="28"/>
  <c r="BX22" i="28"/>
  <c r="BX23" i="28"/>
  <c r="BV126" i="28"/>
  <c r="BV127" i="28"/>
  <c r="BV118" i="28"/>
  <c r="BV119" i="28"/>
  <c r="BW118" i="28"/>
  <c r="BW119" i="28"/>
  <c r="BX118" i="28"/>
  <c r="BX119" i="28"/>
  <c r="BY118" i="28"/>
  <c r="BY119" i="28"/>
  <c r="BZ101" i="28"/>
  <c r="BZ113" i="28"/>
  <c r="BZ118" i="28"/>
  <c r="BY107" i="28"/>
  <c r="BW107" i="28"/>
  <c r="BV95" i="28"/>
  <c r="BV96" i="28"/>
  <c r="BW95" i="28"/>
  <c r="BW96" i="28"/>
  <c r="BX95" i="28"/>
  <c r="BX96" i="28"/>
  <c r="BY95" i="28"/>
  <c r="BY96" i="28"/>
  <c r="BZ78" i="28"/>
  <c r="BZ90" i="28"/>
  <c r="BZ95" i="28"/>
  <c r="BV72" i="28"/>
  <c r="BV73" i="28"/>
  <c r="BW72" i="28"/>
  <c r="BW73" i="28"/>
  <c r="BX72" i="28"/>
  <c r="BX73" i="28"/>
  <c r="BY72" i="28"/>
  <c r="BY73" i="28"/>
  <c r="BZ55" i="28"/>
  <c r="BZ67" i="28"/>
  <c r="BZ72" i="28"/>
  <c r="BV66" i="28"/>
  <c r="BV48" i="28"/>
  <c r="BV49" i="28"/>
  <c r="BW48" i="28"/>
  <c r="BW49" i="28"/>
  <c r="BX48" i="28"/>
  <c r="BX49" i="28"/>
  <c r="BY48" i="28"/>
  <c r="BY49" i="28"/>
  <c r="BZ31" i="28"/>
  <c r="BZ43" i="28"/>
  <c r="BZ48" i="28"/>
  <c r="BV42" i="28"/>
  <c r="BV25" i="28"/>
  <c r="BV26" i="28"/>
  <c r="BW25" i="28"/>
  <c r="BW26" i="28"/>
  <c r="BX25" i="28"/>
  <c r="BX26" i="28"/>
  <c r="BY8" i="28"/>
  <c r="BY20" i="28"/>
  <c r="BY25" i="28"/>
  <c r="M201" i="29"/>
  <c r="J201" i="29"/>
  <c r="E201" i="29"/>
  <c r="F201" i="29"/>
  <c r="G201" i="29"/>
  <c r="H201" i="29"/>
  <c r="I201" i="29"/>
  <c r="K201" i="29"/>
  <c r="L201" i="29"/>
  <c r="D146" i="29"/>
  <c r="BO106" i="28"/>
  <c r="BO83" i="28"/>
  <c r="BO60" i="28"/>
  <c r="BO36" i="28"/>
  <c r="BO13" i="28"/>
  <c r="BO9" i="28"/>
  <c r="BO32" i="28"/>
  <c r="BO56" i="28"/>
  <c r="BO55" i="28"/>
  <c r="BO57" i="28"/>
  <c r="BO58" i="28"/>
  <c r="BP56" i="28"/>
  <c r="BP57" i="28"/>
  <c r="BP58" i="28"/>
  <c r="BQ56" i="28"/>
  <c r="BQ57" i="28"/>
  <c r="BQ58" i="28"/>
  <c r="BR56" i="28"/>
  <c r="BR57" i="28"/>
  <c r="BR58" i="28"/>
  <c r="BQ124" i="28"/>
  <c r="BO67" i="28"/>
  <c r="BO69" i="28"/>
  <c r="BO70" i="28"/>
  <c r="BP70" i="28"/>
  <c r="BQ70" i="28"/>
  <c r="BR70" i="28"/>
  <c r="BQ126" i="28"/>
  <c r="BQ127" i="28"/>
  <c r="F142" i="28"/>
  <c r="BO79" i="28"/>
  <c r="BO78" i="28"/>
  <c r="BO80" i="28"/>
  <c r="BO81" i="28"/>
  <c r="BP79" i="28"/>
  <c r="BP80" i="28"/>
  <c r="BP81" i="28"/>
  <c r="BQ79" i="28"/>
  <c r="BQ80" i="28"/>
  <c r="BQ81" i="28"/>
  <c r="BR79" i="28"/>
  <c r="BR80" i="28"/>
  <c r="BR81" i="28"/>
  <c r="BR124" i="28"/>
  <c r="BO90" i="28"/>
  <c r="BO92" i="28"/>
  <c r="BO93" i="28"/>
  <c r="BP93" i="28"/>
  <c r="BQ93" i="28"/>
  <c r="BR93" i="28"/>
  <c r="BR126" i="28"/>
  <c r="BR127" i="28"/>
  <c r="G142" i="28"/>
  <c r="BO102" i="28"/>
  <c r="BO101" i="28"/>
  <c r="BO103" i="28"/>
  <c r="BO104" i="28"/>
  <c r="BP102" i="28"/>
  <c r="BP103" i="28"/>
  <c r="BP104" i="28"/>
  <c r="BQ102" i="28"/>
  <c r="BQ103" i="28"/>
  <c r="BQ104" i="28"/>
  <c r="BR102" i="28"/>
  <c r="BR103" i="28"/>
  <c r="BR104" i="28"/>
  <c r="BS124" i="28"/>
  <c r="BO113" i="28"/>
  <c r="BO115" i="28"/>
  <c r="BO116" i="28"/>
  <c r="BP116" i="28"/>
  <c r="BQ116" i="28"/>
  <c r="BR116" i="28"/>
  <c r="BS126" i="28"/>
  <c r="BS127" i="28"/>
  <c r="H142" i="28"/>
  <c r="BO31" i="28"/>
  <c r="BO33" i="28"/>
  <c r="BO34" i="28"/>
  <c r="BP32" i="28"/>
  <c r="BP33" i="28"/>
  <c r="BP34" i="28"/>
  <c r="BQ32" i="28"/>
  <c r="BQ33" i="28"/>
  <c r="BQ34" i="28"/>
  <c r="BR32" i="28"/>
  <c r="BR33" i="28"/>
  <c r="BR34" i="28"/>
  <c r="BP124" i="28"/>
  <c r="BO43" i="28"/>
  <c r="BO45" i="28"/>
  <c r="BO46" i="28"/>
  <c r="BP46" i="28"/>
  <c r="BQ46" i="28"/>
  <c r="BR46" i="28"/>
  <c r="BP126" i="28"/>
  <c r="BP127" i="28"/>
  <c r="E142" i="28"/>
  <c r="BO8" i="28"/>
  <c r="BO10" i="28"/>
  <c r="BO11" i="28"/>
  <c r="BP11" i="28"/>
  <c r="BQ11" i="28"/>
  <c r="BO124" i="28"/>
  <c r="BO20" i="28"/>
  <c r="BO22" i="28"/>
  <c r="BO23" i="28"/>
  <c r="BP23" i="28"/>
  <c r="BQ23" i="28"/>
  <c r="BO126" i="28"/>
  <c r="BO127" i="28"/>
  <c r="D142" i="28"/>
  <c r="BS125" i="28"/>
  <c r="BO68" i="28"/>
  <c r="BO91" i="28"/>
  <c r="BO114" i="28"/>
  <c r="BP114" i="28"/>
  <c r="BP113" i="28"/>
  <c r="BP115" i="28"/>
  <c r="BQ114" i="28"/>
  <c r="BQ115" i="28"/>
  <c r="BR114" i="28"/>
  <c r="BR113" i="28"/>
  <c r="BR115" i="28"/>
  <c r="BR125" i="28"/>
  <c r="BP91" i="28"/>
  <c r="BP90" i="28"/>
  <c r="BP92" i="28"/>
  <c r="BQ91" i="28"/>
  <c r="BQ92" i="28"/>
  <c r="BR91" i="28"/>
  <c r="BR90" i="28"/>
  <c r="BR92" i="28"/>
  <c r="BQ125" i="28"/>
  <c r="BP68" i="28"/>
  <c r="BP69" i="28"/>
  <c r="BQ68" i="28"/>
  <c r="BQ69" i="28"/>
  <c r="BR68" i="28"/>
  <c r="BR69" i="28"/>
  <c r="BP125" i="28"/>
  <c r="BP45" i="28"/>
  <c r="BQ45" i="28"/>
  <c r="BR45" i="28"/>
  <c r="BP10" i="28"/>
  <c r="BQ10" i="28"/>
  <c r="BO125" i="28"/>
  <c r="BQ22" i="28"/>
  <c r="BO118" i="28"/>
  <c r="BO119" i="28"/>
  <c r="BP118" i="28"/>
  <c r="BP119" i="28"/>
  <c r="BQ118" i="28"/>
  <c r="BQ119" i="28"/>
  <c r="BR118" i="28"/>
  <c r="BR119" i="28"/>
  <c r="BS101" i="28"/>
  <c r="BS113" i="28"/>
  <c r="BS118" i="28"/>
  <c r="BR107" i="28"/>
  <c r="BP107" i="28"/>
  <c r="BO95" i="28"/>
  <c r="BO96" i="28"/>
  <c r="BP95" i="28"/>
  <c r="BP96" i="28"/>
  <c r="BQ95" i="28"/>
  <c r="BQ96" i="28"/>
  <c r="BR95" i="28"/>
  <c r="BR96" i="28"/>
  <c r="BS78" i="28"/>
  <c r="BS90" i="28"/>
  <c r="BS95" i="28"/>
  <c r="BO72" i="28"/>
  <c r="BO73" i="28"/>
  <c r="BP72" i="28"/>
  <c r="BP73" i="28"/>
  <c r="BQ72" i="28"/>
  <c r="BQ73" i="28"/>
  <c r="BR72" i="28"/>
  <c r="BR73" i="28"/>
  <c r="BS55" i="28"/>
  <c r="BS67" i="28"/>
  <c r="BS72" i="28"/>
  <c r="BO66" i="28"/>
  <c r="BO48" i="28"/>
  <c r="BO49" i="28"/>
  <c r="BP48" i="28"/>
  <c r="BP49" i="28"/>
  <c r="BQ48" i="28"/>
  <c r="BQ49" i="28"/>
  <c r="BR48" i="28"/>
  <c r="BR49" i="28"/>
  <c r="BS31" i="28"/>
  <c r="BS43" i="28"/>
  <c r="BS48" i="28"/>
  <c r="BO42" i="28"/>
  <c r="BO25" i="28"/>
  <c r="BO26" i="28"/>
  <c r="BP25" i="28"/>
  <c r="BP26" i="28"/>
  <c r="BQ25" i="28"/>
  <c r="BQ26" i="28"/>
  <c r="BR8" i="28"/>
  <c r="BR20" i="28"/>
  <c r="BR25" i="28"/>
  <c r="H182" i="29"/>
  <c r="G182" i="29"/>
  <c r="F182" i="29"/>
  <c r="E182" i="29"/>
  <c r="H128" i="29"/>
  <c r="G128" i="29"/>
  <c r="F128" i="29"/>
  <c r="E128" i="29"/>
  <c r="BH9" i="28"/>
  <c r="BH32" i="28"/>
  <c r="BH56" i="28"/>
  <c r="BH57" i="28"/>
  <c r="BH58" i="28"/>
  <c r="BI56" i="28"/>
  <c r="BI57" i="28"/>
  <c r="BI58" i="28"/>
  <c r="BJ56" i="28"/>
  <c r="BJ57" i="28"/>
  <c r="BJ58" i="28"/>
  <c r="BK56" i="28"/>
  <c r="BK57" i="28"/>
  <c r="BK58" i="28"/>
  <c r="BJ124" i="28"/>
  <c r="BJ127" i="28"/>
  <c r="F141" i="28"/>
  <c r="BH79" i="28"/>
  <c r="BH80" i="28"/>
  <c r="BH81" i="28"/>
  <c r="BI79" i="28"/>
  <c r="BI80" i="28"/>
  <c r="BI81" i="28"/>
  <c r="BJ79" i="28"/>
  <c r="BJ80" i="28"/>
  <c r="BJ81" i="28"/>
  <c r="BK79" i="28"/>
  <c r="BK80" i="28"/>
  <c r="BK81" i="28"/>
  <c r="BK124" i="28"/>
  <c r="BK127" i="28"/>
  <c r="G141" i="28"/>
  <c r="BH102" i="28"/>
  <c r="BH103" i="28"/>
  <c r="BH104" i="28"/>
  <c r="BI102" i="28"/>
  <c r="BI103" i="28"/>
  <c r="BI104" i="28"/>
  <c r="BJ102" i="28"/>
  <c r="BJ103" i="28"/>
  <c r="BJ104" i="28"/>
  <c r="BK102" i="28"/>
  <c r="BK103" i="28"/>
  <c r="BK104" i="28"/>
  <c r="BL124" i="28"/>
  <c r="BL127" i="28"/>
  <c r="H141" i="28"/>
  <c r="BH33" i="28"/>
  <c r="BH34" i="28"/>
  <c r="BI32" i="28"/>
  <c r="BI33" i="28"/>
  <c r="BI34" i="28"/>
  <c r="BJ32" i="28"/>
  <c r="BJ33" i="28"/>
  <c r="BJ34" i="28"/>
  <c r="BK32" i="28"/>
  <c r="BK33" i="28"/>
  <c r="BK34" i="28"/>
  <c r="BI124" i="28"/>
  <c r="BI127" i="28"/>
  <c r="E141" i="28"/>
  <c r="BH10" i="28"/>
  <c r="BH11" i="28"/>
  <c r="BI11" i="28"/>
  <c r="BJ11" i="28"/>
  <c r="BH124" i="28"/>
  <c r="BH127" i="28"/>
  <c r="D141" i="28"/>
  <c r="E146" i="29"/>
  <c r="F146" i="29"/>
  <c r="G146" i="29"/>
  <c r="I146" i="29"/>
  <c r="H146" i="29"/>
  <c r="I164" i="29"/>
  <c r="H164" i="29"/>
  <c r="F164" i="29"/>
  <c r="E164" i="29"/>
  <c r="G164" i="29"/>
  <c r="BH106" i="28"/>
  <c r="BH83" i="28"/>
  <c r="BH60" i="28"/>
  <c r="BH36" i="28"/>
  <c r="BH13" i="28"/>
  <c r="BH101" i="28"/>
  <c r="BL125" i="28"/>
  <c r="BH68" i="28"/>
  <c r="BH91" i="28"/>
  <c r="BH114" i="28"/>
  <c r="BH113" i="28"/>
  <c r="BH115" i="28"/>
  <c r="BH116" i="28"/>
  <c r="BI114" i="28"/>
  <c r="BI113" i="28"/>
  <c r="BI115" i="28"/>
  <c r="BI116" i="28"/>
  <c r="BJ114" i="28"/>
  <c r="BJ115" i="28"/>
  <c r="BJ116" i="28"/>
  <c r="BK114" i="28"/>
  <c r="BK113" i="28"/>
  <c r="BK115" i="28"/>
  <c r="BK116" i="28"/>
  <c r="BL126" i="28"/>
  <c r="BH78" i="28"/>
  <c r="BK125" i="28"/>
  <c r="BH90" i="28"/>
  <c r="BH92" i="28"/>
  <c r="BH93" i="28"/>
  <c r="BI91" i="28"/>
  <c r="BI90" i="28"/>
  <c r="BI92" i="28"/>
  <c r="BI93" i="28"/>
  <c r="BJ91" i="28"/>
  <c r="BJ92" i="28"/>
  <c r="BJ93" i="28"/>
  <c r="BK91" i="28"/>
  <c r="BK90" i="28"/>
  <c r="BK92" i="28"/>
  <c r="BK93" i="28"/>
  <c r="BK126" i="28"/>
  <c r="BH55" i="28"/>
  <c r="BJ125" i="28"/>
  <c r="BH67" i="28"/>
  <c r="BH69" i="28"/>
  <c r="BH70" i="28"/>
  <c r="BI68" i="28"/>
  <c r="BI69" i="28"/>
  <c r="BI70" i="28"/>
  <c r="BJ68" i="28"/>
  <c r="BJ69" i="28"/>
  <c r="BJ70" i="28"/>
  <c r="BK68" i="28"/>
  <c r="BK69" i="28"/>
  <c r="BK70" i="28"/>
  <c r="BJ126" i="28"/>
  <c r="BH31" i="28"/>
  <c r="BI125" i="28"/>
  <c r="BH43" i="28"/>
  <c r="BH45" i="28"/>
  <c r="BH46" i="28"/>
  <c r="BI45" i="28"/>
  <c r="BI46" i="28"/>
  <c r="BJ45" i="28"/>
  <c r="BJ46" i="28"/>
  <c r="BK45" i="28"/>
  <c r="BK46" i="28"/>
  <c r="BI126" i="28"/>
  <c r="BH8" i="28"/>
  <c r="BI10" i="28"/>
  <c r="BJ10" i="28"/>
  <c r="BH125" i="28"/>
  <c r="BH20" i="28"/>
  <c r="BH22" i="28"/>
  <c r="BH23" i="28"/>
  <c r="BI23" i="28"/>
  <c r="BJ22" i="28"/>
  <c r="BJ23" i="28"/>
  <c r="BH126" i="28"/>
  <c r="BH118" i="28"/>
  <c r="BH119" i="28"/>
  <c r="BI118" i="28"/>
  <c r="BI119" i="28"/>
  <c r="BJ118" i="28"/>
  <c r="BJ119" i="28"/>
  <c r="BK118" i="28"/>
  <c r="BK119" i="28"/>
  <c r="BL101" i="28"/>
  <c r="BL113" i="28"/>
  <c r="BL118" i="28"/>
  <c r="BK107" i="28"/>
  <c r="BI107" i="28"/>
  <c r="BH95" i="28"/>
  <c r="BH96" i="28"/>
  <c r="BI95" i="28"/>
  <c r="BI96" i="28"/>
  <c r="BJ95" i="28"/>
  <c r="BJ96" i="28"/>
  <c r="BK95" i="28"/>
  <c r="BK96" i="28"/>
  <c r="BL78" i="28"/>
  <c r="BL90" i="28"/>
  <c r="BL95" i="28"/>
  <c r="BH72" i="28"/>
  <c r="BH73" i="28"/>
  <c r="BI72" i="28"/>
  <c r="BI73" i="28"/>
  <c r="BJ72" i="28"/>
  <c r="BJ73" i="28"/>
  <c r="BK72" i="28"/>
  <c r="BK73" i="28"/>
  <c r="BL55" i="28"/>
  <c r="BL67" i="28"/>
  <c r="BL72" i="28"/>
  <c r="BH66" i="28"/>
  <c r="BH48" i="28"/>
  <c r="BH49" i="28"/>
  <c r="BI48" i="28"/>
  <c r="BI49" i="28"/>
  <c r="BJ48" i="28"/>
  <c r="BJ49" i="28"/>
  <c r="BK48" i="28"/>
  <c r="BK49" i="28"/>
  <c r="BL31" i="28"/>
  <c r="BL43" i="28"/>
  <c r="BL48" i="28"/>
  <c r="BH42" i="28"/>
  <c r="BH25" i="28"/>
  <c r="BH26" i="28"/>
  <c r="BI25" i="28"/>
  <c r="BI26" i="28"/>
  <c r="BJ25" i="28"/>
  <c r="BJ26" i="28"/>
  <c r="BK8" i="28"/>
  <c r="BK20" i="28"/>
  <c r="BK25" i="28"/>
  <c r="AT20" i="28"/>
  <c r="AT60" i="28"/>
  <c r="AT55" i="28"/>
  <c r="AT66" i="28"/>
  <c r="AT83" i="28"/>
  <c r="AT78" i="28"/>
  <c r="AT90" i="28"/>
  <c r="AT106" i="28"/>
  <c r="AT101" i="28"/>
  <c r="AT113" i="28"/>
  <c r="BA83" i="28"/>
  <c r="BA78" i="28"/>
  <c r="BA90" i="28"/>
  <c r="BA60" i="28"/>
  <c r="BA55" i="28"/>
  <c r="BA66" i="28"/>
  <c r="BA36" i="28"/>
  <c r="BA31" i="28"/>
  <c r="BA42" i="28"/>
  <c r="BA13" i="28"/>
  <c r="BA8" i="28"/>
  <c r="BA20" i="28"/>
  <c r="BA106" i="28"/>
  <c r="BA101" i="28"/>
  <c r="BA113" i="28"/>
  <c r="BA9" i="28"/>
  <c r="BA32" i="28"/>
  <c r="BA56" i="28"/>
  <c r="BA57" i="28"/>
  <c r="BA58" i="28"/>
  <c r="BB56" i="28"/>
  <c r="BB57" i="28"/>
  <c r="BB58" i="28"/>
  <c r="BC56" i="28"/>
  <c r="BC57" i="28"/>
  <c r="BC58" i="28"/>
  <c r="BD56" i="28"/>
  <c r="BD57" i="28"/>
  <c r="BD58" i="28"/>
  <c r="BC124" i="28"/>
  <c r="BA67" i="28"/>
  <c r="BA69" i="28"/>
  <c r="BA70" i="28"/>
  <c r="BB70" i="28"/>
  <c r="BC70" i="28"/>
  <c r="BD70" i="28"/>
  <c r="BC126" i="28"/>
  <c r="BC127" i="28"/>
  <c r="F140" i="28"/>
  <c r="BA79" i="28"/>
  <c r="BA80" i="28"/>
  <c r="BA81" i="28"/>
  <c r="BB79" i="28"/>
  <c r="BB80" i="28"/>
  <c r="BB81" i="28"/>
  <c r="BC79" i="28"/>
  <c r="BC80" i="28"/>
  <c r="BC81" i="28"/>
  <c r="BD79" i="28"/>
  <c r="BD80" i="28"/>
  <c r="BD81" i="28"/>
  <c r="BD124" i="28"/>
  <c r="BA92" i="28"/>
  <c r="BA93" i="28"/>
  <c r="BB93" i="28"/>
  <c r="BC93" i="28"/>
  <c r="BD93" i="28"/>
  <c r="BD126" i="28"/>
  <c r="BD127" i="28"/>
  <c r="G140" i="28"/>
  <c r="BA102" i="28"/>
  <c r="BA103" i="28"/>
  <c r="BA104" i="28"/>
  <c r="BB102" i="28"/>
  <c r="BB103" i="28"/>
  <c r="BB104" i="28"/>
  <c r="BC102" i="28"/>
  <c r="BC103" i="28"/>
  <c r="BC104" i="28"/>
  <c r="BD102" i="28"/>
  <c r="BD103" i="28"/>
  <c r="BD104" i="28"/>
  <c r="BE124" i="28"/>
  <c r="BA115" i="28"/>
  <c r="BA116" i="28"/>
  <c r="BB116" i="28"/>
  <c r="BC116" i="28"/>
  <c r="BD116" i="28"/>
  <c r="BE126" i="28"/>
  <c r="BE127" i="28"/>
  <c r="H140" i="28"/>
  <c r="BA33" i="28"/>
  <c r="BA34" i="28"/>
  <c r="BB32" i="28"/>
  <c r="BB33" i="28"/>
  <c r="BB34" i="28"/>
  <c r="BC32" i="28"/>
  <c r="BC33" i="28"/>
  <c r="BC34" i="28"/>
  <c r="BD32" i="28"/>
  <c r="BD33" i="28"/>
  <c r="BD34" i="28"/>
  <c r="BB124" i="28"/>
  <c r="BA43" i="28"/>
  <c r="BA45" i="28"/>
  <c r="BA46" i="28"/>
  <c r="BB46" i="28"/>
  <c r="BC46" i="28"/>
  <c r="BD46" i="28"/>
  <c r="BB126" i="28"/>
  <c r="BB127" i="28"/>
  <c r="E140" i="28"/>
  <c r="BA10" i="28"/>
  <c r="BA11" i="28"/>
  <c r="BB11" i="28"/>
  <c r="BC11" i="28"/>
  <c r="BA124" i="28"/>
  <c r="BA22" i="28"/>
  <c r="BA23" i="28"/>
  <c r="BB23" i="28"/>
  <c r="BC23" i="28"/>
  <c r="BA126" i="28"/>
  <c r="BA127" i="28"/>
  <c r="D140" i="28"/>
  <c r="BE125" i="28"/>
  <c r="BA68" i="28"/>
  <c r="BA91" i="28"/>
  <c r="BA114" i="28"/>
  <c r="BB114" i="28"/>
  <c r="BB113" i="28"/>
  <c r="BB115" i="28"/>
  <c r="BC114" i="28"/>
  <c r="BC115" i="28"/>
  <c r="BD114" i="28"/>
  <c r="BD113" i="28"/>
  <c r="BD115" i="28"/>
  <c r="BD125" i="28"/>
  <c r="BB91" i="28"/>
  <c r="BB90" i="28"/>
  <c r="BB92" i="28"/>
  <c r="BC91" i="28"/>
  <c r="BC92" i="28"/>
  <c r="BD91" i="28"/>
  <c r="BD90" i="28"/>
  <c r="BD92" i="28"/>
  <c r="BC125" i="28"/>
  <c r="BB68" i="28"/>
  <c r="BB69" i="28"/>
  <c r="BC68" i="28"/>
  <c r="BC69" i="28"/>
  <c r="BD68" i="28"/>
  <c r="BD69" i="28"/>
  <c r="BB125" i="28"/>
  <c r="BB45" i="28"/>
  <c r="BC45" i="28"/>
  <c r="BD45" i="28"/>
  <c r="BB10" i="28"/>
  <c r="BC10" i="28"/>
  <c r="BA125" i="28"/>
  <c r="BC22" i="28"/>
  <c r="BA118" i="28"/>
  <c r="BA119" i="28"/>
  <c r="BB118" i="28"/>
  <c r="BB119" i="28"/>
  <c r="BC118" i="28"/>
  <c r="BC119" i="28"/>
  <c r="BD118" i="28"/>
  <c r="BD119" i="28"/>
  <c r="BE101" i="28"/>
  <c r="BE113" i="28"/>
  <c r="BE118" i="28"/>
  <c r="BD107" i="28"/>
  <c r="BB107" i="28"/>
  <c r="BA95" i="28"/>
  <c r="BA96" i="28"/>
  <c r="BB95" i="28"/>
  <c r="BB96" i="28"/>
  <c r="BC95" i="28"/>
  <c r="BC96" i="28"/>
  <c r="BD95" i="28"/>
  <c r="BD96" i="28"/>
  <c r="BE78" i="28"/>
  <c r="BE90" i="28"/>
  <c r="BE95" i="28"/>
  <c r="BA72" i="28"/>
  <c r="BA73" i="28"/>
  <c r="BB72" i="28"/>
  <c r="BB73" i="28"/>
  <c r="BC72" i="28"/>
  <c r="BC73" i="28"/>
  <c r="BD72" i="28"/>
  <c r="BD73" i="28"/>
  <c r="BE55" i="28"/>
  <c r="BE67" i="28"/>
  <c r="BE72" i="28"/>
  <c r="BA48" i="28"/>
  <c r="BA49" i="28"/>
  <c r="BB48" i="28"/>
  <c r="BB49" i="28"/>
  <c r="BC48" i="28"/>
  <c r="BC49" i="28"/>
  <c r="BD48" i="28"/>
  <c r="BD49" i="28"/>
  <c r="BE31" i="28"/>
  <c r="BE43" i="28"/>
  <c r="BE48" i="28"/>
  <c r="BA25" i="28"/>
  <c r="BA26" i="28"/>
  <c r="BB25" i="28"/>
  <c r="BB26" i="28"/>
  <c r="BC25" i="28"/>
  <c r="BC26" i="28"/>
  <c r="BD8" i="28"/>
  <c r="BD20" i="28"/>
  <c r="BD25" i="28"/>
  <c r="AT9" i="28"/>
  <c r="AT32" i="28"/>
  <c r="AT56" i="28"/>
  <c r="AT57" i="28"/>
  <c r="AT58" i="28"/>
  <c r="AU56" i="28"/>
  <c r="AU57" i="28"/>
  <c r="AU58" i="28"/>
  <c r="AV56" i="28"/>
  <c r="AV57" i="28"/>
  <c r="AV58" i="28"/>
  <c r="AW56" i="28"/>
  <c r="AW57" i="28"/>
  <c r="AW58" i="28"/>
  <c r="AV124" i="28"/>
  <c r="AT67" i="28"/>
  <c r="AT69" i="28"/>
  <c r="AT70" i="28"/>
  <c r="AU70" i="28"/>
  <c r="AV70" i="28"/>
  <c r="AW70" i="28"/>
  <c r="AV126" i="28"/>
  <c r="AV127" i="28"/>
  <c r="F139" i="28"/>
  <c r="F147" i="28"/>
  <c r="E9" i="15"/>
  <c r="AT79" i="28"/>
  <c r="AT80" i="28"/>
  <c r="AT81" i="28"/>
  <c r="AU79" i="28"/>
  <c r="AU80" i="28"/>
  <c r="AU81" i="28"/>
  <c r="AV79" i="28"/>
  <c r="AV80" i="28"/>
  <c r="AV81" i="28"/>
  <c r="AW79" i="28"/>
  <c r="AW80" i="28"/>
  <c r="AW81" i="28"/>
  <c r="AW124" i="28"/>
  <c r="AT92" i="28"/>
  <c r="AT93" i="28"/>
  <c r="AU93" i="28"/>
  <c r="AV93" i="28"/>
  <c r="AW93" i="28"/>
  <c r="AW126" i="28"/>
  <c r="AW127" i="28"/>
  <c r="G139" i="28"/>
  <c r="G147" i="28"/>
  <c r="F9" i="15"/>
  <c r="AT102" i="28"/>
  <c r="AT103" i="28"/>
  <c r="AT104" i="28"/>
  <c r="AU102" i="28"/>
  <c r="AU103" i="28"/>
  <c r="AU104" i="28"/>
  <c r="AV102" i="28"/>
  <c r="AV103" i="28"/>
  <c r="AV104" i="28"/>
  <c r="AW102" i="28"/>
  <c r="AW103" i="28"/>
  <c r="AW104" i="28"/>
  <c r="AX124" i="28"/>
  <c r="AT115" i="28"/>
  <c r="AT116" i="28"/>
  <c r="AU116" i="28"/>
  <c r="AV116" i="28"/>
  <c r="AW116" i="28"/>
  <c r="AX126" i="28"/>
  <c r="AX127" i="28"/>
  <c r="H139" i="28"/>
  <c r="H147" i="28"/>
  <c r="G9" i="15"/>
  <c r="AT36" i="28"/>
  <c r="AT31" i="28"/>
  <c r="AT33" i="28"/>
  <c r="AT34" i="28"/>
  <c r="AU32" i="28"/>
  <c r="AU33" i="28"/>
  <c r="AU34" i="28"/>
  <c r="AV32" i="28"/>
  <c r="AV33" i="28"/>
  <c r="AV34" i="28"/>
  <c r="AW32" i="28"/>
  <c r="AW33" i="28"/>
  <c r="AW34" i="28"/>
  <c r="AU124" i="28"/>
  <c r="AT43" i="28"/>
  <c r="AT45" i="28"/>
  <c r="AT46" i="28"/>
  <c r="AU46" i="28"/>
  <c r="AV46" i="28"/>
  <c r="AW46" i="28"/>
  <c r="AU126" i="28"/>
  <c r="AU127" i="28"/>
  <c r="E139" i="28"/>
  <c r="E147" i="28"/>
  <c r="D9" i="15"/>
  <c r="AT8" i="28"/>
  <c r="AT10" i="28"/>
  <c r="AT11" i="28"/>
  <c r="AU11" i="28"/>
  <c r="AV11" i="28"/>
  <c r="AT124" i="28"/>
  <c r="AT22" i="28"/>
  <c r="AT23" i="28"/>
  <c r="AU23" i="28"/>
  <c r="AV23" i="28"/>
  <c r="AT126" i="28"/>
  <c r="AT127" i="28"/>
  <c r="D139" i="28"/>
  <c r="D147" i="28"/>
  <c r="C9" i="15"/>
  <c r="AT13" i="28"/>
  <c r="AT68" i="28"/>
  <c r="AU68" i="28"/>
  <c r="AU69" i="28"/>
  <c r="AV68" i="28"/>
  <c r="AV69" i="28"/>
  <c r="AW68" i="28"/>
  <c r="AW69" i="28"/>
  <c r="AT91" i="28"/>
  <c r="AU91" i="28"/>
  <c r="AU92" i="28"/>
  <c r="AV91" i="28"/>
  <c r="AV92" i="28"/>
  <c r="AW91" i="28"/>
  <c r="AW92" i="28"/>
  <c r="AT114" i="28"/>
  <c r="AU114" i="28"/>
  <c r="AU115" i="28"/>
  <c r="AV114" i="28"/>
  <c r="AV115" i="28"/>
  <c r="AW114" i="28"/>
  <c r="AW115" i="28"/>
  <c r="AX125" i="28"/>
  <c r="AU113" i="28"/>
  <c r="AW113" i="28"/>
  <c r="AW125" i="28"/>
  <c r="AU90" i="28"/>
  <c r="AW90" i="28"/>
  <c r="AV125" i="28"/>
  <c r="AU125" i="28"/>
  <c r="AU45" i="28"/>
  <c r="AV45" i="28"/>
  <c r="AW45" i="28"/>
  <c r="AU10" i="28"/>
  <c r="AV10" i="28"/>
  <c r="AT125" i="28"/>
  <c r="AV22" i="28"/>
  <c r="AT118" i="28"/>
  <c r="AT119" i="28"/>
  <c r="AU118" i="28"/>
  <c r="AU119" i="28"/>
  <c r="AV118" i="28"/>
  <c r="AV119" i="28"/>
  <c r="AW118" i="28"/>
  <c r="AW119" i="28"/>
  <c r="AX101" i="28"/>
  <c r="AX113" i="28"/>
  <c r="AX118" i="28"/>
  <c r="AW107" i="28"/>
  <c r="AU107" i="28"/>
  <c r="AT95" i="28"/>
  <c r="AT96" i="28"/>
  <c r="AU95" i="28"/>
  <c r="AU96" i="28"/>
  <c r="AV95" i="28"/>
  <c r="AV96" i="28"/>
  <c r="AW95" i="28"/>
  <c r="AW96" i="28"/>
  <c r="AX78" i="28"/>
  <c r="AX90" i="28"/>
  <c r="AX95" i="28"/>
  <c r="AT72" i="28"/>
  <c r="AT73" i="28"/>
  <c r="AU72" i="28"/>
  <c r="AU73" i="28"/>
  <c r="AV72" i="28"/>
  <c r="AV73" i="28"/>
  <c r="AW72" i="28"/>
  <c r="AW73" i="28"/>
  <c r="AX55" i="28"/>
  <c r="AX67" i="28"/>
  <c r="AX72" i="28"/>
  <c r="AT48" i="28"/>
  <c r="AT49" i="28"/>
  <c r="AU48" i="28"/>
  <c r="AU49" i="28"/>
  <c r="AV48" i="28"/>
  <c r="AV49" i="28"/>
  <c r="AW48" i="28"/>
  <c r="AW49" i="28"/>
  <c r="AX31" i="28"/>
  <c r="AX43" i="28"/>
  <c r="AX48" i="28"/>
  <c r="AT42" i="28"/>
  <c r="AT25" i="28"/>
  <c r="AT26" i="28"/>
  <c r="AU25" i="28"/>
  <c r="AU26" i="28"/>
  <c r="AV25" i="28"/>
  <c r="AV26" i="28"/>
  <c r="AW8" i="28"/>
  <c r="AW20" i="28"/>
  <c r="AW25" i="28"/>
  <c r="AM106" i="28"/>
  <c r="AM83" i="28"/>
  <c r="AM60" i="28"/>
  <c r="AM36" i="28"/>
  <c r="AM13" i="28"/>
  <c r="AM9" i="28"/>
  <c r="AM32" i="28"/>
  <c r="AM56" i="28"/>
  <c r="AM55" i="28"/>
  <c r="AM57" i="28"/>
  <c r="AM58" i="28"/>
  <c r="AN56" i="28"/>
  <c r="AN57" i="28"/>
  <c r="AN58" i="28"/>
  <c r="AO56" i="28"/>
  <c r="AO57" i="28"/>
  <c r="AO58" i="28"/>
  <c r="AP56" i="28"/>
  <c r="AP57" i="28"/>
  <c r="AP58" i="28"/>
  <c r="AO124" i="28"/>
  <c r="AM67" i="28"/>
  <c r="AM69" i="28"/>
  <c r="AM70" i="28"/>
  <c r="AN70" i="28"/>
  <c r="AO70" i="28"/>
  <c r="AP70" i="28"/>
  <c r="AO126" i="28"/>
  <c r="AO127" i="28"/>
  <c r="F138" i="28"/>
  <c r="AM79" i="28"/>
  <c r="AM78" i="28"/>
  <c r="AM80" i="28"/>
  <c r="AM81" i="28"/>
  <c r="AN79" i="28"/>
  <c r="AN80" i="28"/>
  <c r="AN81" i="28"/>
  <c r="AO79" i="28"/>
  <c r="AO80" i="28"/>
  <c r="AO81" i="28"/>
  <c r="AP79" i="28"/>
  <c r="AP80" i="28"/>
  <c r="AP81" i="28"/>
  <c r="AP124" i="28"/>
  <c r="AM90" i="28"/>
  <c r="AM92" i="28"/>
  <c r="AM93" i="28"/>
  <c r="AN93" i="28"/>
  <c r="AO93" i="28"/>
  <c r="AP93" i="28"/>
  <c r="AP126" i="28"/>
  <c r="AP127" i="28"/>
  <c r="G138" i="28"/>
  <c r="AM102" i="28"/>
  <c r="AM101" i="28"/>
  <c r="AM103" i="28"/>
  <c r="AM104" i="28"/>
  <c r="AN102" i="28"/>
  <c r="AN103" i="28"/>
  <c r="AN104" i="28"/>
  <c r="AO102" i="28"/>
  <c r="AO103" i="28"/>
  <c r="AO104" i="28"/>
  <c r="AP102" i="28"/>
  <c r="AP103" i="28"/>
  <c r="AP104" i="28"/>
  <c r="AQ124" i="28"/>
  <c r="AM113" i="28"/>
  <c r="AM115" i="28"/>
  <c r="AM116" i="28"/>
  <c r="AN116" i="28"/>
  <c r="AO116" i="28"/>
  <c r="AP116" i="28"/>
  <c r="AQ126" i="28"/>
  <c r="AQ127" i="28"/>
  <c r="H138" i="28"/>
  <c r="AM8" i="28"/>
  <c r="AM10" i="28"/>
  <c r="AM11" i="28"/>
  <c r="AN11" i="28"/>
  <c r="AO11" i="28"/>
  <c r="AM124" i="28"/>
  <c r="AM20" i="28"/>
  <c r="AM22" i="28"/>
  <c r="AM23" i="28"/>
  <c r="AN23" i="28"/>
  <c r="AO23" i="28"/>
  <c r="AM126" i="28"/>
  <c r="AM127" i="28"/>
  <c r="D138" i="28"/>
  <c r="AM31" i="28"/>
  <c r="AM33" i="28"/>
  <c r="AM34" i="28"/>
  <c r="AN32" i="28"/>
  <c r="AN33" i="28"/>
  <c r="AN34" i="28"/>
  <c r="AO32" i="28"/>
  <c r="AO33" i="28"/>
  <c r="AO34" i="28"/>
  <c r="AP32" i="28"/>
  <c r="AP33" i="28"/>
  <c r="AP34" i="28"/>
  <c r="AN124" i="28"/>
  <c r="AM43" i="28"/>
  <c r="AM45" i="28"/>
  <c r="AM46" i="28"/>
  <c r="AN46" i="28"/>
  <c r="AO46" i="28"/>
  <c r="AP46" i="28"/>
  <c r="AN126" i="28"/>
  <c r="AN127" i="28"/>
  <c r="E138" i="28"/>
  <c r="AQ125" i="28"/>
  <c r="AM68" i="28"/>
  <c r="AM91" i="28"/>
  <c r="AM114" i="28"/>
  <c r="AN114" i="28"/>
  <c r="AN113" i="28"/>
  <c r="AN115" i="28"/>
  <c r="AO114" i="28"/>
  <c r="AO115" i="28"/>
  <c r="AP114" i="28"/>
  <c r="AP113" i="28"/>
  <c r="AP115" i="28"/>
  <c r="AP125" i="28"/>
  <c r="AN91" i="28"/>
  <c r="AN90" i="28"/>
  <c r="AN92" i="28"/>
  <c r="AO91" i="28"/>
  <c r="AO92" i="28"/>
  <c r="AP91" i="28"/>
  <c r="AP90" i="28"/>
  <c r="AP92" i="28"/>
  <c r="AO125" i="28"/>
  <c r="AN68" i="28"/>
  <c r="AN69" i="28"/>
  <c r="AO68" i="28"/>
  <c r="AO69" i="28"/>
  <c r="AP68" i="28"/>
  <c r="AP69" i="28"/>
  <c r="AN125" i="28"/>
  <c r="AN45" i="28"/>
  <c r="AO45" i="28"/>
  <c r="AP45" i="28"/>
  <c r="AN10" i="28"/>
  <c r="AO10" i="28"/>
  <c r="AM125" i="28"/>
  <c r="AO22" i="28"/>
  <c r="AM118" i="28"/>
  <c r="AM119" i="28"/>
  <c r="AN118" i="28"/>
  <c r="AN119" i="28"/>
  <c r="AO118" i="28"/>
  <c r="AO119" i="28"/>
  <c r="AP118" i="28"/>
  <c r="AP119" i="28"/>
  <c r="AQ101" i="28"/>
  <c r="AQ113" i="28"/>
  <c r="AQ118" i="28"/>
  <c r="AP107" i="28"/>
  <c r="AN107" i="28"/>
  <c r="AM95" i="28"/>
  <c r="AM96" i="28"/>
  <c r="AN95" i="28"/>
  <c r="AN96" i="28"/>
  <c r="AO95" i="28"/>
  <c r="AO96" i="28"/>
  <c r="AP95" i="28"/>
  <c r="AP96" i="28"/>
  <c r="AQ78" i="28"/>
  <c r="AQ90" i="28"/>
  <c r="AQ95" i="28"/>
  <c r="AM72" i="28"/>
  <c r="AM73" i="28"/>
  <c r="AN72" i="28"/>
  <c r="AN73" i="28"/>
  <c r="AO72" i="28"/>
  <c r="AO73" i="28"/>
  <c r="AP72" i="28"/>
  <c r="AP73" i="28"/>
  <c r="AQ55" i="28"/>
  <c r="AQ67" i="28"/>
  <c r="AQ72" i="28"/>
  <c r="AM66" i="28"/>
  <c r="AM48" i="28"/>
  <c r="AM49" i="28"/>
  <c r="AN48" i="28"/>
  <c r="AN49" i="28"/>
  <c r="AO48" i="28"/>
  <c r="AO49" i="28"/>
  <c r="AP48" i="28"/>
  <c r="AP49" i="28"/>
  <c r="AQ31" i="28"/>
  <c r="AQ43" i="28"/>
  <c r="AQ48" i="28"/>
  <c r="AM42" i="28"/>
  <c r="AM25" i="28"/>
  <c r="AM26" i="28"/>
  <c r="AN25" i="28"/>
  <c r="AN26" i="28"/>
  <c r="AO25" i="28"/>
  <c r="AO26" i="28"/>
  <c r="AP8" i="28"/>
  <c r="AP20" i="28"/>
  <c r="AP25" i="28"/>
  <c r="F137" i="28"/>
  <c r="G137" i="28"/>
  <c r="H137" i="28"/>
  <c r="E137" i="28"/>
  <c r="D137" i="28"/>
  <c r="AF106" i="28"/>
  <c r="AF83" i="28"/>
  <c r="AF60" i="28"/>
  <c r="AF36" i="28"/>
  <c r="AF13" i="28"/>
  <c r="AF9" i="28"/>
  <c r="AF32" i="28"/>
  <c r="AF56" i="28"/>
  <c r="AF79" i="28"/>
  <c r="AF102" i="28"/>
  <c r="AF101" i="28"/>
  <c r="AF103" i="28"/>
  <c r="AF104" i="28"/>
  <c r="AG102" i="28"/>
  <c r="AG103" i="28"/>
  <c r="AG104" i="28"/>
  <c r="AH102" i="28"/>
  <c r="AH103" i="28"/>
  <c r="AH104" i="28"/>
  <c r="AI102" i="28"/>
  <c r="AI103" i="28"/>
  <c r="AI104" i="28"/>
  <c r="AJ124" i="28"/>
  <c r="AJ125" i="28"/>
  <c r="AF68" i="28"/>
  <c r="AF91" i="28"/>
  <c r="AF114" i="28"/>
  <c r="AF113" i="28"/>
  <c r="AF115" i="28"/>
  <c r="AF116" i="28"/>
  <c r="AG114" i="28"/>
  <c r="AG113" i="28"/>
  <c r="AG115" i="28"/>
  <c r="AG116" i="28"/>
  <c r="AH114" i="28"/>
  <c r="AH115" i="28"/>
  <c r="AH116" i="28"/>
  <c r="AI114" i="28"/>
  <c r="AI113" i="28"/>
  <c r="AI115" i="28"/>
  <c r="AI116" i="28"/>
  <c r="AJ126" i="28"/>
  <c r="AJ127" i="28"/>
  <c r="AF78" i="28"/>
  <c r="AF80" i="28"/>
  <c r="AF81" i="28"/>
  <c r="AG79" i="28"/>
  <c r="AG80" i="28"/>
  <c r="AG81" i="28"/>
  <c r="AH79" i="28"/>
  <c r="AH80" i="28"/>
  <c r="AH81" i="28"/>
  <c r="AI79" i="28"/>
  <c r="AI80" i="28"/>
  <c r="AI81" i="28"/>
  <c r="AI124" i="28"/>
  <c r="AI125" i="28"/>
  <c r="AF90" i="28"/>
  <c r="AF92" i="28"/>
  <c r="AF93" i="28"/>
  <c r="AG91" i="28"/>
  <c r="AG90" i="28"/>
  <c r="AG92" i="28"/>
  <c r="AG93" i="28"/>
  <c r="AH91" i="28"/>
  <c r="AH92" i="28"/>
  <c r="AH93" i="28"/>
  <c r="AI91" i="28"/>
  <c r="AI90" i="28"/>
  <c r="AI92" i="28"/>
  <c r="AI93" i="28"/>
  <c r="AI126" i="28"/>
  <c r="AI127" i="28"/>
  <c r="AF55" i="28"/>
  <c r="AF57" i="28"/>
  <c r="AF58" i="28"/>
  <c r="AG56" i="28"/>
  <c r="AG57" i="28"/>
  <c r="AG58" i="28"/>
  <c r="AH56" i="28"/>
  <c r="AH57" i="28"/>
  <c r="AH58" i="28"/>
  <c r="AI56" i="28"/>
  <c r="AI57" i="28"/>
  <c r="AI58" i="28"/>
  <c r="AH124" i="28"/>
  <c r="AH125" i="28"/>
  <c r="AF67" i="28"/>
  <c r="AF69" i="28"/>
  <c r="AF70" i="28"/>
  <c r="AG68" i="28"/>
  <c r="AG69" i="28"/>
  <c r="AG70" i="28"/>
  <c r="AH68" i="28"/>
  <c r="AH69" i="28"/>
  <c r="AH70" i="28"/>
  <c r="AI68" i="28"/>
  <c r="AI69" i="28"/>
  <c r="AI70" i="28"/>
  <c r="AH126" i="28"/>
  <c r="AH127" i="28"/>
  <c r="AF31" i="28"/>
  <c r="AF33" i="28"/>
  <c r="AF34" i="28"/>
  <c r="AG32" i="28"/>
  <c r="AG33" i="28"/>
  <c r="AG34" i="28"/>
  <c r="AH32" i="28"/>
  <c r="AH33" i="28"/>
  <c r="AH34" i="28"/>
  <c r="AI32" i="28"/>
  <c r="AI33" i="28"/>
  <c r="AI34" i="28"/>
  <c r="AG124" i="28"/>
  <c r="AG125" i="28"/>
  <c r="AF43" i="28"/>
  <c r="AF45" i="28"/>
  <c r="AF46" i="28"/>
  <c r="AG45" i="28"/>
  <c r="AG46" i="28"/>
  <c r="AH45" i="28"/>
  <c r="AH46" i="28"/>
  <c r="AI45" i="28"/>
  <c r="AI46" i="28"/>
  <c r="AG126" i="28"/>
  <c r="AG127" i="28"/>
  <c r="AF8" i="28"/>
  <c r="AF10" i="28"/>
  <c r="AF11" i="28"/>
  <c r="AG10" i="28"/>
  <c r="AG11" i="28"/>
  <c r="AH10" i="28"/>
  <c r="AH11" i="28"/>
  <c r="AF124" i="28"/>
  <c r="AF125" i="28"/>
  <c r="AF20" i="28"/>
  <c r="AF22" i="28"/>
  <c r="AF23" i="28"/>
  <c r="AG23" i="28"/>
  <c r="AH22" i="28"/>
  <c r="AH23" i="28"/>
  <c r="AF126" i="28"/>
  <c r="AF127" i="28"/>
  <c r="AF118" i="28"/>
  <c r="AF119" i="28"/>
  <c r="AG118" i="28"/>
  <c r="AG119" i="28"/>
  <c r="AH118" i="28"/>
  <c r="AH119" i="28"/>
  <c r="AI118" i="28"/>
  <c r="AI119" i="28"/>
  <c r="AJ101" i="28"/>
  <c r="AJ113" i="28"/>
  <c r="AJ118" i="28"/>
  <c r="AI107" i="28"/>
  <c r="AG107" i="28"/>
  <c r="AF95" i="28"/>
  <c r="AF96" i="28"/>
  <c r="AG95" i="28"/>
  <c r="AG96" i="28"/>
  <c r="AH95" i="28"/>
  <c r="AH96" i="28"/>
  <c r="AI95" i="28"/>
  <c r="AI96" i="28"/>
  <c r="AJ78" i="28"/>
  <c r="AJ90" i="28"/>
  <c r="AJ95" i="28"/>
  <c r="AF72" i="28"/>
  <c r="AF73" i="28"/>
  <c r="AG72" i="28"/>
  <c r="AG73" i="28"/>
  <c r="AH72" i="28"/>
  <c r="AH73" i="28"/>
  <c r="AI72" i="28"/>
  <c r="AI73" i="28"/>
  <c r="AJ55" i="28"/>
  <c r="AJ61" i="28"/>
  <c r="AJ67" i="28"/>
  <c r="AJ72" i="28"/>
  <c r="AF66" i="28"/>
  <c r="AF48" i="28"/>
  <c r="AF49" i="28"/>
  <c r="AG48" i="28"/>
  <c r="AG49" i="28"/>
  <c r="AH48" i="28"/>
  <c r="AH49" i="28"/>
  <c r="AI48" i="28"/>
  <c r="AI49" i="28"/>
  <c r="AJ31" i="28"/>
  <c r="AJ43" i="28"/>
  <c r="AJ48" i="28"/>
  <c r="AF42" i="28"/>
  <c r="AF25" i="28"/>
  <c r="AF26" i="28"/>
  <c r="AG25" i="28"/>
  <c r="AG26" i="28"/>
  <c r="AH25" i="28"/>
  <c r="AH26" i="28"/>
  <c r="AI8" i="28"/>
  <c r="AI20" i="28"/>
  <c r="AI25" i="28"/>
  <c r="F136" i="28"/>
  <c r="G136" i="28"/>
  <c r="H136" i="28"/>
  <c r="E136" i="28"/>
  <c r="D136" i="28"/>
  <c r="Y106" i="28"/>
  <c r="Y83" i="28"/>
  <c r="Y60" i="28"/>
  <c r="Y36" i="28"/>
  <c r="Y13" i="28"/>
  <c r="Y9" i="28"/>
  <c r="Y32" i="28"/>
  <c r="Y56" i="28"/>
  <c r="Y79" i="28"/>
  <c r="Y102" i="28"/>
  <c r="Y101" i="28"/>
  <c r="Y103" i="28"/>
  <c r="Y104" i="28"/>
  <c r="Z102" i="28"/>
  <c r="Z103" i="28"/>
  <c r="Z104" i="28"/>
  <c r="AA102" i="28"/>
  <c r="AA103" i="28"/>
  <c r="AA104" i="28"/>
  <c r="AB102" i="28"/>
  <c r="AB103" i="28"/>
  <c r="AB104" i="28"/>
  <c r="AC124" i="28"/>
  <c r="AC125" i="28"/>
  <c r="Y68" i="28"/>
  <c r="Y91" i="28"/>
  <c r="Y114" i="28"/>
  <c r="Y113" i="28"/>
  <c r="Y115" i="28"/>
  <c r="Y116" i="28"/>
  <c r="Z114" i="28"/>
  <c r="Z113" i="28"/>
  <c r="Z115" i="28"/>
  <c r="Z116" i="28"/>
  <c r="AA114" i="28"/>
  <c r="AA115" i="28"/>
  <c r="AA116" i="28"/>
  <c r="AB114" i="28"/>
  <c r="AB113" i="28"/>
  <c r="AB115" i="28"/>
  <c r="AB116" i="28"/>
  <c r="AC126" i="28"/>
  <c r="AC127" i="28"/>
  <c r="Y78" i="28"/>
  <c r="Y80" i="28"/>
  <c r="Y81" i="28"/>
  <c r="Z79" i="28"/>
  <c r="Z80" i="28"/>
  <c r="Z81" i="28"/>
  <c r="AA79" i="28"/>
  <c r="AA80" i="28"/>
  <c r="AA81" i="28"/>
  <c r="AB79" i="28"/>
  <c r="AB80" i="28"/>
  <c r="AB81" i="28"/>
  <c r="AB124" i="28"/>
  <c r="AB125" i="28"/>
  <c r="Y90" i="28"/>
  <c r="Y92" i="28"/>
  <c r="Y93" i="28"/>
  <c r="Z91" i="28"/>
  <c r="Z90" i="28"/>
  <c r="Z92" i="28"/>
  <c r="Z93" i="28"/>
  <c r="AA91" i="28"/>
  <c r="AA92" i="28"/>
  <c r="AA93" i="28"/>
  <c r="AB91" i="28"/>
  <c r="AB90" i="28"/>
  <c r="AB92" i="28"/>
  <c r="AB93" i="28"/>
  <c r="AB126" i="28"/>
  <c r="AB127" i="28"/>
  <c r="Y55" i="28"/>
  <c r="Y57" i="28"/>
  <c r="Y58" i="28"/>
  <c r="Z56" i="28"/>
  <c r="Z57" i="28"/>
  <c r="Z58" i="28"/>
  <c r="AA56" i="28"/>
  <c r="AA57" i="28"/>
  <c r="AA58" i="28"/>
  <c r="AB56" i="28"/>
  <c r="AB57" i="28"/>
  <c r="AB58" i="28"/>
  <c r="AA124" i="28"/>
  <c r="AA125" i="28"/>
  <c r="Y67" i="28"/>
  <c r="Y69" i="28"/>
  <c r="Y70" i="28"/>
  <c r="Z68" i="28"/>
  <c r="Z69" i="28"/>
  <c r="Z70" i="28"/>
  <c r="AA68" i="28"/>
  <c r="AA69" i="28"/>
  <c r="AA70" i="28"/>
  <c r="AB68" i="28"/>
  <c r="AB69" i="28"/>
  <c r="AB70" i="28"/>
  <c r="AA126" i="28"/>
  <c r="AA127" i="28"/>
  <c r="Y31" i="28"/>
  <c r="Y33" i="28"/>
  <c r="Y34" i="28"/>
  <c r="Z32" i="28"/>
  <c r="Z33" i="28"/>
  <c r="Z34" i="28"/>
  <c r="AA32" i="28"/>
  <c r="AA33" i="28"/>
  <c r="AA34" i="28"/>
  <c r="AB32" i="28"/>
  <c r="AB33" i="28"/>
  <c r="AB34" i="28"/>
  <c r="Z124" i="28"/>
  <c r="Z125" i="28"/>
  <c r="Y43" i="28"/>
  <c r="Y45" i="28"/>
  <c r="Y46" i="28"/>
  <c r="Z45" i="28"/>
  <c r="Z46" i="28"/>
  <c r="AA45" i="28"/>
  <c r="AA46" i="28"/>
  <c r="AB45" i="28"/>
  <c r="AB46" i="28"/>
  <c r="Z126" i="28"/>
  <c r="Z127" i="28"/>
  <c r="Y8" i="28"/>
  <c r="Y10" i="28"/>
  <c r="Y11" i="28"/>
  <c r="Z10" i="28"/>
  <c r="Z11" i="28"/>
  <c r="AA10" i="28"/>
  <c r="AA11" i="28"/>
  <c r="Y124" i="28"/>
  <c r="Y125" i="28"/>
  <c r="Y20" i="28"/>
  <c r="Y22" i="28"/>
  <c r="Y23" i="28"/>
  <c r="Z23" i="28"/>
  <c r="AA22" i="28"/>
  <c r="AA23" i="28"/>
  <c r="Y126" i="28"/>
  <c r="Y127" i="28"/>
  <c r="Y118" i="28"/>
  <c r="Y119" i="28"/>
  <c r="Z118" i="28"/>
  <c r="Z119" i="28"/>
  <c r="AA118" i="28"/>
  <c r="AA119" i="28"/>
  <c r="AB118" i="28"/>
  <c r="AB119" i="28"/>
  <c r="AC101" i="28"/>
  <c r="AC113" i="28"/>
  <c r="AC118" i="28"/>
  <c r="AB107" i="28"/>
  <c r="Z107" i="28"/>
  <c r="Y95" i="28"/>
  <c r="Y96" i="28"/>
  <c r="Z95" i="28"/>
  <c r="Z96" i="28"/>
  <c r="AA95" i="28"/>
  <c r="AA96" i="28"/>
  <c r="AB95" i="28"/>
  <c r="AB96" i="28"/>
  <c r="AC78" i="28"/>
  <c r="AC90" i="28"/>
  <c r="AC95" i="28"/>
  <c r="Y72" i="28"/>
  <c r="Y73" i="28"/>
  <c r="Z72" i="28"/>
  <c r="Z73" i="28"/>
  <c r="AA72" i="28"/>
  <c r="AA73" i="28"/>
  <c r="AB72" i="28"/>
  <c r="AB73" i="28"/>
  <c r="AC55" i="28"/>
  <c r="AC61" i="28"/>
  <c r="AC67" i="28"/>
  <c r="AC72" i="28"/>
  <c r="Y66" i="28"/>
  <c r="Y48" i="28"/>
  <c r="Y49" i="28"/>
  <c r="Z48" i="28"/>
  <c r="Z49" i="28"/>
  <c r="AA48" i="28"/>
  <c r="AA49" i="28"/>
  <c r="AB48" i="28"/>
  <c r="AB49" i="28"/>
  <c r="AC31" i="28"/>
  <c r="AC43" i="28"/>
  <c r="AC48" i="28"/>
  <c r="Y42" i="28"/>
  <c r="Y25" i="28"/>
  <c r="Y26" i="28"/>
  <c r="Z25" i="28"/>
  <c r="Z26" i="28"/>
  <c r="AA25" i="28"/>
  <c r="AA26" i="28"/>
  <c r="AB8" i="28"/>
  <c r="AB20" i="28"/>
  <c r="AB25" i="28"/>
  <c r="F135" i="28"/>
  <c r="G135" i="28"/>
  <c r="H135" i="28"/>
  <c r="E135" i="28"/>
  <c r="D135" i="28"/>
  <c r="R106" i="28"/>
  <c r="R83" i="28"/>
  <c r="R60" i="28"/>
  <c r="R36" i="28"/>
  <c r="R13" i="28"/>
  <c r="R9" i="28"/>
  <c r="R32" i="28"/>
  <c r="R56" i="28"/>
  <c r="R79" i="28"/>
  <c r="R102" i="28"/>
  <c r="R101" i="28"/>
  <c r="R103" i="28"/>
  <c r="R104" i="28"/>
  <c r="S102" i="28"/>
  <c r="S103" i="28"/>
  <c r="S104" i="28"/>
  <c r="T102" i="28"/>
  <c r="T103" i="28"/>
  <c r="T104" i="28"/>
  <c r="U102" i="28"/>
  <c r="U103" i="28"/>
  <c r="U104" i="28"/>
  <c r="V124" i="28"/>
  <c r="V125" i="28"/>
  <c r="R68" i="28"/>
  <c r="R91" i="28"/>
  <c r="R114" i="28"/>
  <c r="R113" i="28"/>
  <c r="R115" i="28"/>
  <c r="R116" i="28"/>
  <c r="S114" i="28"/>
  <c r="S113" i="28"/>
  <c r="S115" i="28"/>
  <c r="S116" i="28"/>
  <c r="T114" i="28"/>
  <c r="T115" i="28"/>
  <c r="T116" i="28"/>
  <c r="U114" i="28"/>
  <c r="U113" i="28"/>
  <c r="U115" i="28"/>
  <c r="U116" i="28"/>
  <c r="V126" i="28"/>
  <c r="V127" i="28"/>
  <c r="R78" i="28"/>
  <c r="R80" i="28"/>
  <c r="R81" i="28"/>
  <c r="S79" i="28"/>
  <c r="S80" i="28"/>
  <c r="S81" i="28"/>
  <c r="T79" i="28"/>
  <c r="T80" i="28"/>
  <c r="T81" i="28"/>
  <c r="U79" i="28"/>
  <c r="U80" i="28"/>
  <c r="U81" i="28"/>
  <c r="U124" i="28"/>
  <c r="U125" i="28"/>
  <c r="R90" i="28"/>
  <c r="R92" i="28"/>
  <c r="R93" i="28"/>
  <c r="S91" i="28"/>
  <c r="S90" i="28"/>
  <c r="S92" i="28"/>
  <c r="S93" i="28"/>
  <c r="T91" i="28"/>
  <c r="T92" i="28"/>
  <c r="T93" i="28"/>
  <c r="U91" i="28"/>
  <c r="U90" i="28"/>
  <c r="U92" i="28"/>
  <c r="U93" i="28"/>
  <c r="U126" i="28"/>
  <c r="U127" i="28"/>
  <c r="R55" i="28"/>
  <c r="R57" i="28"/>
  <c r="R58" i="28"/>
  <c r="S56" i="28"/>
  <c r="S57" i="28"/>
  <c r="S58" i="28"/>
  <c r="T56" i="28"/>
  <c r="T57" i="28"/>
  <c r="T58" i="28"/>
  <c r="U56" i="28"/>
  <c r="U57" i="28"/>
  <c r="U58" i="28"/>
  <c r="T124" i="28"/>
  <c r="T125" i="28"/>
  <c r="R67" i="28"/>
  <c r="R69" i="28"/>
  <c r="R70" i="28"/>
  <c r="S68" i="28"/>
  <c r="S69" i="28"/>
  <c r="S70" i="28"/>
  <c r="T68" i="28"/>
  <c r="T69" i="28"/>
  <c r="T70" i="28"/>
  <c r="U68" i="28"/>
  <c r="U69" i="28"/>
  <c r="U70" i="28"/>
  <c r="T126" i="28"/>
  <c r="T127" i="28"/>
  <c r="R31" i="28"/>
  <c r="R33" i="28"/>
  <c r="R34" i="28"/>
  <c r="S32" i="28"/>
  <c r="S33" i="28"/>
  <c r="S34" i="28"/>
  <c r="T32" i="28"/>
  <c r="T33" i="28"/>
  <c r="T34" i="28"/>
  <c r="U32" i="28"/>
  <c r="U33" i="28"/>
  <c r="U34" i="28"/>
  <c r="S124" i="28"/>
  <c r="S125" i="28"/>
  <c r="R43" i="28"/>
  <c r="R45" i="28"/>
  <c r="R46" i="28"/>
  <c r="S45" i="28"/>
  <c r="S46" i="28"/>
  <c r="T45" i="28"/>
  <c r="T46" i="28"/>
  <c r="U45" i="28"/>
  <c r="U46" i="28"/>
  <c r="S126" i="28"/>
  <c r="S127" i="28"/>
  <c r="R8" i="28"/>
  <c r="R10" i="28"/>
  <c r="R11" i="28"/>
  <c r="S10" i="28"/>
  <c r="S11" i="28"/>
  <c r="T10" i="28"/>
  <c r="T11" i="28"/>
  <c r="R124" i="28"/>
  <c r="R125" i="28"/>
  <c r="R20" i="28"/>
  <c r="R22" i="28"/>
  <c r="R23" i="28"/>
  <c r="S23" i="28"/>
  <c r="T22" i="28"/>
  <c r="T23" i="28"/>
  <c r="R126" i="28"/>
  <c r="R127" i="28"/>
  <c r="R118" i="28"/>
  <c r="R119" i="28"/>
  <c r="S118" i="28"/>
  <c r="S119" i="28"/>
  <c r="T118" i="28"/>
  <c r="T119" i="28"/>
  <c r="U118" i="28"/>
  <c r="U119" i="28"/>
  <c r="V101" i="28"/>
  <c r="V113" i="28"/>
  <c r="V118" i="28"/>
  <c r="U107" i="28"/>
  <c r="S107" i="28"/>
  <c r="R95" i="28"/>
  <c r="R96" i="28"/>
  <c r="S95" i="28"/>
  <c r="S96" i="28"/>
  <c r="T95" i="28"/>
  <c r="T96" i="28"/>
  <c r="U95" i="28"/>
  <c r="U96" i="28"/>
  <c r="V78" i="28"/>
  <c r="V90" i="28"/>
  <c r="V95" i="28"/>
  <c r="R72" i="28"/>
  <c r="R73" i="28"/>
  <c r="S72" i="28"/>
  <c r="S73" i="28"/>
  <c r="T72" i="28"/>
  <c r="T73" i="28"/>
  <c r="U72" i="28"/>
  <c r="U73" i="28"/>
  <c r="V55" i="28"/>
  <c r="V61" i="28"/>
  <c r="V67" i="28"/>
  <c r="V72" i="28"/>
  <c r="R66" i="28"/>
  <c r="R48" i="28"/>
  <c r="R49" i="28"/>
  <c r="S48" i="28"/>
  <c r="S49" i="28"/>
  <c r="T48" i="28"/>
  <c r="T49" i="28"/>
  <c r="U48" i="28"/>
  <c r="U49" i="28"/>
  <c r="V31" i="28"/>
  <c r="V43" i="28"/>
  <c r="V48" i="28"/>
  <c r="R42" i="28"/>
  <c r="R25" i="28"/>
  <c r="R26" i="28"/>
  <c r="S25" i="28"/>
  <c r="S26" i="28"/>
  <c r="T25" i="28"/>
  <c r="T26" i="28"/>
  <c r="U8" i="28"/>
  <c r="U20" i="28"/>
  <c r="U25" i="28"/>
  <c r="F134" i="28"/>
  <c r="G134" i="28"/>
  <c r="H134" i="28"/>
  <c r="E134" i="28"/>
  <c r="D134" i="28"/>
  <c r="K106" i="28"/>
  <c r="K83" i="28"/>
  <c r="K60" i="28"/>
  <c r="K42" i="28"/>
  <c r="K36" i="28"/>
  <c r="K9" i="28"/>
  <c r="K13" i="28"/>
  <c r="K32" i="28"/>
  <c r="K56" i="28"/>
  <c r="K79" i="28"/>
  <c r="K102" i="28"/>
  <c r="K101" i="28"/>
  <c r="K103" i="28"/>
  <c r="K104" i="28"/>
  <c r="L102" i="28"/>
  <c r="L103" i="28"/>
  <c r="L104" i="28"/>
  <c r="M102" i="28"/>
  <c r="M103" i="28"/>
  <c r="M104" i="28"/>
  <c r="N102" i="28"/>
  <c r="N103" i="28"/>
  <c r="N104" i="28"/>
  <c r="O124" i="28"/>
  <c r="O125" i="28"/>
  <c r="K68" i="28"/>
  <c r="K91" i="28"/>
  <c r="K114" i="28"/>
  <c r="K113" i="28"/>
  <c r="K115" i="28"/>
  <c r="K116" i="28"/>
  <c r="L114" i="28"/>
  <c r="L113" i="28"/>
  <c r="L115" i="28"/>
  <c r="L116" i="28"/>
  <c r="M114" i="28"/>
  <c r="M115" i="28"/>
  <c r="M116" i="28"/>
  <c r="N114" i="28"/>
  <c r="N113" i="28"/>
  <c r="N115" i="28"/>
  <c r="N116" i="28"/>
  <c r="O126" i="28"/>
  <c r="O127" i="28"/>
  <c r="K78" i="28"/>
  <c r="K80" i="28"/>
  <c r="K81" i="28"/>
  <c r="L79" i="28"/>
  <c r="L80" i="28"/>
  <c r="L81" i="28"/>
  <c r="M79" i="28"/>
  <c r="M80" i="28"/>
  <c r="M81" i="28"/>
  <c r="N79" i="28"/>
  <c r="N80" i="28"/>
  <c r="N81" i="28"/>
  <c r="N124" i="28"/>
  <c r="N125" i="28"/>
  <c r="K90" i="28"/>
  <c r="K92" i="28"/>
  <c r="K93" i="28"/>
  <c r="L91" i="28"/>
  <c r="L90" i="28"/>
  <c r="L92" i="28"/>
  <c r="L93" i="28"/>
  <c r="M91" i="28"/>
  <c r="M92" i="28"/>
  <c r="M93" i="28"/>
  <c r="N91" i="28"/>
  <c r="N90" i="28"/>
  <c r="N92" i="28"/>
  <c r="N93" i="28"/>
  <c r="N126" i="28"/>
  <c r="N127" i="28"/>
  <c r="K55" i="28"/>
  <c r="K57" i="28"/>
  <c r="K58" i="28"/>
  <c r="L56" i="28"/>
  <c r="L57" i="28"/>
  <c r="L58" i="28"/>
  <c r="M56" i="28"/>
  <c r="M57" i="28"/>
  <c r="M58" i="28"/>
  <c r="N56" i="28"/>
  <c r="N57" i="28"/>
  <c r="N58" i="28"/>
  <c r="M124" i="28"/>
  <c r="M125" i="28"/>
  <c r="K67" i="28"/>
  <c r="K69" i="28"/>
  <c r="K70" i="28"/>
  <c r="L68" i="28"/>
  <c r="L69" i="28"/>
  <c r="L70" i="28"/>
  <c r="M68" i="28"/>
  <c r="M69" i="28"/>
  <c r="M70" i="28"/>
  <c r="N68" i="28"/>
  <c r="N69" i="28"/>
  <c r="N70" i="28"/>
  <c r="M126" i="28"/>
  <c r="M127" i="28"/>
  <c r="K31" i="28"/>
  <c r="K33" i="28"/>
  <c r="K34" i="28"/>
  <c r="L32" i="28"/>
  <c r="L33" i="28"/>
  <c r="L34" i="28"/>
  <c r="M32" i="28"/>
  <c r="M33" i="28"/>
  <c r="M34" i="28"/>
  <c r="N32" i="28"/>
  <c r="N33" i="28"/>
  <c r="N34" i="28"/>
  <c r="L124" i="28"/>
  <c r="L125" i="28"/>
  <c r="K43" i="28"/>
  <c r="K45" i="28"/>
  <c r="K46" i="28"/>
  <c r="L45" i="28"/>
  <c r="L46" i="28"/>
  <c r="M45" i="28"/>
  <c r="M46" i="28"/>
  <c r="N45" i="28"/>
  <c r="N46" i="28"/>
  <c r="L126" i="28"/>
  <c r="L127" i="28"/>
  <c r="K8" i="28"/>
  <c r="K10" i="28"/>
  <c r="K11" i="28"/>
  <c r="L10" i="28"/>
  <c r="L11" i="28"/>
  <c r="M10" i="28"/>
  <c r="M11" i="28"/>
  <c r="K124" i="28"/>
  <c r="K125" i="28"/>
  <c r="K20" i="28"/>
  <c r="K22" i="28"/>
  <c r="K23" i="28"/>
  <c r="L23" i="28"/>
  <c r="M22" i="28"/>
  <c r="M23" i="28"/>
  <c r="K126" i="28"/>
  <c r="K127" i="28"/>
  <c r="K118" i="28"/>
  <c r="K119" i="28"/>
  <c r="L118" i="28"/>
  <c r="L119" i="28"/>
  <c r="M118" i="28"/>
  <c r="M119" i="28"/>
  <c r="N118" i="28"/>
  <c r="N119" i="28"/>
  <c r="O101" i="28"/>
  <c r="O113" i="28"/>
  <c r="O118" i="28"/>
  <c r="N107" i="28"/>
  <c r="L107" i="28"/>
  <c r="K95" i="28"/>
  <c r="K96" i="28"/>
  <c r="L95" i="28"/>
  <c r="L96" i="28"/>
  <c r="M95" i="28"/>
  <c r="M96" i="28"/>
  <c r="N95" i="28"/>
  <c r="N96" i="28"/>
  <c r="O78" i="28"/>
  <c r="O90" i="28"/>
  <c r="O95" i="28"/>
  <c r="K72" i="28"/>
  <c r="K73" i="28"/>
  <c r="L72" i="28"/>
  <c r="L73" i="28"/>
  <c r="M72" i="28"/>
  <c r="M73" i="28"/>
  <c r="N72" i="28"/>
  <c r="N73" i="28"/>
  <c r="O55" i="28"/>
  <c r="O61" i="28"/>
  <c r="O67" i="28"/>
  <c r="O72" i="28"/>
  <c r="K66" i="28"/>
  <c r="K48" i="28"/>
  <c r="K49" i="28"/>
  <c r="L48" i="28"/>
  <c r="L49" i="28"/>
  <c r="M48" i="28"/>
  <c r="M49" i="28"/>
  <c r="N48" i="28"/>
  <c r="N49" i="28"/>
  <c r="O31" i="28"/>
  <c r="O43" i="28"/>
  <c r="O48" i="28"/>
  <c r="K25" i="28"/>
  <c r="K26" i="28"/>
  <c r="L25" i="28"/>
  <c r="L26" i="28"/>
  <c r="M25" i="28"/>
  <c r="M26" i="28"/>
  <c r="N8" i="28"/>
  <c r="N20" i="28"/>
  <c r="N25" i="28"/>
  <c r="D9" i="28"/>
  <c r="D32" i="28"/>
  <c r="D56" i="28"/>
  <c r="D79" i="28"/>
  <c r="D83" i="28"/>
  <c r="D78" i="28"/>
  <c r="D80" i="28"/>
  <c r="D81" i="28"/>
  <c r="E79" i="28"/>
  <c r="E80" i="28"/>
  <c r="E81" i="28"/>
  <c r="F79" i="28"/>
  <c r="F80" i="28"/>
  <c r="F81" i="28"/>
  <c r="G79" i="28"/>
  <c r="G80" i="28"/>
  <c r="G81" i="28"/>
  <c r="G124" i="28"/>
  <c r="G125" i="28"/>
  <c r="D68" i="28"/>
  <c r="D91" i="28"/>
  <c r="D90" i="28"/>
  <c r="D92" i="28"/>
  <c r="D93" i="28"/>
  <c r="E91" i="28"/>
  <c r="E90" i="28"/>
  <c r="E92" i="28"/>
  <c r="E93" i="28"/>
  <c r="F91" i="28"/>
  <c r="F92" i="28"/>
  <c r="F93" i="28"/>
  <c r="G91" i="28"/>
  <c r="G90" i="28"/>
  <c r="G92" i="28"/>
  <c r="G93" i="28"/>
  <c r="G126" i="28"/>
  <c r="G127" i="28"/>
  <c r="G133" i="28"/>
  <c r="D102" i="28"/>
  <c r="D106" i="28"/>
  <c r="D101" i="28"/>
  <c r="D103" i="28"/>
  <c r="D104" i="28"/>
  <c r="E102" i="28"/>
  <c r="E103" i="28"/>
  <c r="E104" i="28"/>
  <c r="F102" i="28"/>
  <c r="F103" i="28"/>
  <c r="F104" i="28"/>
  <c r="G102" i="28"/>
  <c r="G103" i="28"/>
  <c r="G104" i="28"/>
  <c r="H124" i="28"/>
  <c r="H125" i="28"/>
  <c r="D114" i="28"/>
  <c r="D113" i="28"/>
  <c r="D115" i="28"/>
  <c r="D116" i="28"/>
  <c r="E114" i="28"/>
  <c r="E113" i="28"/>
  <c r="E115" i="28"/>
  <c r="E116" i="28"/>
  <c r="F114" i="28"/>
  <c r="F115" i="28"/>
  <c r="F116" i="28"/>
  <c r="G114" i="28"/>
  <c r="G113" i="28"/>
  <c r="G115" i="28"/>
  <c r="G116" i="28"/>
  <c r="H126" i="28"/>
  <c r="H127" i="28"/>
  <c r="H133" i="28"/>
  <c r="D60" i="28"/>
  <c r="D55" i="28"/>
  <c r="D57" i="28"/>
  <c r="D58" i="28"/>
  <c r="E56" i="28"/>
  <c r="E57" i="28"/>
  <c r="E58" i="28"/>
  <c r="F56" i="28"/>
  <c r="F57" i="28"/>
  <c r="F58" i="28"/>
  <c r="G56" i="28"/>
  <c r="G57" i="28"/>
  <c r="G58" i="28"/>
  <c r="F124" i="28"/>
  <c r="F125" i="28"/>
  <c r="D67" i="28"/>
  <c r="D69" i="28"/>
  <c r="D70" i="28"/>
  <c r="E68" i="28"/>
  <c r="E69" i="28"/>
  <c r="E70" i="28"/>
  <c r="F68" i="28"/>
  <c r="F69" i="28"/>
  <c r="F70" i="28"/>
  <c r="G68" i="28"/>
  <c r="G69" i="28"/>
  <c r="G70" i="28"/>
  <c r="F126" i="28"/>
  <c r="F127" i="28"/>
  <c r="F133" i="28"/>
  <c r="D36" i="28"/>
  <c r="D31" i="28"/>
  <c r="D33" i="28"/>
  <c r="D34" i="28"/>
  <c r="E32" i="28"/>
  <c r="E33" i="28"/>
  <c r="E34" i="28"/>
  <c r="F32" i="28"/>
  <c r="F33" i="28"/>
  <c r="F34" i="28"/>
  <c r="G32" i="28"/>
  <c r="G33" i="28"/>
  <c r="G34" i="28"/>
  <c r="E124" i="28"/>
  <c r="E125" i="28"/>
  <c r="D43" i="28"/>
  <c r="D45" i="28"/>
  <c r="D46" i="28"/>
  <c r="E45" i="28"/>
  <c r="E46" i="28"/>
  <c r="F45" i="28"/>
  <c r="F46" i="28"/>
  <c r="G45" i="28"/>
  <c r="G46" i="28"/>
  <c r="E126" i="28"/>
  <c r="E127" i="28"/>
  <c r="E133" i="28"/>
  <c r="D13" i="28"/>
  <c r="D8" i="28"/>
  <c r="D10" i="28"/>
  <c r="D11" i="28"/>
  <c r="E10" i="28"/>
  <c r="E11" i="28"/>
  <c r="F10" i="28"/>
  <c r="F11" i="28"/>
  <c r="D124" i="28"/>
  <c r="D125" i="28"/>
  <c r="D20" i="28"/>
  <c r="D22" i="28"/>
  <c r="D23" i="28"/>
  <c r="E23" i="28"/>
  <c r="F22" i="28"/>
  <c r="F23" i="28"/>
  <c r="D126" i="28"/>
  <c r="D127" i="28"/>
  <c r="D133" i="28"/>
  <c r="E107" i="28"/>
  <c r="G107" i="28"/>
  <c r="G18" i="29"/>
  <c r="D66" i="28"/>
  <c r="F170" i="27"/>
  <c r="G170" i="27"/>
  <c r="H170" i="27"/>
  <c r="E170" i="27"/>
  <c r="D170" i="27"/>
  <c r="CO61" i="27"/>
  <c r="CO70" i="27"/>
  <c r="CO71" i="27"/>
  <c r="CP71" i="27"/>
  <c r="CQ71" i="27"/>
  <c r="CR71" i="27"/>
  <c r="CS69" i="27"/>
  <c r="CO7" i="27"/>
  <c r="CO30" i="27"/>
  <c r="CP30" i="27"/>
  <c r="CQ30" i="27"/>
  <c r="CR30" i="27"/>
  <c r="CO54" i="27"/>
  <c r="CO77" i="27"/>
  <c r="CO100" i="27"/>
  <c r="CO124" i="27"/>
  <c r="CO125" i="27"/>
  <c r="CO126" i="27"/>
  <c r="CP54" i="27"/>
  <c r="CP77" i="27"/>
  <c r="CP100" i="27"/>
  <c r="CP124" i="27"/>
  <c r="CP125" i="27"/>
  <c r="CP126" i="27"/>
  <c r="CQ54" i="27"/>
  <c r="CQ77" i="27"/>
  <c r="CQ100" i="27"/>
  <c r="CQ124" i="27"/>
  <c r="CQ125" i="27"/>
  <c r="CQ126" i="27"/>
  <c r="CR54" i="27"/>
  <c r="CR77" i="27"/>
  <c r="CR100" i="27"/>
  <c r="CR124" i="27"/>
  <c r="CR125" i="27"/>
  <c r="CR126" i="27"/>
  <c r="CS148" i="27"/>
  <c r="CO60" i="27"/>
  <c r="CP60" i="27"/>
  <c r="CQ60" i="27"/>
  <c r="CR60" i="27"/>
  <c r="CO83" i="27"/>
  <c r="CP83" i="27"/>
  <c r="CQ83" i="27"/>
  <c r="CR83" i="27"/>
  <c r="CO106" i="27"/>
  <c r="CO130" i="27"/>
  <c r="CO131" i="27"/>
  <c r="CO132" i="27"/>
  <c r="CP130" i="27"/>
  <c r="CP131" i="27"/>
  <c r="CP132" i="27"/>
  <c r="CQ130" i="27"/>
  <c r="CQ131" i="27"/>
  <c r="CQ132" i="27"/>
  <c r="CR130" i="27"/>
  <c r="CR131" i="27"/>
  <c r="CR132" i="27"/>
  <c r="CS149" i="27"/>
  <c r="CO64" i="27"/>
  <c r="CO87" i="27"/>
  <c r="CO110" i="27"/>
  <c r="CO134" i="27"/>
  <c r="CO135" i="27"/>
  <c r="CO136" i="27"/>
  <c r="CP134" i="27"/>
  <c r="CP135" i="27"/>
  <c r="CP136" i="27"/>
  <c r="CQ134" i="27"/>
  <c r="CQ136" i="27"/>
  <c r="CR134" i="27"/>
  <c r="CR136" i="27"/>
  <c r="CS150" i="27"/>
  <c r="CS152" i="27"/>
  <c r="CO101" i="27"/>
  <c r="CO102" i="27"/>
  <c r="CP101" i="27"/>
  <c r="CP102" i="27"/>
  <c r="CQ101" i="27"/>
  <c r="CQ102" i="27"/>
  <c r="CR101" i="27"/>
  <c r="CR102" i="27"/>
  <c r="CR148" i="27"/>
  <c r="CO107" i="27"/>
  <c r="CO108" i="27"/>
  <c r="CP106" i="27"/>
  <c r="CP107" i="27"/>
  <c r="CP108" i="27"/>
  <c r="CQ106" i="27"/>
  <c r="CQ107" i="27"/>
  <c r="CQ108" i="27"/>
  <c r="CR106" i="27"/>
  <c r="CR107" i="27"/>
  <c r="CR108" i="27"/>
  <c r="CR149" i="27"/>
  <c r="CO112" i="27"/>
  <c r="CP110" i="27"/>
  <c r="CP111" i="27"/>
  <c r="CP112" i="27"/>
  <c r="CQ110" i="27"/>
  <c r="CQ111" i="27"/>
  <c r="CQ112" i="27"/>
  <c r="CR110" i="27"/>
  <c r="CR112" i="27"/>
  <c r="CR150" i="27"/>
  <c r="CR152" i="27"/>
  <c r="CO78" i="27"/>
  <c r="CO79" i="27"/>
  <c r="CP78" i="27"/>
  <c r="CP79" i="27"/>
  <c r="CQ78" i="27"/>
  <c r="CQ79" i="27"/>
  <c r="CR78" i="27"/>
  <c r="CR79" i="27"/>
  <c r="CQ148" i="27"/>
  <c r="CO84" i="27"/>
  <c r="CO85" i="27"/>
  <c r="CP84" i="27"/>
  <c r="CP85" i="27"/>
  <c r="CQ84" i="27"/>
  <c r="CQ85" i="27"/>
  <c r="CR84" i="27"/>
  <c r="CR85" i="27"/>
  <c r="CQ149" i="27"/>
  <c r="CO88" i="27"/>
  <c r="CO89" i="27"/>
  <c r="CP87" i="27"/>
  <c r="CP88" i="27"/>
  <c r="CP89" i="27"/>
  <c r="CQ87" i="27"/>
  <c r="CQ88" i="27"/>
  <c r="CQ89" i="27"/>
  <c r="CR87" i="27"/>
  <c r="CR88" i="27"/>
  <c r="CR89" i="27"/>
  <c r="CQ150" i="27"/>
  <c r="CQ152" i="27"/>
  <c r="CO55" i="27"/>
  <c r="CO56" i="27"/>
  <c r="CP55" i="27"/>
  <c r="CP56" i="27"/>
  <c r="CQ55" i="27"/>
  <c r="CQ56" i="27"/>
  <c r="CR55" i="27"/>
  <c r="CR56" i="27"/>
  <c r="CP148" i="27"/>
  <c r="CO62" i="27"/>
  <c r="CP61" i="27"/>
  <c r="CP62" i="27"/>
  <c r="CQ61" i="27"/>
  <c r="CQ62" i="27"/>
  <c r="CR61" i="27"/>
  <c r="CR62" i="27"/>
  <c r="CP149" i="27"/>
  <c r="CO65" i="27"/>
  <c r="CO66" i="27"/>
  <c r="CP64" i="27"/>
  <c r="CP65" i="27"/>
  <c r="CP66" i="27"/>
  <c r="CQ64" i="27"/>
  <c r="CQ65" i="27"/>
  <c r="CQ66" i="27"/>
  <c r="CR64" i="27"/>
  <c r="CR65" i="27"/>
  <c r="CR66" i="27"/>
  <c r="CP150" i="27"/>
  <c r="CP152" i="27"/>
  <c r="CO31" i="27"/>
  <c r="CO32" i="27"/>
  <c r="CP31" i="27"/>
  <c r="CP32" i="27"/>
  <c r="CQ31" i="27"/>
  <c r="CQ32" i="27"/>
  <c r="CR31" i="27"/>
  <c r="CR32" i="27"/>
  <c r="CO148" i="27"/>
  <c r="CO35" i="27"/>
  <c r="CO37" i="27"/>
  <c r="CO38" i="27"/>
  <c r="CP36" i="27"/>
  <c r="CP37" i="27"/>
  <c r="CP38" i="27"/>
  <c r="CQ36" i="27"/>
  <c r="CQ37" i="27"/>
  <c r="CQ38" i="27"/>
  <c r="CR36" i="27"/>
  <c r="CR37" i="27"/>
  <c r="CR38" i="27"/>
  <c r="CO149" i="27"/>
  <c r="CO40" i="27"/>
  <c r="CO41" i="27"/>
  <c r="CO42" i="27"/>
  <c r="CP41" i="27"/>
  <c r="CP42" i="27"/>
  <c r="CQ41" i="27"/>
  <c r="CQ42" i="27"/>
  <c r="CR40" i="27"/>
  <c r="CR41" i="27"/>
  <c r="CR42" i="27"/>
  <c r="CO150" i="27"/>
  <c r="CO152" i="27"/>
  <c r="CN148" i="27"/>
  <c r="CS123" i="27"/>
  <c r="CS140" i="27"/>
  <c r="CS147" i="27"/>
  <c r="CS99" i="27"/>
  <c r="CS116" i="27"/>
  <c r="CR147" i="27"/>
  <c r="CS76" i="27"/>
  <c r="CS93" i="27"/>
  <c r="CQ147" i="27"/>
  <c r="CS53" i="27"/>
  <c r="CS70" i="27"/>
  <c r="CP147" i="27"/>
  <c r="CS29" i="27"/>
  <c r="CS46" i="27"/>
  <c r="CO147" i="27"/>
  <c r="CO140" i="27"/>
  <c r="CO141" i="27"/>
  <c r="CP140" i="27"/>
  <c r="CP141" i="27"/>
  <c r="CQ140" i="27"/>
  <c r="CQ141" i="27"/>
  <c r="CR140" i="27"/>
  <c r="CR141" i="27"/>
  <c r="CS139" i="27"/>
  <c r="CO116" i="27"/>
  <c r="CO117" i="27"/>
  <c r="CP116" i="27"/>
  <c r="CP117" i="27"/>
  <c r="CQ116" i="27"/>
  <c r="CQ117" i="27"/>
  <c r="CR116" i="27"/>
  <c r="CR117" i="27"/>
  <c r="CS115" i="27"/>
  <c r="CO93" i="27"/>
  <c r="CO94" i="27"/>
  <c r="CP93" i="27"/>
  <c r="CP94" i="27"/>
  <c r="CQ93" i="27"/>
  <c r="CQ94" i="27"/>
  <c r="CR93" i="27"/>
  <c r="CR94" i="27"/>
  <c r="CS92" i="27"/>
  <c r="CP70" i="27"/>
  <c r="CQ70" i="27"/>
  <c r="CR70" i="27"/>
  <c r="CO46" i="27"/>
  <c r="CO47" i="27"/>
  <c r="CP46" i="27"/>
  <c r="CP47" i="27"/>
  <c r="CQ46" i="27"/>
  <c r="CQ47" i="27"/>
  <c r="CR46" i="27"/>
  <c r="CR47" i="27"/>
  <c r="CS45" i="27"/>
  <c r="CO8" i="27"/>
  <c r="CO14" i="27"/>
  <c r="CO20" i="27"/>
  <c r="CO23" i="27"/>
  <c r="CO24" i="27"/>
  <c r="CP14" i="27"/>
  <c r="CP8" i="27"/>
  <c r="CP23" i="27"/>
  <c r="CP24" i="27"/>
  <c r="CQ20" i="27"/>
  <c r="CQ14" i="27"/>
  <c r="CQ8" i="27"/>
  <c r="CQ23" i="27"/>
  <c r="CQ24" i="27"/>
  <c r="CR6" i="27"/>
  <c r="CR12" i="27"/>
  <c r="CR18" i="27"/>
  <c r="CR23" i="27"/>
  <c r="CO21" i="27"/>
  <c r="CP21" i="27"/>
  <c r="CQ21" i="27"/>
  <c r="CO15" i="27"/>
  <c r="CP15" i="27"/>
  <c r="CQ15" i="27"/>
  <c r="CO9" i="27"/>
  <c r="CP9" i="27"/>
  <c r="CQ9" i="27"/>
  <c r="CK115" i="27"/>
  <c r="CK139" i="27"/>
  <c r="CK92" i="27"/>
  <c r="CJ82" i="27"/>
  <c r="CI82" i="27"/>
  <c r="CH82" i="27"/>
  <c r="CK69" i="27"/>
  <c r="CG60" i="27"/>
  <c r="CH36" i="27"/>
  <c r="CI36" i="27"/>
  <c r="CJ36" i="27"/>
  <c r="CG7" i="27"/>
  <c r="E7" i="27"/>
  <c r="F7" i="27"/>
  <c r="D30" i="27"/>
  <c r="D54" i="27"/>
  <c r="D77" i="27"/>
  <c r="D78" i="27"/>
  <c r="D79" i="27"/>
  <c r="E77" i="27"/>
  <c r="E78" i="27"/>
  <c r="E79" i="27"/>
  <c r="F77" i="27"/>
  <c r="G77" i="27"/>
  <c r="G78" i="27"/>
  <c r="D60" i="27"/>
  <c r="D83" i="27"/>
  <c r="D82" i="27"/>
  <c r="D84" i="27"/>
  <c r="D85" i="27"/>
  <c r="E83" i="27"/>
  <c r="E82" i="27"/>
  <c r="E84" i="27"/>
  <c r="E85" i="27"/>
  <c r="F83" i="27"/>
  <c r="G83" i="27"/>
  <c r="G82" i="27"/>
  <c r="G84" i="27"/>
  <c r="D64" i="27"/>
  <c r="D87" i="27"/>
  <c r="D88" i="27"/>
  <c r="D89" i="27"/>
  <c r="E87" i="27"/>
  <c r="E88" i="27"/>
  <c r="E89" i="27"/>
  <c r="F87" i="27"/>
  <c r="G87" i="27"/>
  <c r="G88" i="27"/>
  <c r="L7" i="27"/>
  <c r="L30" i="27"/>
  <c r="L54" i="27"/>
  <c r="L77" i="27"/>
  <c r="L78" i="27"/>
  <c r="L79" i="27"/>
  <c r="M77" i="27"/>
  <c r="M78" i="27"/>
  <c r="M79" i="27"/>
  <c r="N77" i="27"/>
  <c r="N78" i="27"/>
  <c r="N79" i="27"/>
  <c r="O77" i="27"/>
  <c r="O78" i="27"/>
  <c r="O79" i="27"/>
  <c r="N148" i="27"/>
  <c r="L60" i="27"/>
  <c r="L83" i="27"/>
  <c r="L82" i="27"/>
  <c r="L84" i="27"/>
  <c r="L85" i="27"/>
  <c r="M83" i="27"/>
  <c r="M82" i="27"/>
  <c r="M84" i="27"/>
  <c r="M85" i="27"/>
  <c r="N83" i="27"/>
  <c r="N82" i="27"/>
  <c r="N84" i="27"/>
  <c r="N85" i="27"/>
  <c r="O83" i="27"/>
  <c r="O82" i="27"/>
  <c r="O84" i="27"/>
  <c r="O85" i="27"/>
  <c r="N149" i="27"/>
  <c r="L64" i="27"/>
  <c r="L87" i="27"/>
  <c r="L88" i="27"/>
  <c r="L89" i="27"/>
  <c r="M87" i="27"/>
  <c r="M88" i="27"/>
  <c r="M89" i="27"/>
  <c r="N87" i="27"/>
  <c r="N88" i="27"/>
  <c r="N89" i="27"/>
  <c r="O87" i="27"/>
  <c r="O88" i="27"/>
  <c r="O89" i="27"/>
  <c r="N150" i="27"/>
  <c r="N152" i="27"/>
  <c r="F159" i="27"/>
  <c r="U7" i="27"/>
  <c r="U30" i="27"/>
  <c r="V30" i="27"/>
  <c r="W30" i="27"/>
  <c r="X30" i="27"/>
  <c r="U54" i="27"/>
  <c r="U77" i="27"/>
  <c r="U78" i="27"/>
  <c r="U79" i="27"/>
  <c r="V54" i="27"/>
  <c r="V77" i="27"/>
  <c r="V78" i="27"/>
  <c r="V79" i="27"/>
  <c r="W54" i="27"/>
  <c r="W77" i="27"/>
  <c r="W78" i="27"/>
  <c r="W79" i="27"/>
  <c r="X54" i="27"/>
  <c r="X77" i="27"/>
  <c r="X78" i="27"/>
  <c r="X79" i="27"/>
  <c r="W148" i="27"/>
  <c r="U60" i="27"/>
  <c r="V60" i="27"/>
  <c r="W60" i="27"/>
  <c r="X60" i="27"/>
  <c r="U83" i="27"/>
  <c r="U82" i="27"/>
  <c r="U84" i="27"/>
  <c r="U85" i="27"/>
  <c r="V83" i="27"/>
  <c r="V82" i="27"/>
  <c r="V84" i="27"/>
  <c r="V85" i="27"/>
  <c r="W83" i="27"/>
  <c r="W82" i="27"/>
  <c r="W84" i="27"/>
  <c r="W85" i="27"/>
  <c r="X83" i="27"/>
  <c r="X82" i="27"/>
  <c r="X84" i="27"/>
  <c r="X85" i="27"/>
  <c r="W149" i="27"/>
  <c r="U64" i="27"/>
  <c r="U87" i="27"/>
  <c r="U88" i="27"/>
  <c r="U89" i="27"/>
  <c r="V87" i="27"/>
  <c r="V88" i="27"/>
  <c r="V89" i="27"/>
  <c r="W87" i="27"/>
  <c r="W88" i="27"/>
  <c r="W89" i="27"/>
  <c r="X87" i="27"/>
  <c r="X88" i="27"/>
  <c r="X89" i="27"/>
  <c r="W150" i="27"/>
  <c r="W152" i="27"/>
  <c r="F160" i="27"/>
  <c r="AC7" i="27"/>
  <c r="AC30" i="27"/>
  <c r="AD30" i="27"/>
  <c r="AE30" i="27"/>
  <c r="AF30" i="27"/>
  <c r="AC54" i="27"/>
  <c r="AC77" i="27"/>
  <c r="AC78" i="27"/>
  <c r="AC79" i="27"/>
  <c r="AD54" i="27"/>
  <c r="AD77" i="27"/>
  <c r="AD78" i="27"/>
  <c r="AD79" i="27"/>
  <c r="AE54" i="27"/>
  <c r="AE77" i="27"/>
  <c r="AE78" i="27"/>
  <c r="AE79" i="27"/>
  <c r="AF54" i="27"/>
  <c r="AF77" i="27"/>
  <c r="AF78" i="27"/>
  <c r="AF79" i="27"/>
  <c r="AE148" i="27"/>
  <c r="U36" i="27"/>
  <c r="AC36" i="27"/>
  <c r="AD36" i="27"/>
  <c r="AE36" i="27"/>
  <c r="AF36" i="27"/>
  <c r="AC60" i="27"/>
  <c r="AD60" i="27"/>
  <c r="AE60" i="27"/>
  <c r="AF60" i="27"/>
  <c r="AC83" i="27"/>
  <c r="AC82" i="27"/>
  <c r="AC84" i="27"/>
  <c r="AC85" i="27"/>
  <c r="AD83" i="27"/>
  <c r="AD82" i="27"/>
  <c r="AD84" i="27"/>
  <c r="AD85" i="27"/>
  <c r="AE83" i="27"/>
  <c r="AE82" i="27"/>
  <c r="AE84" i="27"/>
  <c r="AE85" i="27"/>
  <c r="AF83" i="27"/>
  <c r="AF82" i="27"/>
  <c r="AF84" i="27"/>
  <c r="AF85" i="27"/>
  <c r="AE149" i="27"/>
  <c r="AC64" i="27"/>
  <c r="AC87" i="27"/>
  <c r="AC88" i="27"/>
  <c r="AC89" i="27"/>
  <c r="AD87" i="27"/>
  <c r="AD88" i="27"/>
  <c r="AD89" i="27"/>
  <c r="AE87" i="27"/>
  <c r="AE88" i="27"/>
  <c r="AE89" i="27"/>
  <c r="AF87" i="27"/>
  <c r="AF88" i="27"/>
  <c r="AF89" i="27"/>
  <c r="AE150" i="27"/>
  <c r="AE152" i="27"/>
  <c r="F161" i="27"/>
  <c r="AJ7" i="27"/>
  <c r="AJ30" i="27"/>
  <c r="AK30" i="27"/>
  <c r="AL30" i="27"/>
  <c r="AM30" i="27"/>
  <c r="AJ54" i="27"/>
  <c r="AJ77" i="27"/>
  <c r="AJ78" i="27"/>
  <c r="AJ79" i="27"/>
  <c r="AK54" i="27"/>
  <c r="AK77" i="27"/>
  <c r="AK78" i="27"/>
  <c r="AK79" i="27"/>
  <c r="AL54" i="27"/>
  <c r="AL77" i="27"/>
  <c r="AL78" i="27"/>
  <c r="AL79" i="27"/>
  <c r="AM54" i="27"/>
  <c r="AM77" i="27"/>
  <c r="AM78" i="27"/>
  <c r="AM79" i="27"/>
  <c r="AL148" i="27"/>
  <c r="AJ60" i="27"/>
  <c r="AK60" i="27"/>
  <c r="AL60" i="27"/>
  <c r="AM60" i="27"/>
  <c r="AJ83" i="27"/>
  <c r="AJ82" i="27"/>
  <c r="AJ84" i="27"/>
  <c r="AJ85" i="27"/>
  <c r="AK83" i="27"/>
  <c r="AK82" i="27"/>
  <c r="AK84" i="27"/>
  <c r="AK85" i="27"/>
  <c r="AL83" i="27"/>
  <c r="AL82" i="27"/>
  <c r="AL84" i="27"/>
  <c r="AL85" i="27"/>
  <c r="AM83" i="27"/>
  <c r="AM82" i="27"/>
  <c r="AM84" i="27"/>
  <c r="AM85" i="27"/>
  <c r="AL149" i="27"/>
  <c r="AJ64" i="27"/>
  <c r="AJ87" i="27"/>
  <c r="AJ88" i="27"/>
  <c r="AJ89" i="27"/>
  <c r="AK87" i="27"/>
  <c r="AK88" i="27"/>
  <c r="AK89" i="27"/>
  <c r="AL87" i="27"/>
  <c r="AL88" i="27"/>
  <c r="AL89" i="27"/>
  <c r="AM87" i="27"/>
  <c r="AM88" i="27"/>
  <c r="AM89" i="27"/>
  <c r="AL150" i="27"/>
  <c r="AL152" i="27"/>
  <c r="F162" i="27"/>
  <c r="AQ7" i="27"/>
  <c r="AQ30" i="27"/>
  <c r="AR30" i="27"/>
  <c r="AS30" i="27"/>
  <c r="AT30" i="27"/>
  <c r="AQ54" i="27"/>
  <c r="AQ77" i="27"/>
  <c r="AQ78" i="27"/>
  <c r="AQ79" i="27"/>
  <c r="AR54" i="27"/>
  <c r="AR77" i="27"/>
  <c r="AR78" i="27"/>
  <c r="AR79" i="27"/>
  <c r="AS54" i="27"/>
  <c r="AS77" i="27"/>
  <c r="AS78" i="27"/>
  <c r="AS79" i="27"/>
  <c r="AT54" i="27"/>
  <c r="AT77" i="27"/>
  <c r="AT78" i="27"/>
  <c r="AT79" i="27"/>
  <c r="AS148" i="27"/>
  <c r="AQ60" i="27"/>
  <c r="AR60" i="27"/>
  <c r="AS60" i="27"/>
  <c r="AT60" i="27"/>
  <c r="AQ83" i="27"/>
  <c r="AQ82" i="27"/>
  <c r="AQ84" i="27"/>
  <c r="AQ85" i="27"/>
  <c r="AR83" i="27"/>
  <c r="AR82" i="27"/>
  <c r="AR84" i="27"/>
  <c r="AR85" i="27"/>
  <c r="AS83" i="27"/>
  <c r="AS82" i="27"/>
  <c r="AS84" i="27"/>
  <c r="AS85" i="27"/>
  <c r="AT83" i="27"/>
  <c r="AT82" i="27"/>
  <c r="AT84" i="27"/>
  <c r="AT85" i="27"/>
  <c r="AS149" i="27"/>
  <c r="AQ64" i="27"/>
  <c r="AQ87" i="27"/>
  <c r="AQ88" i="27"/>
  <c r="AQ89" i="27"/>
  <c r="AR87" i="27"/>
  <c r="AR88" i="27"/>
  <c r="AR89" i="27"/>
  <c r="AS87" i="27"/>
  <c r="AS88" i="27"/>
  <c r="AS89" i="27"/>
  <c r="AT87" i="27"/>
  <c r="AT88" i="27"/>
  <c r="AT89" i="27"/>
  <c r="AS150" i="27"/>
  <c r="AS152" i="27"/>
  <c r="F163" i="27"/>
  <c r="AX7" i="27"/>
  <c r="AX30" i="27"/>
  <c r="AY30" i="27"/>
  <c r="AZ30" i="27"/>
  <c r="BA30" i="27"/>
  <c r="AX54" i="27"/>
  <c r="AX77" i="27"/>
  <c r="AX78" i="27"/>
  <c r="AX79" i="27"/>
  <c r="AY54" i="27"/>
  <c r="AY77" i="27"/>
  <c r="AY78" i="27"/>
  <c r="AY79" i="27"/>
  <c r="AZ54" i="27"/>
  <c r="AZ77" i="27"/>
  <c r="AZ78" i="27"/>
  <c r="AZ79" i="27"/>
  <c r="BA54" i="27"/>
  <c r="BA77" i="27"/>
  <c r="BA78" i="27"/>
  <c r="BA79" i="27"/>
  <c r="AZ148" i="27"/>
  <c r="AX60" i="27"/>
  <c r="AY60" i="27"/>
  <c r="AZ60" i="27"/>
  <c r="BA60" i="27"/>
  <c r="AX83" i="27"/>
  <c r="AX82" i="27"/>
  <c r="AX84" i="27"/>
  <c r="AX85" i="27"/>
  <c r="AY83" i="27"/>
  <c r="AY82" i="27"/>
  <c r="AY84" i="27"/>
  <c r="AY85" i="27"/>
  <c r="AZ83" i="27"/>
  <c r="AZ82" i="27"/>
  <c r="AZ84" i="27"/>
  <c r="AZ85" i="27"/>
  <c r="BA83" i="27"/>
  <c r="BA82" i="27"/>
  <c r="BA84" i="27"/>
  <c r="BA85" i="27"/>
  <c r="AZ149" i="27"/>
  <c r="AX64" i="27"/>
  <c r="AX87" i="27"/>
  <c r="AX88" i="27"/>
  <c r="AX89" i="27"/>
  <c r="AY87" i="27"/>
  <c r="AY88" i="27"/>
  <c r="AY89" i="27"/>
  <c r="AZ87" i="27"/>
  <c r="AZ88" i="27"/>
  <c r="AZ89" i="27"/>
  <c r="BA87" i="27"/>
  <c r="BA88" i="27"/>
  <c r="BA89" i="27"/>
  <c r="AZ150" i="27"/>
  <c r="AZ152" i="27"/>
  <c r="F164" i="27"/>
  <c r="BE7" i="27"/>
  <c r="BE30" i="27"/>
  <c r="BF30" i="27"/>
  <c r="BG30" i="27"/>
  <c r="BH30" i="27"/>
  <c r="BE54" i="27"/>
  <c r="BE77" i="27"/>
  <c r="BE78" i="27"/>
  <c r="BE79" i="27"/>
  <c r="BF54" i="27"/>
  <c r="BF77" i="27"/>
  <c r="BF78" i="27"/>
  <c r="BF79" i="27"/>
  <c r="BG54" i="27"/>
  <c r="BG77" i="27"/>
  <c r="BG78" i="27"/>
  <c r="BG79" i="27"/>
  <c r="BH54" i="27"/>
  <c r="BH77" i="27"/>
  <c r="BH78" i="27"/>
  <c r="BH79" i="27"/>
  <c r="BG148" i="27"/>
  <c r="BE60" i="27"/>
  <c r="BF60" i="27"/>
  <c r="BG60" i="27"/>
  <c r="BH60" i="27"/>
  <c r="BE83" i="27"/>
  <c r="BE82" i="27"/>
  <c r="BE84" i="27"/>
  <c r="BE85" i="27"/>
  <c r="BF83" i="27"/>
  <c r="BF82" i="27"/>
  <c r="BF84" i="27"/>
  <c r="BF85" i="27"/>
  <c r="BG83" i="27"/>
  <c r="BG82" i="27"/>
  <c r="BG84" i="27"/>
  <c r="BG85" i="27"/>
  <c r="BH83" i="27"/>
  <c r="BH82" i="27"/>
  <c r="BH84" i="27"/>
  <c r="BH85" i="27"/>
  <c r="BG149" i="27"/>
  <c r="BE64" i="27"/>
  <c r="BE87" i="27"/>
  <c r="BE88" i="27"/>
  <c r="BE89" i="27"/>
  <c r="BF87" i="27"/>
  <c r="BF88" i="27"/>
  <c r="BF89" i="27"/>
  <c r="BG87" i="27"/>
  <c r="BG88" i="27"/>
  <c r="BG89" i="27"/>
  <c r="BH87" i="27"/>
  <c r="BH88" i="27"/>
  <c r="BH89" i="27"/>
  <c r="BG150" i="27"/>
  <c r="BG152" i="27"/>
  <c r="F165" i="27"/>
  <c r="BL7" i="27"/>
  <c r="BL30" i="27"/>
  <c r="BM30" i="27"/>
  <c r="BN30" i="27"/>
  <c r="BO30" i="27"/>
  <c r="BL54" i="27"/>
  <c r="BL77" i="27"/>
  <c r="BL78" i="27"/>
  <c r="BL79" i="27"/>
  <c r="BM54" i="27"/>
  <c r="BM77" i="27"/>
  <c r="BM78" i="27"/>
  <c r="BM79" i="27"/>
  <c r="BN54" i="27"/>
  <c r="BN77" i="27"/>
  <c r="BN78" i="27"/>
  <c r="BN79" i="27"/>
  <c r="BO54" i="27"/>
  <c r="BO77" i="27"/>
  <c r="BO78" i="27"/>
  <c r="BO79" i="27"/>
  <c r="BN148" i="27"/>
  <c r="BL60" i="27"/>
  <c r="BM60" i="27"/>
  <c r="BN60" i="27"/>
  <c r="BO60" i="27"/>
  <c r="BL83" i="27"/>
  <c r="BL82" i="27"/>
  <c r="BL84" i="27"/>
  <c r="BL85" i="27"/>
  <c r="BM83" i="27"/>
  <c r="BM82" i="27"/>
  <c r="BM84" i="27"/>
  <c r="BM85" i="27"/>
  <c r="BN83" i="27"/>
  <c r="BN82" i="27"/>
  <c r="BN84" i="27"/>
  <c r="BN85" i="27"/>
  <c r="BO83" i="27"/>
  <c r="BO82" i="27"/>
  <c r="BO84" i="27"/>
  <c r="BO85" i="27"/>
  <c r="BN149" i="27"/>
  <c r="BL64" i="27"/>
  <c r="BL87" i="27"/>
  <c r="BL88" i="27"/>
  <c r="BL89" i="27"/>
  <c r="BM87" i="27"/>
  <c r="BM88" i="27"/>
  <c r="BM89" i="27"/>
  <c r="BN87" i="27"/>
  <c r="BN88" i="27"/>
  <c r="BN89" i="27"/>
  <c r="BO87" i="27"/>
  <c r="BO88" i="27"/>
  <c r="BO89" i="27"/>
  <c r="BN150" i="27"/>
  <c r="BN152" i="27"/>
  <c r="F166" i="27"/>
  <c r="BS7" i="27"/>
  <c r="BS30" i="27"/>
  <c r="BT30" i="27"/>
  <c r="BU30" i="27"/>
  <c r="BV30" i="27"/>
  <c r="BS54" i="27"/>
  <c r="BS77" i="27"/>
  <c r="BS78" i="27"/>
  <c r="BS79" i="27"/>
  <c r="BT54" i="27"/>
  <c r="BT77" i="27"/>
  <c r="BT78" i="27"/>
  <c r="BT79" i="27"/>
  <c r="BU54" i="27"/>
  <c r="BU77" i="27"/>
  <c r="BU78" i="27"/>
  <c r="BU79" i="27"/>
  <c r="BV54" i="27"/>
  <c r="BV77" i="27"/>
  <c r="BV78" i="27"/>
  <c r="BV79" i="27"/>
  <c r="BU148" i="27"/>
  <c r="BS60" i="27"/>
  <c r="BT60" i="27"/>
  <c r="BU60" i="27"/>
  <c r="BV60" i="27"/>
  <c r="BS83" i="27"/>
  <c r="BS82" i="27"/>
  <c r="BS84" i="27"/>
  <c r="BS85" i="27"/>
  <c r="BT83" i="27"/>
  <c r="BT82" i="27"/>
  <c r="BT84" i="27"/>
  <c r="BT85" i="27"/>
  <c r="BU83" i="27"/>
  <c r="BU82" i="27"/>
  <c r="BU84" i="27"/>
  <c r="BU85" i="27"/>
  <c r="BV83" i="27"/>
  <c r="BV82" i="27"/>
  <c r="BV84" i="27"/>
  <c r="BV85" i="27"/>
  <c r="BU149" i="27"/>
  <c r="BS64" i="27"/>
  <c r="BS87" i="27"/>
  <c r="BS88" i="27"/>
  <c r="BS89" i="27"/>
  <c r="BT87" i="27"/>
  <c r="BT88" i="27"/>
  <c r="BT89" i="27"/>
  <c r="BU87" i="27"/>
  <c r="BU88" i="27"/>
  <c r="BU89" i="27"/>
  <c r="BV87" i="27"/>
  <c r="BV88" i="27"/>
  <c r="BV89" i="27"/>
  <c r="BU150" i="27"/>
  <c r="BU152" i="27"/>
  <c r="F167" i="27"/>
  <c r="BZ7" i="27"/>
  <c r="BZ30" i="27"/>
  <c r="CA30" i="27"/>
  <c r="CB30" i="27"/>
  <c r="CC30" i="27"/>
  <c r="BZ54" i="27"/>
  <c r="BZ77" i="27"/>
  <c r="BZ78" i="27"/>
  <c r="BZ79" i="27"/>
  <c r="CA54" i="27"/>
  <c r="CA77" i="27"/>
  <c r="CA78" i="27"/>
  <c r="CA79" i="27"/>
  <c r="CB54" i="27"/>
  <c r="CB77" i="27"/>
  <c r="CB78" i="27"/>
  <c r="CB79" i="27"/>
  <c r="CC54" i="27"/>
  <c r="CC77" i="27"/>
  <c r="CC78" i="27"/>
  <c r="CC79" i="27"/>
  <c r="CB148" i="27"/>
  <c r="BZ60" i="27"/>
  <c r="CA60" i="27"/>
  <c r="CB60" i="27"/>
  <c r="CC60" i="27"/>
  <c r="BZ83" i="27"/>
  <c r="BZ82" i="27"/>
  <c r="BZ84" i="27"/>
  <c r="BZ85" i="27"/>
  <c r="CA83" i="27"/>
  <c r="CA82" i="27"/>
  <c r="CA84" i="27"/>
  <c r="CA85" i="27"/>
  <c r="CB83" i="27"/>
  <c r="CB82" i="27"/>
  <c r="CB84" i="27"/>
  <c r="CB85" i="27"/>
  <c r="CC83" i="27"/>
  <c r="CC82" i="27"/>
  <c r="CC84" i="27"/>
  <c r="CC85" i="27"/>
  <c r="CB149" i="27"/>
  <c r="BZ64" i="27"/>
  <c r="BZ87" i="27"/>
  <c r="BZ88" i="27"/>
  <c r="BZ89" i="27"/>
  <c r="CA87" i="27"/>
  <c r="CA88" i="27"/>
  <c r="CA89" i="27"/>
  <c r="CB87" i="27"/>
  <c r="CB88" i="27"/>
  <c r="CB89" i="27"/>
  <c r="CC87" i="27"/>
  <c r="CC88" i="27"/>
  <c r="CC89" i="27"/>
  <c r="CB150" i="27"/>
  <c r="CB152" i="27"/>
  <c r="F168" i="27"/>
  <c r="CG30" i="27"/>
  <c r="CH30" i="27"/>
  <c r="CI30" i="27"/>
  <c r="CJ30" i="27"/>
  <c r="CG54" i="27"/>
  <c r="CG77" i="27"/>
  <c r="CG78" i="27"/>
  <c r="CG79" i="27"/>
  <c r="CH54" i="27"/>
  <c r="CH77" i="27"/>
  <c r="CH78" i="27"/>
  <c r="CH79" i="27"/>
  <c r="CI54" i="27"/>
  <c r="CI77" i="27"/>
  <c r="CI78" i="27"/>
  <c r="CI79" i="27"/>
  <c r="CJ54" i="27"/>
  <c r="CJ77" i="27"/>
  <c r="CJ78" i="27"/>
  <c r="CJ79" i="27"/>
  <c r="CI148" i="27"/>
  <c r="CH60" i="27"/>
  <c r="CI60" i="27"/>
  <c r="CJ60" i="27"/>
  <c r="CG83" i="27"/>
  <c r="CG84" i="27"/>
  <c r="CG85" i="27"/>
  <c r="CH83" i="27"/>
  <c r="CH84" i="27"/>
  <c r="CH85" i="27"/>
  <c r="CI83" i="27"/>
  <c r="CI84" i="27"/>
  <c r="CI85" i="27"/>
  <c r="CJ83" i="27"/>
  <c r="CJ84" i="27"/>
  <c r="CJ85" i="27"/>
  <c r="CI149" i="27"/>
  <c r="CG64" i="27"/>
  <c r="CG87" i="27"/>
  <c r="CG88" i="27"/>
  <c r="CG89" i="27"/>
  <c r="CH87" i="27"/>
  <c r="CH88" i="27"/>
  <c r="CH89" i="27"/>
  <c r="CI87" i="27"/>
  <c r="CI88" i="27"/>
  <c r="CI89" i="27"/>
  <c r="CJ87" i="27"/>
  <c r="CJ88" i="27"/>
  <c r="CJ89" i="27"/>
  <c r="CI150" i="27"/>
  <c r="CI152" i="27"/>
  <c r="F169" i="27"/>
  <c r="G8" i="2"/>
  <c r="H8" i="2"/>
  <c r="H10" i="2"/>
  <c r="G11" i="2"/>
  <c r="H11" i="2"/>
  <c r="H13" i="2"/>
  <c r="H17" i="2"/>
  <c r="H19" i="2"/>
  <c r="H20" i="2"/>
  <c r="H22" i="2"/>
  <c r="H23" i="2"/>
  <c r="H25" i="2"/>
  <c r="H26" i="2"/>
  <c r="H28" i="2"/>
  <c r="H29" i="2"/>
  <c r="H31" i="2"/>
  <c r="H32" i="2"/>
  <c r="H34" i="2"/>
  <c r="H35" i="2"/>
  <c r="H37" i="2"/>
  <c r="H38" i="2"/>
  <c r="H40" i="2"/>
  <c r="H41" i="2"/>
  <c r="H43" i="2"/>
  <c r="H44" i="2"/>
  <c r="H46" i="2"/>
  <c r="H51" i="2"/>
  <c r="H143" i="2"/>
  <c r="H60" i="2"/>
  <c r="H62" i="2"/>
  <c r="H63" i="2"/>
  <c r="H65" i="2"/>
  <c r="H66" i="2"/>
  <c r="H68" i="2"/>
  <c r="H69" i="2"/>
  <c r="H71" i="2"/>
  <c r="H72" i="2"/>
  <c r="H74" i="2"/>
  <c r="H75" i="2"/>
  <c r="H77" i="2"/>
  <c r="H78" i="2"/>
  <c r="H80" i="2"/>
  <c r="H84" i="2"/>
  <c r="H86" i="2"/>
  <c r="H89" i="2"/>
  <c r="H90" i="2"/>
  <c r="H92" i="2"/>
  <c r="H102" i="2"/>
  <c r="H145" i="2"/>
  <c r="H128" i="2"/>
  <c r="H130" i="2"/>
  <c r="H125" i="2"/>
  <c r="H127" i="2"/>
  <c r="H122" i="2"/>
  <c r="H124" i="2"/>
  <c r="H119" i="2"/>
  <c r="H121" i="2"/>
  <c r="H116" i="2"/>
  <c r="H118" i="2"/>
  <c r="H113" i="2"/>
  <c r="H115" i="2"/>
  <c r="H110" i="2"/>
  <c r="H112" i="2"/>
  <c r="H135" i="2"/>
  <c r="H147" i="2"/>
  <c r="H149" i="2"/>
  <c r="E19" i="15"/>
  <c r="H49" i="2"/>
  <c r="G9" i="2"/>
  <c r="H9" i="2"/>
  <c r="G12" i="2"/>
  <c r="H12" i="2"/>
  <c r="H18" i="2"/>
  <c r="H21" i="2"/>
  <c r="H24" i="2"/>
  <c r="H27" i="2"/>
  <c r="H30" i="2"/>
  <c r="H33" i="2"/>
  <c r="H36" i="2"/>
  <c r="H39" i="2"/>
  <c r="H42" i="2"/>
  <c r="H45" i="2"/>
  <c r="H50" i="2"/>
  <c r="H142" i="2"/>
  <c r="H100" i="2"/>
  <c r="H61" i="2"/>
  <c r="H64" i="2"/>
  <c r="H67" i="2"/>
  <c r="H70" i="2"/>
  <c r="H73" i="2"/>
  <c r="H76" i="2"/>
  <c r="H79" i="2"/>
  <c r="H85" i="2"/>
  <c r="H88" i="2"/>
  <c r="H91" i="2"/>
  <c r="H101" i="2"/>
  <c r="H144" i="2"/>
  <c r="H133" i="2"/>
  <c r="H111" i="2"/>
  <c r="H114" i="2"/>
  <c r="H117" i="2"/>
  <c r="H120" i="2"/>
  <c r="H123" i="2"/>
  <c r="H126" i="2"/>
  <c r="H129" i="2"/>
  <c r="H134" i="2"/>
  <c r="H146" i="2"/>
  <c r="H148" i="2"/>
  <c r="E20" i="15"/>
  <c r="F16" i="25"/>
  <c r="C16" i="25"/>
  <c r="G16" i="25"/>
  <c r="H16" i="25"/>
  <c r="E29" i="15"/>
  <c r="F34" i="25"/>
  <c r="C34" i="25"/>
  <c r="G34" i="25"/>
  <c r="H34" i="25"/>
  <c r="E30" i="15"/>
  <c r="D100" i="27"/>
  <c r="D101" i="27"/>
  <c r="D102" i="27"/>
  <c r="E100" i="27"/>
  <c r="E101" i="27"/>
  <c r="E102" i="27"/>
  <c r="F100" i="27"/>
  <c r="G100" i="27"/>
  <c r="G101" i="27"/>
  <c r="D106" i="27"/>
  <c r="D105" i="27"/>
  <c r="D107" i="27"/>
  <c r="D108" i="27"/>
  <c r="E106" i="27"/>
  <c r="E105" i="27"/>
  <c r="E107" i="27"/>
  <c r="E108" i="27"/>
  <c r="F106" i="27"/>
  <c r="G106" i="27"/>
  <c r="G105" i="27"/>
  <c r="G107" i="27"/>
  <c r="D110" i="27"/>
  <c r="D111" i="27"/>
  <c r="D112" i="27"/>
  <c r="E110" i="27"/>
  <c r="E111" i="27"/>
  <c r="E112" i="27"/>
  <c r="F110" i="27"/>
  <c r="G110" i="27"/>
  <c r="G111" i="27"/>
  <c r="L100" i="27"/>
  <c r="L101" i="27"/>
  <c r="L102" i="27"/>
  <c r="M100" i="27"/>
  <c r="M101" i="27"/>
  <c r="M102" i="27"/>
  <c r="N100" i="27"/>
  <c r="N101" i="27"/>
  <c r="N102" i="27"/>
  <c r="O100" i="27"/>
  <c r="O101" i="27"/>
  <c r="O102" i="27"/>
  <c r="O148" i="27"/>
  <c r="L106" i="27"/>
  <c r="L105" i="27"/>
  <c r="L107" i="27"/>
  <c r="L108" i="27"/>
  <c r="M106" i="27"/>
  <c r="M105" i="27"/>
  <c r="M107" i="27"/>
  <c r="M108" i="27"/>
  <c r="N106" i="27"/>
  <c r="N105" i="27"/>
  <c r="N107" i="27"/>
  <c r="N108" i="27"/>
  <c r="O106" i="27"/>
  <c r="O105" i="27"/>
  <c r="O107" i="27"/>
  <c r="O108" i="27"/>
  <c r="O149" i="27"/>
  <c r="L110" i="27"/>
  <c r="L111" i="27"/>
  <c r="L112" i="27"/>
  <c r="M110" i="27"/>
  <c r="M111" i="27"/>
  <c r="M112" i="27"/>
  <c r="N110" i="27"/>
  <c r="N111" i="27"/>
  <c r="N112" i="27"/>
  <c r="O110" i="27"/>
  <c r="O111" i="27"/>
  <c r="O112" i="27"/>
  <c r="O150" i="27"/>
  <c r="O152" i="27"/>
  <c r="G159" i="27"/>
  <c r="U100" i="27"/>
  <c r="U101" i="27"/>
  <c r="U102" i="27"/>
  <c r="V100" i="27"/>
  <c r="V101" i="27"/>
  <c r="V102" i="27"/>
  <c r="W100" i="27"/>
  <c r="W101" i="27"/>
  <c r="W102" i="27"/>
  <c r="X100" i="27"/>
  <c r="X101" i="27"/>
  <c r="X102" i="27"/>
  <c r="X148" i="27"/>
  <c r="U106" i="27"/>
  <c r="U105" i="27"/>
  <c r="U107" i="27"/>
  <c r="U108" i="27"/>
  <c r="V106" i="27"/>
  <c r="V105" i="27"/>
  <c r="V107" i="27"/>
  <c r="V108" i="27"/>
  <c r="W106" i="27"/>
  <c r="W105" i="27"/>
  <c r="W107" i="27"/>
  <c r="W108" i="27"/>
  <c r="X106" i="27"/>
  <c r="X105" i="27"/>
  <c r="X107" i="27"/>
  <c r="X108" i="27"/>
  <c r="X149" i="27"/>
  <c r="U110" i="27"/>
  <c r="U111" i="27"/>
  <c r="U112" i="27"/>
  <c r="V110" i="27"/>
  <c r="V111" i="27"/>
  <c r="V112" i="27"/>
  <c r="W110" i="27"/>
  <c r="W111" i="27"/>
  <c r="W112" i="27"/>
  <c r="X110" i="27"/>
  <c r="X111" i="27"/>
  <c r="X112" i="27"/>
  <c r="X150" i="27"/>
  <c r="X152" i="27"/>
  <c r="G160" i="27"/>
  <c r="AC100" i="27"/>
  <c r="AC101" i="27"/>
  <c r="AC102" i="27"/>
  <c r="AD100" i="27"/>
  <c r="AD101" i="27"/>
  <c r="AD102" i="27"/>
  <c r="AE100" i="27"/>
  <c r="AE101" i="27"/>
  <c r="AE102" i="27"/>
  <c r="AF100" i="27"/>
  <c r="AF101" i="27"/>
  <c r="AF102" i="27"/>
  <c r="AF148" i="27"/>
  <c r="AC106" i="27"/>
  <c r="AC105" i="27"/>
  <c r="AC107" i="27"/>
  <c r="AC108" i="27"/>
  <c r="AD106" i="27"/>
  <c r="AD105" i="27"/>
  <c r="AD107" i="27"/>
  <c r="AD108" i="27"/>
  <c r="AE106" i="27"/>
  <c r="AE105" i="27"/>
  <c r="AE107" i="27"/>
  <c r="AE108" i="27"/>
  <c r="AF106" i="27"/>
  <c r="AF105" i="27"/>
  <c r="AF107" i="27"/>
  <c r="AF108" i="27"/>
  <c r="AF149" i="27"/>
  <c r="AC110" i="27"/>
  <c r="AC111" i="27"/>
  <c r="AC112" i="27"/>
  <c r="AD110" i="27"/>
  <c r="AD111" i="27"/>
  <c r="AD112" i="27"/>
  <c r="AE110" i="27"/>
  <c r="AE111" i="27"/>
  <c r="AE112" i="27"/>
  <c r="AF110" i="27"/>
  <c r="AF111" i="27"/>
  <c r="AF112" i="27"/>
  <c r="AF150" i="27"/>
  <c r="AF152" i="27"/>
  <c r="G161" i="27"/>
  <c r="AJ100" i="27"/>
  <c r="AJ101" i="27"/>
  <c r="AJ102" i="27"/>
  <c r="AK100" i="27"/>
  <c r="AK101" i="27"/>
  <c r="AK102" i="27"/>
  <c r="AL100" i="27"/>
  <c r="AL101" i="27"/>
  <c r="AL102" i="27"/>
  <c r="AM100" i="27"/>
  <c r="AM101" i="27"/>
  <c r="AM102" i="27"/>
  <c r="AM148" i="27"/>
  <c r="AJ106" i="27"/>
  <c r="AJ105" i="27"/>
  <c r="AJ107" i="27"/>
  <c r="AJ108" i="27"/>
  <c r="AK106" i="27"/>
  <c r="AK105" i="27"/>
  <c r="AK107" i="27"/>
  <c r="AK108" i="27"/>
  <c r="AL106" i="27"/>
  <c r="AL105" i="27"/>
  <c r="AL107" i="27"/>
  <c r="AL108" i="27"/>
  <c r="AM106" i="27"/>
  <c r="AM105" i="27"/>
  <c r="AM107" i="27"/>
  <c r="AM108" i="27"/>
  <c r="AM149" i="27"/>
  <c r="AJ110" i="27"/>
  <c r="AJ111" i="27"/>
  <c r="AJ112" i="27"/>
  <c r="AK110" i="27"/>
  <c r="AK111" i="27"/>
  <c r="AK112" i="27"/>
  <c r="AL110" i="27"/>
  <c r="AL111" i="27"/>
  <c r="AL112" i="27"/>
  <c r="AM110" i="27"/>
  <c r="AM111" i="27"/>
  <c r="AM112" i="27"/>
  <c r="AM150" i="27"/>
  <c r="AM152" i="27"/>
  <c r="G162" i="27"/>
  <c r="AQ100" i="27"/>
  <c r="AQ101" i="27"/>
  <c r="AQ102" i="27"/>
  <c r="AR100" i="27"/>
  <c r="AR101" i="27"/>
  <c r="AR102" i="27"/>
  <c r="AS100" i="27"/>
  <c r="AS101" i="27"/>
  <c r="AS102" i="27"/>
  <c r="AT100" i="27"/>
  <c r="AT101" i="27"/>
  <c r="AT102" i="27"/>
  <c r="AT148" i="27"/>
  <c r="AQ106" i="27"/>
  <c r="AQ105" i="27"/>
  <c r="AQ107" i="27"/>
  <c r="AQ108" i="27"/>
  <c r="AR106" i="27"/>
  <c r="AR105" i="27"/>
  <c r="AR107" i="27"/>
  <c r="AR108" i="27"/>
  <c r="AS106" i="27"/>
  <c r="AS105" i="27"/>
  <c r="AS107" i="27"/>
  <c r="AS108" i="27"/>
  <c r="AT106" i="27"/>
  <c r="AT105" i="27"/>
  <c r="AT107" i="27"/>
  <c r="AT108" i="27"/>
  <c r="AT149" i="27"/>
  <c r="AQ110" i="27"/>
  <c r="AQ111" i="27"/>
  <c r="AQ112" i="27"/>
  <c r="AR110" i="27"/>
  <c r="AR111" i="27"/>
  <c r="AR112" i="27"/>
  <c r="AS110" i="27"/>
  <c r="AS111" i="27"/>
  <c r="AS112" i="27"/>
  <c r="AT110" i="27"/>
  <c r="AT111" i="27"/>
  <c r="AT112" i="27"/>
  <c r="AT150" i="27"/>
  <c r="AT152" i="27"/>
  <c r="G163" i="27"/>
  <c r="AX100" i="27"/>
  <c r="AX101" i="27"/>
  <c r="AX102" i="27"/>
  <c r="AY100" i="27"/>
  <c r="AY101" i="27"/>
  <c r="AY102" i="27"/>
  <c r="AZ100" i="27"/>
  <c r="AZ101" i="27"/>
  <c r="AZ102" i="27"/>
  <c r="BA100" i="27"/>
  <c r="BA101" i="27"/>
  <c r="BA102" i="27"/>
  <c r="BA148" i="27"/>
  <c r="AX106" i="27"/>
  <c r="AX105" i="27"/>
  <c r="AX107" i="27"/>
  <c r="AX108" i="27"/>
  <c r="AY106" i="27"/>
  <c r="AY105" i="27"/>
  <c r="AY107" i="27"/>
  <c r="AY108" i="27"/>
  <c r="AZ106" i="27"/>
  <c r="AZ105" i="27"/>
  <c r="AZ107" i="27"/>
  <c r="AZ108" i="27"/>
  <c r="BA106" i="27"/>
  <c r="BA105" i="27"/>
  <c r="BA107" i="27"/>
  <c r="BA108" i="27"/>
  <c r="BA149" i="27"/>
  <c r="AX110" i="27"/>
  <c r="AX111" i="27"/>
  <c r="AX112" i="27"/>
  <c r="AY110" i="27"/>
  <c r="AY111" i="27"/>
  <c r="AY112" i="27"/>
  <c r="AZ110" i="27"/>
  <c r="AZ111" i="27"/>
  <c r="AZ112" i="27"/>
  <c r="BA110" i="27"/>
  <c r="BA111" i="27"/>
  <c r="BA112" i="27"/>
  <c r="BA150" i="27"/>
  <c r="BA152" i="27"/>
  <c r="G164" i="27"/>
  <c r="BE100" i="27"/>
  <c r="BE101" i="27"/>
  <c r="BE102" i="27"/>
  <c r="BF100" i="27"/>
  <c r="BF101" i="27"/>
  <c r="BF102" i="27"/>
  <c r="BG100" i="27"/>
  <c r="BG101" i="27"/>
  <c r="BG102" i="27"/>
  <c r="BH100" i="27"/>
  <c r="BH101" i="27"/>
  <c r="BH102" i="27"/>
  <c r="BH148" i="27"/>
  <c r="BE106" i="27"/>
  <c r="BE105" i="27"/>
  <c r="BE107" i="27"/>
  <c r="BE108" i="27"/>
  <c r="BF106" i="27"/>
  <c r="BF105" i="27"/>
  <c r="BF107" i="27"/>
  <c r="BF108" i="27"/>
  <c r="BG106" i="27"/>
  <c r="BG105" i="27"/>
  <c r="BG107" i="27"/>
  <c r="BG108" i="27"/>
  <c r="BH106" i="27"/>
  <c r="BH105" i="27"/>
  <c r="BH107" i="27"/>
  <c r="BH108" i="27"/>
  <c r="BH149" i="27"/>
  <c r="BE110" i="27"/>
  <c r="BE111" i="27"/>
  <c r="BE112" i="27"/>
  <c r="BF110" i="27"/>
  <c r="BF111" i="27"/>
  <c r="BF112" i="27"/>
  <c r="BG110" i="27"/>
  <c r="BG111" i="27"/>
  <c r="BG112" i="27"/>
  <c r="BH110" i="27"/>
  <c r="BH111" i="27"/>
  <c r="BH112" i="27"/>
  <c r="BH150" i="27"/>
  <c r="BH152" i="27"/>
  <c r="G165" i="27"/>
  <c r="BL100" i="27"/>
  <c r="BL101" i="27"/>
  <c r="BL102" i="27"/>
  <c r="BM100" i="27"/>
  <c r="BM101" i="27"/>
  <c r="BM102" i="27"/>
  <c r="BN100" i="27"/>
  <c r="BN101" i="27"/>
  <c r="BN102" i="27"/>
  <c r="BO100" i="27"/>
  <c r="BO101" i="27"/>
  <c r="BO102" i="27"/>
  <c r="BO148" i="27"/>
  <c r="BL106" i="27"/>
  <c r="BL105" i="27"/>
  <c r="BL107" i="27"/>
  <c r="BL108" i="27"/>
  <c r="BM106" i="27"/>
  <c r="BM105" i="27"/>
  <c r="BM107" i="27"/>
  <c r="BM108" i="27"/>
  <c r="BN106" i="27"/>
  <c r="BN105" i="27"/>
  <c r="BN107" i="27"/>
  <c r="BN108" i="27"/>
  <c r="BO106" i="27"/>
  <c r="BO105" i="27"/>
  <c r="BO107" i="27"/>
  <c r="BO108" i="27"/>
  <c r="BO149" i="27"/>
  <c r="BL110" i="27"/>
  <c r="BL111" i="27"/>
  <c r="BL112" i="27"/>
  <c r="BM110" i="27"/>
  <c r="BM111" i="27"/>
  <c r="BM112" i="27"/>
  <c r="BN110" i="27"/>
  <c r="BN111" i="27"/>
  <c r="BN112" i="27"/>
  <c r="BO110" i="27"/>
  <c r="BO111" i="27"/>
  <c r="BO112" i="27"/>
  <c r="BO150" i="27"/>
  <c r="BO152" i="27"/>
  <c r="G166" i="27"/>
  <c r="BS100" i="27"/>
  <c r="BS101" i="27"/>
  <c r="BS102" i="27"/>
  <c r="BT100" i="27"/>
  <c r="BT101" i="27"/>
  <c r="BT102" i="27"/>
  <c r="BU100" i="27"/>
  <c r="BU101" i="27"/>
  <c r="BU102" i="27"/>
  <c r="BV100" i="27"/>
  <c r="BV101" i="27"/>
  <c r="BV102" i="27"/>
  <c r="BV148" i="27"/>
  <c r="BS106" i="27"/>
  <c r="BS105" i="27"/>
  <c r="BS107" i="27"/>
  <c r="BS108" i="27"/>
  <c r="BT106" i="27"/>
  <c r="BT105" i="27"/>
  <c r="BT107" i="27"/>
  <c r="BT108" i="27"/>
  <c r="BU106" i="27"/>
  <c r="BU105" i="27"/>
  <c r="BU107" i="27"/>
  <c r="BU108" i="27"/>
  <c r="BV106" i="27"/>
  <c r="BV105" i="27"/>
  <c r="BV107" i="27"/>
  <c r="BV108" i="27"/>
  <c r="BV149" i="27"/>
  <c r="BS110" i="27"/>
  <c r="BS111" i="27"/>
  <c r="BS112" i="27"/>
  <c r="BT110" i="27"/>
  <c r="BT111" i="27"/>
  <c r="BT112" i="27"/>
  <c r="BU110" i="27"/>
  <c r="BU111" i="27"/>
  <c r="BU112" i="27"/>
  <c r="BV110" i="27"/>
  <c r="BV111" i="27"/>
  <c r="BV112" i="27"/>
  <c r="BV150" i="27"/>
  <c r="BV152" i="27"/>
  <c r="G167" i="27"/>
  <c r="BZ100" i="27"/>
  <c r="BZ101" i="27"/>
  <c r="BZ102" i="27"/>
  <c r="CA100" i="27"/>
  <c r="CA101" i="27"/>
  <c r="CA102" i="27"/>
  <c r="CB100" i="27"/>
  <c r="CB101" i="27"/>
  <c r="CB102" i="27"/>
  <c r="CC100" i="27"/>
  <c r="CC101" i="27"/>
  <c r="CC102" i="27"/>
  <c r="CC148" i="27"/>
  <c r="BZ106" i="27"/>
  <c r="BZ105" i="27"/>
  <c r="BZ107" i="27"/>
  <c r="BZ108" i="27"/>
  <c r="CA106" i="27"/>
  <c r="CA105" i="27"/>
  <c r="CA107" i="27"/>
  <c r="CA108" i="27"/>
  <c r="CB106" i="27"/>
  <c r="CB105" i="27"/>
  <c r="CB107" i="27"/>
  <c r="CB108" i="27"/>
  <c r="CC106" i="27"/>
  <c r="CC105" i="27"/>
  <c r="CC107" i="27"/>
  <c r="CC108" i="27"/>
  <c r="CC149" i="27"/>
  <c r="BZ110" i="27"/>
  <c r="BZ111" i="27"/>
  <c r="BZ112" i="27"/>
  <c r="CA110" i="27"/>
  <c r="CA111" i="27"/>
  <c r="CA112" i="27"/>
  <c r="CB110" i="27"/>
  <c r="CB111" i="27"/>
  <c r="CB112" i="27"/>
  <c r="CC110" i="27"/>
  <c r="CC111" i="27"/>
  <c r="CC112" i="27"/>
  <c r="CC150" i="27"/>
  <c r="CC152" i="27"/>
  <c r="G168" i="27"/>
  <c r="CG100" i="27"/>
  <c r="CG101" i="27"/>
  <c r="CG102" i="27"/>
  <c r="CH100" i="27"/>
  <c r="CH101" i="27"/>
  <c r="CH102" i="27"/>
  <c r="CI100" i="27"/>
  <c r="CI101" i="27"/>
  <c r="CI102" i="27"/>
  <c r="CJ100" i="27"/>
  <c r="CJ101" i="27"/>
  <c r="CJ102" i="27"/>
  <c r="CJ148" i="27"/>
  <c r="CG106" i="27"/>
  <c r="CG107" i="27"/>
  <c r="CG108" i="27"/>
  <c r="CH106" i="27"/>
  <c r="CH107" i="27"/>
  <c r="CH108" i="27"/>
  <c r="CI106" i="27"/>
  <c r="CI107" i="27"/>
  <c r="CI108" i="27"/>
  <c r="CJ106" i="27"/>
  <c r="CJ107" i="27"/>
  <c r="CJ108" i="27"/>
  <c r="CJ149" i="27"/>
  <c r="CG110" i="27"/>
  <c r="CG111" i="27"/>
  <c r="CG112" i="27"/>
  <c r="CH110" i="27"/>
  <c r="CH111" i="27"/>
  <c r="CH112" i="27"/>
  <c r="CI110" i="27"/>
  <c r="CI111" i="27"/>
  <c r="CI112" i="27"/>
  <c r="CJ110" i="27"/>
  <c r="CJ111" i="27"/>
  <c r="CJ112" i="27"/>
  <c r="CJ150" i="27"/>
  <c r="CJ152" i="27"/>
  <c r="G169" i="27"/>
  <c r="I8" i="2"/>
  <c r="I10" i="2"/>
  <c r="I11" i="2"/>
  <c r="I13" i="2"/>
  <c r="I14" i="2"/>
  <c r="I16" i="2"/>
  <c r="I17" i="2"/>
  <c r="I19" i="2"/>
  <c r="I20" i="2"/>
  <c r="I22" i="2"/>
  <c r="I23" i="2"/>
  <c r="I25" i="2"/>
  <c r="I26" i="2"/>
  <c r="I28" i="2"/>
  <c r="I29" i="2"/>
  <c r="I31" i="2"/>
  <c r="I32" i="2"/>
  <c r="I34" i="2"/>
  <c r="I35" i="2"/>
  <c r="I37" i="2"/>
  <c r="I41" i="2"/>
  <c r="I43" i="2"/>
  <c r="I44" i="2"/>
  <c r="I46" i="2"/>
  <c r="I51" i="2"/>
  <c r="I143" i="2"/>
  <c r="I60" i="2"/>
  <c r="I62" i="2"/>
  <c r="I63" i="2"/>
  <c r="I65" i="2"/>
  <c r="I66" i="2"/>
  <c r="I68" i="2"/>
  <c r="I69" i="2"/>
  <c r="I71" i="2"/>
  <c r="I72" i="2"/>
  <c r="I74" i="2"/>
  <c r="I75" i="2"/>
  <c r="I77" i="2"/>
  <c r="I78" i="2"/>
  <c r="I80" i="2"/>
  <c r="I84" i="2"/>
  <c r="I86" i="2"/>
  <c r="I87" i="2"/>
  <c r="I89" i="2"/>
  <c r="I90" i="2"/>
  <c r="I92" i="2"/>
  <c r="I102" i="2"/>
  <c r="I145" i="2"/>
  <c r="I128" i="2"/>
  <c r="I130" i="2"/>
  <c r="I125" i="2"/>
  <c r="I127" i="2"/>
  <c r="I122" i="2"/>
  <c r="I124" i="2"/>
  <c r="I119" i="2"/>
  <c r="I121" i="2"/>
  <c r="I116" i="2"/>
  <c r="I118" i="2"/>
  <c r="I113" i="2"/>
  <c r="I115" i="2"/>
  <c r="I110" i="2"/>
  <c r="I112" i="2"/>
  <c r="I135" i="2"/>
  <c r="I147" i="2"/>
  <c r="I149" i="2"/>
  <c r="F19" i="15"/>
  <c r="I38" i="2"/>
  <c r="I49" i="2"/>
  <c r="I9" i="2"/>
  <c r="I12" i="2"/>
  <c r="I15" i="2"/>
  <c r="I18" i="2"/>
  <c r="I21" i="2"/>
  <c r="I24" i="2"/>
  <c r="I27" i="2"/>
  <c r="I30" i="2"/>
  <c r="I33" i="2"/>
  <c r="I36" i="2"/>
  <c r="I39" i="2"/>
  <c r="I42" i="2"/>
  <c r="I45" i="2"/>
  <c r="I50" i="2"/>
  <c r="I142" i="2"/>
  <c r="I100" i="2"/>
  <c r="I61" i="2"/>
  <c r="I64" i="2"/>
  <c r="I67" i="2"/>
  <c r="I70" i="2"/>
  <c r="I73" i="2"/>
  <c r="I76" i="2"/>
  <c r="I79" i="2"/>
  <c r="I85" i="2"/>
  <c r="I88" i="2"/>
  <c r="I91" i="2"/>
  <c r="I101" i="2"/>
  <c r="I144" i="2"/>
  <c r="I133" i="2"/>
  <c r="I111" i="2"/>
  <c r="I114" i="2"/>
  <c r="I117" i="2"/>
  <c r="I120" i="2"/>
  <c r="I123" i="2"/>
  <c r="I126" i="2"/>
  <c r="I129" i="2"/>
  <c r="I134" i="2"/>
  <c r="I146" i="2"/>
  <c r="I148" i="2"/>
  <c r="F20" i="15"/>
  <c r="F17" i="25"/>
  <c r="C17" i="25"/>
  <c r="G17" i="25"/>
  <c r="H17" i="25"/>
  <c r="F29" i="15"/>
  <c r="F35" i="25"/>
  <c r="C35" i="25"/>
  <c r="G35" i="25"/>
  <c r="H35" i="25"/>
  <c r="F30" i="15"/>
  <c r="D124" i="27"/>
  <c r="D125" i="27"/>
  <c r="D126" i="27"/>
  <c r="E124" i="27"/>
  <c r="E125" i="27"/>
  <c r="E126" i="27"/>
  <c r="F124" i="27"/>
  <c r="F125" i="27"/>
  <c r="F126" i="27"/>
  <c r="G124" i="27"/>
  <c r="G125" i="27"/>
  <c r="G126" i="27"/>
  <c r="H148" i="27"/>
  <c r="D130" i="27"/>
  <c r="D129" i="27"/>
  <c r="D131" i="27"/>
  <c r="D132" i="27"/>
  <c r="E130" i="27"/>
  <c r="E129" i="27"/>
  <c r="E131" i="27"/>
  <c r="E132" i="27"/>
  <c r="F130" i="27"/>
  <c r="F129" i="27"/>
  <c r="F131" i="27"/>
  <c r="F132" i="27"/>
  <c r="G130" i="27"/>
  <c r="G129" i="27"/>
  <c r="G131" i="27"/>
  <c r="G132" i="27"/>
  <c r="H149" i="27"/>
  <c r="D134" i="27"/>
  <c r="D135" i="27"/>
  <c r="D136" i="27"/>
  <c r="E134" i="27"/>
  <c r="E135" i="27"/>
  <c r="E136" i="27"/>
  <c r="F134" i="27"/>
  <c r="F135" i="27"/>
  <c r="F136" i="27"/>
  <c r="G134" i="27"/>
  <c r="G135" i="27"/>
  <c r="G136" i="27"/>
  <c r="H150" i="27"/>
  <c r="H152" i="27"/>
  <c r="H158" i="27"/>
  <c r="L124" i="27"/>
  <c r="L125" i="27"/>
  <c r="L126" i="27"/>
  <c r="M124" i="27"/>
  <c r="M125" i="27"/>
  <c r="M126" i="27"/>
  <c r="N124" i="27"/>
  <c r="N125" i="27"/>
  <c r="N126" i="27"/>
  <c r="O124" i="27"/>
  <c r="O125" i="27"/>
  <c r="O126" i="27"/>
  <c r="P148" i="27"/>
  <c r="L130" i="27"/>
  <c r="L129" i="27"/>
  <c r="L131" i="27"/>
  <c r="L132" i="27"/>
  <c r="M130" i="27"/>
  <c r="M129" i="27"/>
  <c r="M131" i="27"/>
  <c r="M132" i="27"/>
  <c r="N130" i="27"/>
  <c r="N129" i="27"/>
  <c r="N131" i="27"/>
  <c r="N132" i="27"/>
  <c r="O130" i="27"/>
  <c r="O129" i="27"/>
  <c r="O131" i="27"/>
  <c r="O132" i="27"/>
  <c r="P149" i="27"/>
  <c r="L134" i="27"/>
  <c r="L135" i="27"/>
  <c r="L136" i="27"/>
  <c r="M134" i="27"/>
  <c r="M135" i="27"/>
  <c r="M136" i="27"/>
  <c r="N134" i="27"/>
  <c r="N135" i="27"/>
  <c r="N136" i="27"/>
  <c r="O134" i="27"/>
  <c r="O135" i="27"/>
  <c r="O136" i="27"/>
  <c r="P150" i="27"/>
  <c r="P152" i="27"/>
  <c r="H159" i="27"/>
  <c r="U124" i="27"/>
  <c r="U125" i="27"/>
  <c r="U126" i="27"/>
  <c r="V124" i="27"/>
  <c r="V125" i="27"/>
  <c r="V126" i="27"/>
  <c r="W124" i="27"/>
  <c r="W125" i="27"/>
  <c r="W126" i="27"/>
  <c r="X124" i="27"/>
  <c r="X125" i="27"/>
  <c r="X126" i="27"/>
  <c r="Y148" i="27"/>
  <c r="U130" i="27"/>
  <c r="U129" i="27"/>
  <c r="U131" i="27"/>
  <c r="U132" i="27"/>
  <c r="V130" i="27"/>
  <c r="V129" i="27"/>
  <c r="V131" i="27"/>
  <c r="V132" i="27"/>
  <c r="W130" i="27"/>
  <c r="W129" i="27"/>
  <c r="W131" i="27"/>
  <c r="W132" i="27"/>
  <c r="X130" i="27"/>
  <c r="X129" i="27"/>
  <c r="X131" i="27"/>
  <c r="X132" i="27"/>
  <c r="Y149" i="27"/>
  <c r="U134" i="27"/>
  <c r="U135" i="27"/>
  <c r="U136" i="27"/>
  <c r="V134" i="27"/>
  <c r="V135" i="27"/>
  <c r="V136" i="27"/>
  <c r="W134" i="27"/>
  <c r="W135" i="27"/>
  <c r="W136" i="27"/>
  <c r="X134" i="27"/>
  <c r="X135" i="27"/>
  <c r="X136" i="27"/>
  <c r="Y150" i="27"/>
  <c r="Y152" i="27"/>
  <c r="H160" i="27"/>
  <c r="AC124" i="27"/>
  <c r="AC125" i="27"/>
  <c r="AC126" i="27"/>
  <c r="AD124" i="27"/>
  <c r="AD125" i="27"/>
  <c r="AD126" i="27"/>
  <c r="AE124" i="27"/>
  <c r="AE125" i="27"/>
  <c r="AE126" i="27"/>
  <c r="AF124" i="27"/>
  <c r="AF125" i="27"/>
  <c r="AF126" i="27"/>
  <c r="AG148" i="27"/>
  <c r="AC130" i="27"/>
  <c r="AC129" i="27"/>
  <c r="AC131" i="27"/>
  <c r="AC132" i="27"/>
  <c r="AD130" i="27"/>
  <c r="AD129" i="27"/>
  <c r="AD131" i="27"/>
  <c r="AD132" i="27"/>
  <c r="AE130" i="27"/>
  <c r="AE129" i="27"/>
  <c r="AE131" i="27"/>
  <c r="AE132" i="27"/>
  <c r="AF130" i="27"/>
  <c r="AF129" i="27"/>
  <c r="AF131" i="27"/>
  <c r="AF132" i="27"/>
  <c r="AG149" i="27"/>
  <c r="AC134" i="27"/>
  <c r="AC135" i="27"/>
  <c r="AC136" i="27"/>
  <c r="AD134" i="27"/>
  <c r="AD135" i="27"/>
  <c r="AD136" i="27"/>
  <c r="AE134" i="27"/>
  <c r="AE135" i="27"/>
  <c r="AE136" i="27"/>
  <c r="AF134" i="27"/>
  <c r="AF135" i="27"/>
  <c r="AF136" i="27"/>
  <c r="AG150" i="27"/>
  <c r="AG152" i="27"/>
  <c r="H161" i="27"/>
  <c r="AJ124" i="27"/>
  <c r="AJ125" i="27"/>
  <c r="AJ126" i="27"/>
  <c r="AK124" i="27"/>
  <c r="AK125" i="27"/>
  <c r="AK126" i="27"/>
  <c r="AL124" i="27"/>
  <c r="AL125" i="27"/>
  <c r="AL126" i="27"/>
  <c r="AM124" i="27"/>
  <c r="AM125" i="27"/>
  <c r="AM126" i="27"/>
  <c r="AN148" i="27"/>
  <c r="AJ130" i="27"/>
  <c r="AJ129" i="27"/>
  <c r="AJ131" i="27"/>
  <c r="AJ132" i="27"/>
  <c r="AK130" i="27"/>
  <c r="AK129" i="27"/>
  <c r="AK131" i="27"/>
  <c r="AK132" i="27"/>
  <c r="AL130" i="27"/>
  <c r="AL129" i="27"/>
  <c r="AL131" i="27"/>
  <c r="AL132" i="27"/>
  <c r="AM130" i="27"/>
  <c r="AM129" i="27"/>
  <c r="AM131" i="27"/>
  <c r="AM132" i="27"/>
  <c r="AN149" i="27"/>
  <c r="AJ134" i="27"/>
  <c r="AJ135" i="27"/>
  <c r="AJ136" i="27"/>
  <c r="AK134" i="27"/>
  <c r="AK135" i="27"/>
  <c r="AK136" i="27"/>
  <c r="AL134" i="27"/>
  <c r="AL135" i="27"/>
  <c r="AL136" i="27"/>
  <c r="AM134" i="27"/>
  <c r="AM135" i="27"/>
  <c r="AM136" i="27"/>
  <c r="AN150" i="27"/>
  <c r="AN152" i="27"/>
  <c r="H162" i="27"/>
  <c r="AQ124" i="27"/>
  <c r="AQ125" i="27"/>
  <c r="AQ126" i="27"/>
  <c r="AR124" i="27"/>
  <c r="AR125" i="27"/>
  <c r="AR126" i="27"/>
  <c r="AS124" i="27"/>
  <c r="AS125" i="27"/>
  <c r="AS126" i="27"/>
  <c r="AT124" i="27"/>
  <c r="AT125" i="27"/>
  <c r="AT126" i="27"/>
  <c r="AU148" i="27"/>
  <c r="AQ130" i="27"/>
  <c r="AQ129" i="27"/>
  <c r="AQ131" i="27"/>
  <c r="AQ132" i="27"/>
  <c r="AR130" i="27"/>
  <c r="AR129" i="27"/>
  <c r="AR131" i="27"/>
  <c r="AR132" i="27"/>
  <c r="AS130" i="27"/>
  <c r="AS129" i="27"/>
  <c r="AS131" i="27"/>
  <c r="AS132" i="27"/>
  <c r="AT130" i="27"/>
  <c r="AT129" i="27"/>
  <c r="AT131" i="27"/>
  <c r="AT132" i="27"/>
  <c r="AU149" i="27"/>
  <c r="AQ134" i="27"/>
  <c r="AQ135" i="27"/>
  <c r="AQ136" i="27"/>
  <c r="AR134" i="27"/>
  <c r="AR135" i="27"/>
  <c r="AR136" i="27"/>
  <c r="AS134" i="27"/>
  <c r="AS135" i="27"/>
  <c r="AS136" i="27"/>
  <c r="AT134" i="27"/>
  <c r="AT135" i="27"/>
  <c r="AT136" i="27"/>
  <c r="AU150" i="27"/>
  <c r="AU152" i="27"/>
  <c r="H163" i="27"/>
  <c r="AX124" i="27"/>
  <c r="AX125" i="27"/>
  <c r="AX126" i="27"/>
  <c r="AY124" i="27"/>
  <c r="AY125" i="27"/>
  <c r="AY126" i="27"/>
  <c r="AZ124" i="27"/>
  <c r="AZ125" i="27"/>
  <c r="AZ126" i="27"/>
  <c r="BA124" i="27"/>
  <c r="BA125" i="27"/>
  <c r="BA126" i="27"/>
  <c r="BB148" i="27"/>
  <c r="AX130" i="27"/>
  <c r="AX129" i="27"/>
  <c r="AX131" i="27"/>
  <c r="AX132" i="27"/>
  <c r="AY130" i="27"/>
  <c r="AY129" i="27"/>
  <c r="AY131" i="27"/>
  <c r="AY132" i="27"/>
  <c r="AZ130" i="27"/>
  <c r="AZ129" i="27"/>
  <c r="AZ131" i="27"/>
  <c r="AZ132" i="27"/>
  <c r="BA130" i="27"/>
  <c r="BA129" i="27"/>
  <c r="BA131" i="27"/>
  <c r="BA132" i="27"/>
  <c r="BB149" i="27"/>
  <c r="AX134" i="27"/>
  <c r="AX135" i="27"/>
  <c r="AX136" i="27"/>
  <c r="AY134" i="27"/>
  <c r="AY135" i="27"/>
  <c r="AY136" i="27"/>
  <c r="AZ134" i="27"/>
  <c r="AZ135" i="27"/>
  <c r="AZ136" i="27"/>
  <c r="BA134" i="27"/>
  <c r="BA135" i="27"/>
  <c r="BA136" i="27"/>
  <c r="BB150" i="27"/>
  <c r="BB152" i="27"/>
  <c r="H164" i="27"/>
  <c r="BE124" i="27"/>
  <c r="BE125" i="27"/>
  <c r="BE126" i="27"/>
  <c r="BF124" i="27"/>
  <c r="BF125" i="27"/>
  <c r="BF126" i="27"/>
  <c r="BG124" i="27"/>
  <c r="BG125" i="27"/>
  <c r="BG126" i="27"/>
  <c r="BH124" i="27"/>
  <c r="BH125" i="27"/>
  <c r="BH126" i="27"/>
  <c r="BI148" i="27"/>
  <c r="BE130" i="27"/>
  <c r="BE129" i="27"/>
  <c r="BE131" i="27"/>
  <c r="BE132" i="27"/>
  <c r="BF130" i="27"/>
  <c r="BF129" i="27"/>
  <c r="BF131" i="27"/>
  <c r="BF132" i="27"/>
  <c r="BG130" i="27"/>
  <c r="BG129" i="27"/>
  <c r="BG131" i="27"/>
  <c r="BG132" i="27"/>
  <c r="BH130" i="27"/>
  <c r="BH129" i="27"/>
  <c r="BH131" i="27"/>
  <c r="BH132" i="27"/>
  <c r="BI149" i="27"/>
  <c r="BE134" i="27"/>
  <c r="BE135" i="27"/>
  <c r="BE136" i="27"/>
  <c r="BF134" i="27"/>
  <c r="BF135" i="27"/>
  <c r="BF136" i="27"/>
  <c r="BG134" i="27"/>
  <c r="BG135" i="27"/>
  <c r="BG136" i="27"/>
  <c r="BH134" i="27"/>
  <c r="BH135" i="27"/>
  <c r="BH136" i="27"/>
  <c r="BI150" i="27"/>
  <c r="BI152" i="27"/>
  <c r="H165" i="27"/>
  <c r="BL124" i="27"/>
  <c r="BL125" i="27"/>
  <c r="BL126" i="27"/>
  <c r="BM124" i="27"/>
  <c r="BM125" i="27"/>
  <c r="BM126" i="27"/>
  <c r="BN124" i="27"/>
  <c r="BN125" i="27"/>
  <c r="BN126" i="27"/>
  <c r="BO124" i="27"/>
  <c r="BO125" i="27"/>
  <c r="BO126" i="27"/>
  <c r="BP148" i="27"/>
  <c r="BL130" i="27"/>
  <c r="BL129" i="27"/>
  <c r="BL131" i="27"/>
  <c r="BL132" i="27"/>
  <c r="BM130" i="27"/>
  <c r="BM129" i="27"/>
  <c r="BM131" i="27"/>
  <c r="BM132" i="27"/>
  <c r="BN130" i="27"/>
  <c r="BN129" i="27"/>
  <c r="BN131" i="27"/>
  <c r="BN132" i="27"/>
  <c r="BO130" i="27"/>
  <c r="BO129" i="27"/>
  <c r="BO131" i="27"/>
  <c r="BO132" i="27"/>
  <c r="BP149" i="27"/>
  <c r="BL134" i="27"/>
  <c r="BL135" i="27"/>
  <c r="BL136" i="27"/>
  <c r="BM134" i="27"/>
  <c r="BM135" i="27"/>
  <c r="BM136" i="27"/>
  <c r="BN134" i="27"/>
  <c r="BN135" i="27"/>
  <c r="BN136" i="27"/>
  <c r="BO134" i="27"/>
  <c r="BO135" i="27"/>
  <c r="BO136" i="27"/>
  <c r="BP150" i="27"/>
  <c r="BP152" i="27"/>
  <c r="H166" i="27"/>
  <c r="BS124" i="27"/>
  <c r="BS125" i="27"/>
  <c r="BS126" i="27"/>
  <c r="BT124" i="27"/>
  <c r="BT125" i="27"/>
  <c r="BT126" i="27"/>
  <c r="BU124" i="27"/>
  <c r="BU125" i="27"/>
  <c r="BU126" i="27"/>
  <c r="BV124" i="27"/>
  <c r="BV125" i="27"/>
  <c r="BV126" i="27"/>
  <c r="BW148" i="27"/>
  <c r="BS130" i="27"/>
  <c r="BS129" i="27"/>
  <c r="BS131" i="27"/>
  <c r="BS132" i="27"/>
  <c r="BT130" i="27"/>
  <c r="BT129" i="27"/>
  <c r="BT131" i="27"/>
  <c r="BT132" i="27"/>
  <c r="BU130" i="27"/>
  <c r="BU129" i="27"/>
  <c r="BU131" i="27"/>
  <c r="BU132" i="27"/>
  <c r="BV130" i="27"/>
  <c r="BV129" i="27"/>
  <c r="BV131" i="27"/>
  <c r="BV132" i="27"/>
  <c r="BW149" i="27"/>
  <c r="BS134" i="27"/>
  <c r="BS135" i="27"/>
  <c r="BS136" i="27"/>
  <c r="BT134" i="27"/>
  <c r="BT135" i="27"/>
  <c r="BT136" i="27"/>
  <c r="BU134" i="27"/>
  <c r="BU135" i="27"/>
  <c r="BU136" i="27"/>
  <c r="BV134" i="27"/>
  <c r="BV135" i="27"/>
  <c r="BV136" i="27"/>
  <c r="BW150" i="27"/>
  <c r="BW152" i="27"/>
  <c r="H167" i="27"/>
  <c r="BZ124" i="27"/>
  <c r="BZ125" i="27"/>
  <c r="BZ126" i="27"/>
  <c r="CA124" i="27"/>
  <c r="CA125" i="27"/>
  <c r="CA126" i="27"/>
  <c r="CB124" i="27"/>
  <c r="CB125" i="27"/>
  <c r="CB126" i="27"/>
  <c r="CC124" i="27"/>
  <c r="CC125" i="27"/>
  <c r="CC126" i="27"/>
  <c r="CD148" i="27"/>
  <c r="BZ130" i="27"/>
  <c r="BZ129" i="27"/>
  <c r="BZ131" i="27"/>
  <c r="BZ132" i="27"/>
  <c r="CA130" i="27"/>
  <c r="CA129" i="27"/>
  <c r="CA131" i="27"/>
  <c r="CA132" i="27"/>
  <c r="CB130" i="27"/>
  <c r="CB129" i="27"/>
  <c r="CB131" i="27"/>
  <c r="CB132" i="27"/>
  <c r="CC130" i="27"/>
  <c r="CC129" i="27"/>
  <c r="CC131" i="27"/>
  <c r="CC132" i="27"/>
  <c r="CD149" i="27"/>
  <c r="BZ134" i="27"/>
  <c r="BZ135" i="27"/>
  <c r="BZ136" i="27"/>
  <c r="CA134" i="27"/>
  <c r="CA135" i="27"/>
  <c r="CA136" i="27"/>
  <c r="CB134" i="27"/>
  <c r="CB135" i="27"/>
  <c r="CB136" i="27"/>
  <c r="CC134" i="27"/>
  <c r="CC135" i="27"/>
  <c r="CC136" i="27"/>
  <c r="CD150" i="27"/>
  <c r="CD152" i="27"/>
  <c r="H168" i="27"/>
  <c r="CG124" i="27"/>
  <c r="CG125" i="27"/>
  <c r="CG126" i="27"/>
  <c r="CH124" i="27"/>
  <c r="CH125" i="27"/>
  <c r="CH126" i="27"/>
  <c r="CI124" i="27"/>
  <c r="CI125" i="27"/>
  <c r="CI126" i="27"/>
  <c r="CJ124" i="27"/>
  <c r="CJ125" i="27"/>
  <c r="CJ126" i="27"/>
  <c r="CK148" i="27"/>
  <c r="CG130" i="27"/>
  <c r="CG131" i="27"/>
  <c r="CG132" i="27"/>
  <c r="CH130" i="27"/>
  <c r="CH131" i="27"/>
  <c r="CH132" i="27"/>
  <c r="CI130" i="27"/>
  <c r="CI131" i="27"/>
  <c r="CI132" i="27"/>
  <c r="CJ130" i="27"/>
  <c r="CJ131" i="27"/>
  <c r="CJ132" i="27"/>
  <c r="CK149" i="27"/>
  <c r="CG134" i="27"/>
  <c r="CG135" i="27"/>
  <c r="CG136" i="27"/>
  <c r="CH134" i="27"/>
  <c r="CH135" i="27"/>
  <c r="CH136" i="27"/>
  <c r="CI134" i="27"/>
  <c r="CI135" i="27"/>
  <c r="CI136" i="27"/>
  <c r="CJ134" i="27"/>
  <c r="CJ135" i="27"/>
  <c r="CJ136" i="27"/>
  <c r="CK150" i="27"/>
  <c r="CK152" i="27"/>
  <c r="H169" i="27"/>
  <c r="H171" i="27"/>
  <c r="G14" i="15"/>
  <c r="J8" i="2"/>
  <c r="J10" i="2"/>
  <c r="J11" i="2"/>
  <c r="J13" i="2"/>
  <c r="J14" i="2"/>
  <c r="J16" i="2"/>
  <c r="J17" i="2"/>
  <c r="J19" i="2"/>
  <c r="J20" i="2"/>
  <c r="J22" i="2"/>
  <c r="J23" i="2"/>
  <c r="J25" i="2"/>
  <c r="J26" i="2"/>
  <c r="J28" i="2"/>
  <c r="J29" i="2"/>
  <c r="J31" i="2"/>
  <c r="J32" i="2"/>
  <c r="J34" i="2"/>
  <c r="J35" i="2"/>
  <c r="J37" i="2"/>
  <c r="J38" i="2"/>
  <c r="J40" i="2"/>
  <c r="J41" i="2"/>
  <c r="J43" i="2"/>
  <c r="J44" i="2"/>
  <c r="J46" i="2"/>
  <c r="J51" i="2"/>
  <c r="J143" i="2"/>
  <c r="J60" i="2"/>
  <c r="J62" i="2"/>
  <c r="J63" i="2"/>
  <c r="J65" i="2"/>
  <c r="J66" i="2"/>
  <c r="J68" i="2"/>
  <c r="J69" i="2"/>
  <c r="J71" i="2"/>
  <c r="J72" i="2"/>
  <c r="J74" i="2"/>
  <c r="J75" i="2"/>
  <c r="J77" i="2"/>
  <c r="J78" i="2"/>
  <c r="J80" i="2"/>
  <c r="J84" i="2"/>
  <c r="J86" i="2"/>
  <c r="J87" i="2"/>
  <c r="J89" i="2"/>
  <c r="J90" i="2"/>
  <c r="J92" i="2"/>
  <c r="J102" i="2"/>
  <c r="J145" i="2"/>
  <c r="J128" i="2"/>
  <c r="J130" i="2"/>
  <c r="J125" i="2"/>
  <c r="J127" i="2"/>
  <c r="J122" i="2"/>
  <c r="J124" i="2"/>
  <c r="J119" i="2"/>
  <c r="J121" i="2"/>
  <c r="J116" i="2"/>
  <c r="J118" i="2"/>
  <c r="J113" i="2"/>
  <c r="J115" i="2"/>
  <c r="J110" i="2"/>
  <c r="J112" i="2"/>
  <c r="J135" i="2"/>
  <c r="J147" i="2"/>
  <c r="J149" i="2"/>
  <c r="G19" i="15"/>
  <c r="J49" i="2"/>
  <c r="J9" i="2"/>
  <c r="J12" i="2"/>
  <c r="J15" i="2"/>
  <c r="J18" i="2"/>
  <c r="J21" i="2"/>
  <c r="J24" i="2"/>
  <c r="J27" i="2"/>
  <c r="J30" i="2"/>
  <c r="J33" i="2"/>
  <c r="J36" i="2"/>
  <c r="J39" i="2"/>
  <c r="J42" i="2"/>
  <c r="J45" i="2"/>
  <c r="J50" i="2"/>
  <c r="J142" i="2"/>
  <c r="J100" i="2"/>
  <c r="J61" i="2"/>
  <c r="J64" i="2"/>
  <c r="J67" i="2"/>
  <c r="J70" i="2"/>
  <c r="J73" i="2"/>
  <c r="J76" i="2"/>
  <c r="J79" i="2"/>
  <c r="J85" i="2"/>
  <c r="J88" i="2"/>
  <c r="J91" i="2"/>
  <c r="J101" i="2"/>
  <c r="J144" i="2"/>
  <c r="J133" i="2"/>
  <c r="J111" i="2"/>
  <c r="J114" i="2"/>
  <c r="J117" i="2"/>
  <c r="J120" i="2"/>
  <c r="J123" i="2"/>
  <c r="J126" i="2"/>
  <c r="J129" i="2"/>
  <c r="J134" i="2"/>
  <c r="J146" i="2"/>
  <c r="J148" i="2"/>
  <c r="G20" i="15"/>
  <c r="F18" i="25"/>
  <c r="C18" i="25"/>
  <c r="G18" i="25"/>
  <c r="H18" i="25"/>
  <c r="G29" i="15"/>
  <c r="F36" i="25"/>
  <c r="C36" i="25"/>
  <c r="G36" i="25"/>
  <c r="H36" i="25"/>
  <c r="G30" i="15"/>
  <c r="D55" i="27"/>
  <c r="D56" i="27"/>
  <c r="E54" i="27"/>
  <c r="E55" i="27"/>
  <c r="E56" i="27"/>
  <c r="F54" i="27"/>
  <c r="G54" i="27"/>
  <c r="G55" i="27"/>
  <c r="D59" i="27"/>
  <c r="D61" i="27"/>
  <c r="D62" i="27"/>
  <c r="E60" i="27"/>
  <c r="E59" i="27"/>
  <c r="E61" i="27"/>
  <c r="E62" i="27"/>
  <c r="F60" i="27"/>
  <c r="G60" i="27"/>
  <c r="G59" i="27"/>
  <c r="G61" i="27"/>
  <c r="D65" i="27"/>
  <c r="D66" i="27"/>
  <c r="E64" i="27"/>
  <c r="E65" i="27"/>
  <c r="E66" i="27"/>
  <c r="F64" i="27"/>
  <c r="G64" i="27"/>
  <c r="G65" i="27"/>
  <c r="L55" i="27"/>
  <c r="L56" i="27"/>
  <c r="M54" i="27"/>
  <c r="M55" i="27"/>
  <c r="M56" i="27"/>
  <c r="N54" i="27"/>
  <c r="N55" i="27"/>
  <c r="N56" i="27"/>
  <c r="O54" i="27"/>
  <c r="O55" i="27"/>
  <c r="O56" i="27"/>
  <c r="M148" i="27"/>
  <c r="L59" i="27"/>
  <c r="L61" i="27"/>
  <c r="L62" i="27"/>
  <c r="M60" i="27"/>
  <c r="M59" i="27"/>
  <c r="M61" i="27"/>
  <c r="M62" i="27"/>
  <c r="N60" i="27"/>
  <c r="N59" i="27"/>
  <c r="N61" i="27"/>
  <c r="N62" i="27"/>
  <c r="O60" i="27"/>
  <c r="O59" i="27"/>
  <c r="O61" i="27"/>
  <c r="O62" i="27"/>
  <c r="M149" i="27"/>
  <c r="L65" i="27"/>
  <c r="L66" i="27"/>
  <c r="M64" i="27"/>
  <c r="M65" i="27"/>
  <c r="M66" i="27"/>
  <c r="N64" i="27"/>
  <c r="N65" i="27"/>
  <c r="N66" i="27"/>
  <c r="O64" i="27"/>
  <c r="O65" i="27"/>
  <c r="O66" i="27"/>
  <c r="M150" i="27"/>
  <c r="M152" i="27"/>
  <c r="E159" i="27"/>
  <c r="U55" i="27"/>
  <c r="U56" i="27"/>
  <c r="V55" i="27"/>
  <c r="V56" i="27"/>
  <c r="W55" i="27"/>
  <c r="W56" i="27"/>
  <c r="X55" i="27"/>
  <c r="X56" i="27"/>
  <c r="V148" i="27"/>
  <c r="U59" i="27"/>
  <c r="U61" i="27"/>
  <c r="U62" i="27"/>
  <c r="V59" i="27"/>
  <c r="V61" i="27"/>
  <c r="V62" i="27"/>
  <c r="W59" i="27"/>
  <c r="W61" i="27"/>
  <c r="W62" i="27"/>
  <c r="X59" i="27"/>
  <c r="X61" i="27"/>
  <c r="X62" i="27"/>
  <c r="V149" i="27"/>
  <c r="U65" i="27"/>
  <c r="U66" i="27"/>
  <c r="V64" i="27"/>
  <c r="V65" i="27"/>
  <c r="V66" i="27"/>
  <c r="W64" i="27"/>
  <c r="W65" i="27"/>
  <c r="W66" i="27"/>
  <c r="X64" i="27"/>
  <c r="X65" i="27"/>
  <c r="X66" i="27"/>
  <c r="V150" i="27"/>
  <c r="V152" i="27"/>
  <c r="E160" i="27"/>
  <c r="AC55" i="27"/>
  <c r="AC56" i="27"/>
  <c r="AD55" i="27"/>
  <c r="AD56" i="27"/>
  <c r="AE55" i="27"/>
  <c r="AE56" i="27"/>
  <c r="AF55" i="27"/>
  <c r="AF56" i="27"/>
  <c r="AD148" i="27"/>
  <c r="AC59" i="27"/>
  <c r="AC61" i="27"/>
  <c r="AC62" i="27"/>
  <c r="AD59" i="27"/>
  <c r="AD61" i="27"/>
  <c r="AD62" i="27"/>
  <c r="AE59" i="27"/>
  <c r="AE61" i="27"/>
  <c r="AE62" i="27"/>
  <c r="AF59" i="27"/>
  <c r="AF61" i="27"/>
  <c r="AF62" i="27"/>
  <c r="AD149" i="27"/>
  <c r="AC65" i="27"/>
  <c r="AC66" i="27"/>
  <c r="AD64" i="27"/>
  <c r="AD65" i="27"/>
  <c r="AD66" i="27"/>
  <c r="AE64" i="27"/>
  <c r="AE65" i="27"/>
  <c r="AE66" i="27"/>
  <c r="AF64" i="27"/>
  <c r="AF65" i="27"/>
  <c r="AF66" i="27"/>
  <c r="AD150" i="27"/>
  <c r="AD152" i="27"/>
  <c r="E161" i="27"/>
  <c r="AJ55" i="27"/>
  <c r="AJ56" i="27"/>
  <c r="AK55" i="27"/>
  <c r="AK56" i="27"/>
  <c r="AL55" i="27"/>
  <c r="AL56" i="27"/>
  <c r="AM55" i="27"/>
  <c r="AM56" i="27"/>
  <c r="AK148" i="27"/>
  <c r="AJ59" i="27"/>
  <c r="AJ61" i="27"/>
  <c r="AJ62" i="27"/>
  <c r="AK59" i="27"/>
  <c r="AK61" i="27"/>
  <c r="AK62" i="27"/>
  <c r="AL59" i="27"/>
  <c r="AL61" i="27"/>
  <c r="AL62" i="27"/>
  <c r="AM59" i="27"/>
  <c r="AM61" i="27"/>
  <c r="AM62" i="27"/>
  <c r="AK149" i="27"/>
  <c r="AJ65" i="27"/>
  <c r="AJ66" i="27"/>
  <c r="AK65" i="27"/>
  <c r="AK66" i="27"/>
  <c r="AL64" i="27"/>
  <c r="AL65" i="27"/>
  <c r="AL66" i="27"/>
  <c r="AM64" i="27"/>
  <c r="AM65" i="27"/>
  <c r="AM66" i="27"/>
  <c r="AK150" i="27"/>
  <c r="AK152" i="27"/>
  <c r="E162" i="27"/>
  <c r="AQ55" i="27"/>
  <c r="AQ56" i="27"/>
  <c r="AR55" i="27"/>
  <c r="AR56" i="27"/>
  <c r="AS55" i="27"/>
  <c r="AS56" i="27"/>
  <c r="AT55" i="27"/>
  <c r="AT56" i="27"/>
  <c r="AR148" i="27"/>
  <c r="AQ59" i="27"/>
  <c r="AQ61" i="27"/>
  <c r="AQ62" i="27"/>
  <c r="AR59" i="27"/>
  <c r="AR61" i="27"/>
  <c r="AR62" i="27"/>
  <c r="AS59" i="27"/>
  <c r="AS61" i="27"/>
  <c r="AS62" i="27"/>
  <c r="AT59" i="27"/>
  <c r="AT61" i="27"/>
  <c r="AT62" i="27"/>
  <c r="AR149" i="27"/>
  <c r="AQ65" i="27"/>
  <c r="AQ66" i="27"/>
  <c r="AR64" i="27"/>
  <c r="AR65" i="27"/>
  <c r="AR66" i="27"/>
  <c r="AS64" i="27"/>
  <c r="AS65" i="27"/>
  <c r="AS66" i="27"/>
  <c r="AT64" i="27"/>
  <c r="AT65" i="27"/>
  <c r="AT66" i="27"/>
  <c r="AR150" i="27"/>
  <c r="AR152" i="27"/>
  <c r="E163" i="27"/>
  <c r="AX55" i="27"/>
  <c r="AX56" i="27"/>
  <c r="AY55" i="27"/>
  <c r="AY56" i="27"/>
  <c r="AZ55" i="27"/>
  <c r="AZ56" i="27"/>
  <c r="BA55" i="27"/>
  <c r="BA56" i="27"/>
  <c r="AY148" i="27"/>
  <c r="AX59" i="27"/>
  <c r="AX61" i="27"/>
  <c r="AX62" i="27"/>
  <c r="AY59" i="27"/>
  <c r="AY61" i="27"/>
  <c r="AY62" i="27"/>
  <c r="AZ59" i="27"/>
  <c r="AZ61" i="27"/>
  <c r="AZ62" i="27"/>
  <c r="BA59" i="27"/>
  <c r="BA61" i="27"/>
  <c r="BA62" i="27"/>
  <c r="AY149" i="27"/>
  <c r="AX65" i="27"/>
  <c r="AX66" i="27"/>
  <c r="AY65" i="27"/>
  <c r="AY66" i="27"/>
  <c r="AZ65" i="27"/>
  <c r="AZ66" i="27"/>
  <c r="BA64" i="27"/>
  <c r="BA65" i="27"/>
  <c r="BA66" i="27"/>
  <c r="AY150" i="27"/>
  <c r="AY152" i="27"/>
  <c r="E164" i="27"/>
  <c r="BE55" i="27"/>
  <c r="BE56" i="27"/>
  <c r="BF55" i="27"/>
  <c r="BF56" i="27"/>
  <c r="BG55" i="27"/>
  <c r="BG56" i="27"/>
  <c r="BH55" i="27"/>
  <c r="BH56" i="27"/>
  <c r="BF148" i="27"/>
  <c r="BE59" i="27"/>
  <c r="BE61" i="27"/>
  <c r="BE62" i="27"/>
  <c r="BF59" i="27"/>
  <c r="BF61" i="27"/>
  <c r="BF62" i="27"/>
  <c r="BG59" i="27"/>
  <c r="BG61" i="27"/>
  <c r="BG62" i="27"/>
  <c r="BH59" i="27"/>
  <c r="BH61" i="27"/>
  <c r="BH62" i="27"/>
  <c r="BF149" i="27"/>
  <c r="BE65" i="27"/>
  <c r="BE66" i="27"/>
  <c r="BF64" i="27"/>
  <c r="BF65" i="27"/>
  <c r="BF66" i="27"/>
  <c r="BG64" i="27"/>
  <c r="BG65" i="27"/>
  <c r="BG66" i="27"/>
  <c r="BH64" i="27"/>
  <c r="BH65" i="27"/>
  <c r="BH66" i="27"/>
  <c r="BF150" i="27"/>
  <c r="BF152" i="27"/>
  <c r="E165" i="27"/>
  <c r="BL55" i="27"/>
  <c r="BL56" i="27"/>
  <c r="BM55" i="27"/>
  <c r="BM56" i="27"/>
  <c r="BN55" i="27"/>
  <c r="BN56" i="27"/>
  <c r="BO55" i="27"/>
  <c r="BO56" i="27"/>
  <c r="BM148" i="27"/>
  <c r="BL59" i="27"/>
  <c r="BL61" i="27"/>
  <c r="BL62" i="27"/>
  <c r="BM59" i="27"/>
  <c r="BM61" i="27"/>
  <c r="BM62" i="27"/>
  <c r="BN59" i="27"/>
  <c r="BN61" i="27"/>
  <c r="BN62" i="27"/>
  <c r="BO59" i="27"/>
  <c r="BO61" i="27"/>
  <c r="BO62" i="27"/>
  <c r="BM149" i="27"/>
  <c r="BL65" i="27"/>
  <c r="BL66" i="27"/>
  <c r="BM64" i="27"/>
  <c r="BM65" i="27"/>
  <c r="BM66" i="27"/>
  <c r="BN64" i="27"/>
  <c r="BN65" i="27"/>
  <c r="BN66" i="27"/>
  <c r="BO64" i="27"/>
  <c r="BO65" i="27"/>
  <c r="BO66" i="27"/>
  <c r="BM150" i="27"/>
  <c r="BM152" i="27"/>
  <c r="E166" i="27"/>
  <c r="BS55" i="27"/>
  <c r="BS56" i="27"/>
  <c r="BT55" i="27"/>
  <c r="BT56" i="27"/>
  <c r="BU55" i="27"/>
  <c r="BU56" i="27"/>
  <c r="BV55" i="27"/>
  <c r="BV56" i="27"/>
  <c r="BT148" i="27"/>
  <c r="BS59" i="27"/>
  <c r="BS61" i="27"/>
  <c r="BS62" i="27"/>
  <c r="BT59" i="27"/>
  <c r="BT61" i="27"/>
  <c r="BT62" i="27"/>
  <c r="BU59" i="27"/>
  <c r="BU61" i="27"/>
  <c r="BU62" i="27"/>
  <c r="BV59" i="27"/>
  <c r="BV61" i="27"/>
  <c r="BV62" i="27"/>
  <c r="BT149" i="27"/>
  <c r="BS65" i="27"/>
  <c r="BS66" i="27"/>
  <c r="BT64" i="27"/>
  <c r="BT65" i="27"/>
  <c r="BT66" i="27"/>
  <c r="BU64" i="27"/>
  <c r="BU65" i="27"/>
  <c r="BU66" i="27"/>
  <c r="BV64" i="27"/>
  <c r="BV65" i="27"/>
  <c r="BV66" i="27"/>
  <c r="BT150" i="27"/>
  <c r="BT152" i="27"/>
  <c r="E167" i="27"/>
  <c r="BZ55" i="27"/>
  <c r="BZ56" i="27"/>
  <c r="CA55" i="27"/>
  <c r="CA56" i="27"/>
  <c r="CB55" i="27"/>
  <c r="CB56" i="27"/>
  <c r="CC55" i="27"/>
  <c r="CC56" i="27"/>
  <c r="CA148" i="27"/>
  <c r="BZ59" i="27"/>
  <c r="BZ61" i="27"/>
  <c r="BZ62" i="27"/>
  <c r="CA59" i="27"/>
  <c r="CA61" i="27"/>
  <c r="CA62" i="27"/>
  <c r="CB59" i="27"/>
  <c r="CB61" i="27"/>
  <c r="CB62" i="27"/>
  <c r="CC59" i="27"/>
  <c r="CC61" i="27"/>
  <c r="CC62" i="27"/>
  <c r="CA149" i="27"/>
  <c r="BZ65" i="27"/>
  <c r="BZ66" i="27"/>
  <c r="CA64" i="27"/>
  <c r="CA65" i="27"/>
  <c r="CA66" i="27"/>
  <c r="CB64" i="27"/>
  <c r="CB65" i="27"/>
  <c r="CB66" i="27"/>
  <c r="CC64" i="27"/>
  <c r="CC65" i="27"/>
  <c r="CC66" i="27"/>
  <c r="CA150" i="27"/>
  <c r="CA152" i="27"/>
  <c r="E168" i="27"/>
  <c r="CG55" i="27"/>
  <c r="CG56" i="27"/>
  <c r="CH55" i="27"/>
  <c r="CH56" i="27"/>
  <c r="CI55" i="27"/>
  <c r="CI56" i="27"/>
  <c r="CJ55" i="27"/>
  <c r="CJ56" i="27"/>
  <c r="CH148" i="27"/>
  <c r="CG61" i="27"/>
  <c r="CG62" i="27"/>
  <c r="CH61" i="27"/>
  <c r="CH62" i="27"/>
  <c r="CI61" i="27"/>
  <c r="CI62" i="27"/>
  <c r="CJ61" i="27"/>
  <c r="CJ62" i="27"/>
  <c r="CH149" i="27"/>
  <c r="CG65" i="27"/>
  <c r="CG66" i="27"/>
  <c r="CH64" i="27"/>
  <c r="CH65" i="27"/>
  <c r="CH66" i="27"/>
  <c r="CI64" i="27"/>
  <c r="CI65" i="27"/>
  <c r="CI66" i="27"/>
  <c r="CJ64" i="27"/>
  <c r="CJ65" i="27"/>
  <c r="CJ66" i="27"/>
  <c r="CH150" i="27"/>
  <c r="CH152" i="27"/>
  <c r="E169" i="27"/>
  <c r="G18" i="2"/>
  <c r="G24" i="2"/>
  <c r="G27" i="2"/>
  <c r="G39" i="2"/>
  <c r="G42" i="2"/>
  <c r="G45" i="2"/>
  <c r="G50" i="2"/>
  <c r="G143" i="2"/>
  <c r="G65" i="2"/>
  <c r="G69" i="2"/>
  <c r="G71" i="2"/>
  <c r="G75" i="2"/>
  <c r="G77" i="2"/>
  <c r="G78" i="2"/>
  <c r="G80" i="2"/>
  <c r="G84" i="2"/>
  <c r="G86" i="2"/>
  <c r="G89" i="2"/>
  <c r="G92" i="2"/>
  <c r="G102" i="2"/>
  <c r="G145" i="2"/>
  <c r="G112" i="2"/>
  <c r="G115" i="2"/>
  <c r="G122" i="2"/>
  <c r="G124" i="2"/>
  <c r="G127" i="2"/>
  <c r="G128" i="2"/>
  <c r="G130" i="2"/>
  <c r="G135" i="2"/>
  <c r="G147" i="2"/>
  <c r="G149" i="2"/>
  <c r="D19" i="15"/>
  <c r="G17" i="2"/>
  <c r="G23" i="2"/>
  <c r="G26" i="2"/>
  <c r="G41" i="2"/>
  <c r="G44" i="2"/>
  <c r="G49" i="2"/>
  <c r="G142" i="2"/>
  <c r="G100" i="2"/>
  <c r="G64" i="2"/>
  <c r="G70" i="2"/>
  <c r="G76" i="2"/>
  <c r="G79" i="2"/>
  <c r="G85" i="2"/>
  <c r="G88" i="2"/>
  <c r="G101" i="2"/>
  <c r="G144" i="2"/>
  <c r="G133" i="2"/>
  <c r="G123" i="2"/>
  <c r="G126" i="2"/>
  <c r="G129" i="2"/>
  <c r="G134" i="2"/>
  <c r="G146" i="2"/>
  <c r="G148" i="2"/>
  <c r="D20" i="15"/>
  <c r="G15" i="25"/>
  <c r="H15" i="25"/>
  <c r="D29" i="15"/>
  <c r="G33" i="25"/>
  <c r="H33" i="25"/>
  <c r="D30" i="15"/>
  <c r="D31" i="27"/>
  <c r="D32" i="27"/>
  <c r="E30" i="27"/>
  <c r="E31" i="27"/>
  <c r="E32" i="27"/>
  <c r="F30" i="27"/>
  <c r="F31" i="27"/>
  <c r="F32" i="27"/>
  <c r="G30" i="27"/>
  <c r="G31" i="27"/>
  <c r="G32" i="27"/>
  <c r="D148" i="27"/>
  <c r="D35" i="27"/>
  <c r="D37" i="27"/>
  <c r="D38" i="27"/>
  <c r="E36" i="27"/>
  <c r="E35" i="27"/>
  <c r="E37" i="27"/>
  <c r="E38" i="27"/>
  <c r="F36" i="27"/>
  <c r="F35" i="27"/>
  <c r="F37" i="27"/>
  <c r="F38" i="27"/>
  <c r="G36" i="27"/>
  <c r="G35" i="27"/>
  <c r="G37" i="27"/>
  <c r="G38" i="27"/>
  <c r="D149" i="27"/>
  <c r="D41" i="27"/>
  <c r="D42" i="27"/>
  <c r="E40" i="27"/>
  <c r="E41" i="27"/>
  <c r="E42" i="27"/>
  <c r="F40" i="27"/>
  <c r="F41" i="27"/>
  <c r="F42" i="27"/>
  <c r="G40" i="27"/>
  <c r="G41" i="27"/>
  <c r="G42" i="27"/>
  <c r="D150" i="27"/>
  <c r="D152" i="27"/>
  <c r="D158" i="27"/>
  <c r="L31" i="27"/>
  <c r="L32" i="27"/>
  <c r="M30" i="27"/>
  <c r="M31" i="27"/>
  <c r="M32" i="27"/>
  <c r="N30" i="27"/>
  <c r="N31" i="27"/>
  <c r="N32" i="27"/>
  <c r="O30" i="27"/>
  <c r="O31" i="27"/>
  <c r="O32" i="27"/>
  <c r="L148" i="27"/>
  <c r="L35" i="27"/>
  <c r="L37" i="27"/>
  <c r="L38" i="27"/>
  <c r="M36" i="27"/>
  <c r="M35" i="27"/>
  <c r="M37" i="27"/>
  <c r="M38" i="27"/>
  <c r="N36" i="27"/>
  <c r="N35" i="27"/>
  <c r="N37" i="27"/>
  <c r="N38" i="27"/>
  <c r="O36" i="27"/>
  <c r="O35" i="27"/>
  <c r="O37" i="27"/>
  <c r="O38" i="27"/>
  <c r="L149" i="27"/>
  <c r="L41" i="27"/>
  <c r="L42" i="27"/>
  <c r="M40" i="27"/>
  <c r="M41" i="27"/>
  <c r="M42" i="27"/>
  <c r="N40" i="27"/>
  <c r="N41" i="27"/>
  <c r="N42" i="27"/>
  <c r="O40" i="27"/>
  <c r="O41" i="27"/>
  <c r="O42" i="27"/>
  <c r="L150" i="27"/>
  <c r="L152" i="27"/>
  <c r="D159" i="27"/>
  <c r="U31" i="27"/>
  <c r="U32" i="27"/>
  <c r="V31" i="27"/>
  <c r="V32" i="27"/>
  <c r="W31" i="27"/>
  <c r="W32" i="27"/>
  <c r="X31" i="27"/>
  <c r="X32" i="27"/>
  <c r="U148" i="27"/>
  <c r="U35" i="27"/>
  <c r="U37" i="27"/>
  <c r="U38" i="27"/>
  <c r="V36" i="27"/>
  <c r="V35" i="27"/>
  <c r="V37" i="27"/>
  <c r="V38" i="27"/>
  <c r="W36" i="27"/>
  <c r="W35" i="27"/>
  <c r="W37" i="27"/>
  <c r="W38" i="27"/>
  <c r="X36" i="27"/>
  <c r="X35" i="27"/>
  <c r="X37" i="27"/>
  <c r="X38" i="27"/>
  <c r="U149" i="27"/>
  <c r="U40" i="27"/>
  <c r="U41" i="27"/>
  <c r="U42" i="27"/>
  <c r="V40" i="27"/>
  <c r="V41" i="27"/>
  <c r="V42" i="27"/>
  <c r="W40" i="27"/>
  <c r="W41" i="27"/>
  <c r="W42" i="27"/>
  <c r="X40" i="27"/>
  <c r="X41" i="27"/>
  <c r="X42" i="27"/>
  <c r="U150" i="27"/>
  <c r="U152" i="27"/>
  <c r="D160" i="27"/>
  <c r="AC31" i="27"/>
  <c r="AC32" i="27"/>
  <c r="AD31" i="27"/>
  <c r="AD32" i="27"/>
  <c r="AE31" i="27"/>
  <c r="AE32" i="27"/>
  <c r="AF31" i="27"/>
  <c r="AF32" i="27"/>
  <c r="AC148" i="27"/>
  <c r="AC35" i="27"/>
  <c r="AC37" i="27"/>
  <c r="AC38" i="27"/>
  <c r="AD35" i="27"/>
  <c r="AD37" i="27"/>
  <c r="AD38" i="27"/>
  <c r="AE35" i="27"/>
  <c r="AE37" i="27"/>
  <c r="AE38" i="27"/>
  <c r="AF35" i="27"/>
  <c r="AF37" i="27"/>
  <c r="AF38" i="27"/>
  <c r="AC149" i="27"/>
  <c r="AC40" i="27"/>
  <c r="AC41" i="27"/>
  <c r="AC42" i="27"/>
  <c r="AD40" i="27"/>
  <c r="AD41" i="27"/>
  <c r="AD42" i="27"/>
  <c r="AE40" i="27"/>
  <c r="AE41" i="27"/>
  <c r="AE42" i="27"/>
  <c r="AF40" i="27"/>
  <c r="AF41" i="27"/>
  <c r="AF42" i="27"/>
  <c r="AC150" i="27"/>
  <c r="AC152" i="27"/>
  <c r="D161" i="27"/>
  <c r="AJ31" i="27"/>
  <c r="AJ32" i="27"/>
  <c r="AK31" i="27"/>
  <c r="AK32" i="27"/>
  <c r="AL31" i="27"/>
  <c r="AL32" i="27"/>
  <c r="AM31" i="27"/>
  <c r="AM32" i="27"/>
  <c r="AJ148" i="27"/>
  <c r="AJ36" i="27"/>
  <c r="AJ35" i="27"/>
  <c r="AJ37" i="27"/>
  <c r="AJ38" i="27"/>
  <c r="AK36" i="27"/>
  <c r="AK35" i="27"/>
  <c r="AK37" i="27"/>
  <c r="AK38" i="27"/>
  <c r="AL36" i="27"/>
  <c r="AL35" i="27"/>
  <c r="AL37" i="27"/>
  <c r="AL38" i="27"/>
  <c r="AM36" i="27"/>
  <c r="AM35" i="27"/>
  <c r="AM37" i="27"/>
  <c r="AM38" i="27"/>
  <c r="AJ149" i="27"/>
  <c r="AJ40" i="27"/>
  <c r="AJ41" i="27"/>
  <c r="AJ42" i="27"/>
  <c r="AK40" i="27"/>
  <c r="AK41" i="27"/>
  <c r="AK42" i="27"/>
  <c r="AL40" i="27"/>
  <c r="AL41" i="27"/>
  <c r="AL42" i="27"/>
  <c r="AM40" i="27"/>
  <c r="AM41" i="27"/>
  <c r="AM42" i="27"/>
  <c r="AJ150" i="27"/>
  <c r="AJ152" i="27"/>
  <c r="D162" i="27"/>
  <c r="AQ31" i="27"/>
  <c r="AQ32" i="27"/>
  <c r="AR31" i="27"/>
  <c r="AR32" i="27"/>
  <c r="AS31" i="27"/>
  <c r="AS32" i="27"/>
  <c r="AT31" i="27"/>
  <c r="AT32" i="27"/>
  <c r="AQ148" i="27"/>
  <c r="AQ36" i="27"/>
  <c r="AQ35" i="27"/>
  <c r="AQ37" i="27"/>
  <c r="AQ38" i="27"/>
  <c r="AR36" i="27"/>
  <c r="AR35" i="27"/>
  <c r="AR37" i="27"/>
  <c r="AR38" i="27"/>
  <c r="AS36" i="27"/>
  <c r="AS35" i="27"/>
  <c r="AS37" i="27"/>
  <c r="AS38" i="27"/>
  <c r="AT36" i="27"/>
  <c r="AT35" i="27"/>
  <c r="AT37" i="27"/>
  <c r="AT38" i="27"/>
  <c r="AQ149" i="27"/>
  <c r="AQ40" i="27"/>
  <c r="AQ41" i="27"/>
  <c r="AQ42" i="27"/>
  <c r="AR40" i="27"/>
  <c r="AR41" i="27"/>
  <c r="AR42" i="27"/>
  <c r="AS40" i="27"/>
  <c r="AS41" i="27"/>
  <c r="AS42" i="27"/>
  <c r="AT40" i="27"/>
  <c r="AT41" i="27"/>
  <c r="AT42" i="27"/>
  <c r="AQ150" i="27"/>
  <c r="AQ152" i="27"/>
  <c r="D163" i="27"/>
  <c r="AX31" i="27"/>
  <c r="AX32" i="27"/>
  <c r="AY31" i="27"/>
  <c r="AY32" i="27"/>
  <c r="AZ31" i="27"/>
  <c r="AZ32" i="27"/>
  <c r="BA31" i="27"/>
  <c r="BA32" i="27"/>
  <c r="AX148" i="27"/>
  <c r="AX36" i="27"/>
  <c r="AX35" i="27"/>
  <c r="AX37" i="27"/>
  <c r="AX38" i="27"/>
  <c r="AY36" i="27"/>
  <c r="AY35" i="27"/>
  <c r="AY37" i="27"/>
  <c r="AY38" i="27"/>
  <c r="AZ36" i="27"/>
  <c r="AZ35" i="27"/>
  <c r="AZ37" i="27"/>
  <c r="AZ38" i="27"/>
  <c r="BA36" i="27"/>
  <c r="BA35" i="27"/>
  <c r="BA37" i="27"/>
  <c r="BA38" i="27"/>
  <c r="AX149" i="27"/>
  <c r="AX40" i="27"/>
  <c r="AX41" i="27"/>
  <c r="AX42" i="27"/>
  <c r="AY40" i="27"/>
  <c r="AY41" i="27"/>
  <c r="AY42" i="27"/>
  <c r="AZ40" i="27"/>
  <c r="AZ41" i="27"/>
  <c r="AZ42" i="27"/>
  <c r="BA40" i="27"/>
  <c r="BA41" i="27"/>
  <c r="BA42" i="27"/>
  <c r="AX150" i="27"/>
  <c r="AX152" i="27"/>
  <c r="D164" i="27"/>
  <c r="BE31" i="27"/>
  <c r="BE32" i="27"/>
  <c r="BF31" i="27"/>
  <c r="BF32" i="27"/>
  <c r="BG31" i="27"/>
  <c r="BG32" i="27"/>
  <c r="BH31" i="27"/>
  <c r="BH32" i="27"/>
  <c r="BE148" i="27"/>
  <c r="BE36" i="27"/>
  <c r="BE35" i="27"/>
  <c r="BE37" i="27"/>
  <c r="BE38" i="27"/>
  <c r="BF36" i="27"/>
  <c r="BF35" i="27"/>
  <c r="BF37" i="27"/>
  <c r="BF38" i="27"/>
  <c r="BG36" i="27"/>
  <c r="BG35" i="27"/>
  <c r="BG37" i="27"/>
  <c r="BG38" i="27"/>
  <c r="BH36" i="27"/>
  <c r="BH35" i="27"/>
  <c r="BH37" i="27"/>
  <c r="BH38" i="27"/>
  <c r="BE149" i="27"/>
  <c r="BE40" i="27"/>
  <c r="BE41" i="27"/>
  <c r="BE42" i="27"/>
  <c r="BF40" i="27"/>
  <c r="BF41" i="27"/>
  <c r="BF42" i="27"/>
  <c r="BG40" i="27"/>
  <c r="BG41" i="27"/>
  <c r="BG42" i="27"/>
  <c r="BH40" i="27"/>
  <c r="BH41" i="27"/>
  <c r="BH42" i="27"/>
  <c r="BE150" i="27"/>
  <c r="BE152" i="27"/>
  <c r="D165" i="27"/>
  <c r="BL31" i="27"/>
  <c r="BL32" i="27"/>
  <c r="BM31" i="27"/>
  <c r="BM32" i="27"/>
  <c r="BN31" i="27"/>
  <c r="BN32" i="27"/>
  <c r="BO31" i="27"/>
  <c r="BO32" i="27"/>
  <c r="BL148" i="27"/>
  <c r="BL36" i="27"/>
  <c r="BL35" i="27"/>
  <c r="BL37" i="27"/>
  <c r="BL38" i="27"/>
  <c r="BM36" i="27"/>
  <c r="BM35" i="27"/>
  <c r="BM37" i="27"/>
  <c r="BM38" i="27"/>
  <c r="BN36" i="27"/>
  <c r="BN35" i="27"/>
  <c r="BN37" i="27"/>
  <c r="BN38" i="27"/>
  <c r="BO36" i="27"/>
  <c r="BO35" i="27"/>
  <c r="BO37" i="27"/>
  <c r="BO38" i="27"/>
  <c r="BL149" i="27"/>
  <c r="BL40" i="27"/>
  <c r="BL41" i="27"/>
  <c r="BL42" i="27"/>
  <c r="BM40" i="27"/>
  <c r="BM41" i="27"/>
  <c r="BM42" i="27"/>
  <c r="BN40" i="27"/>
  <c r="BN41" i="27"/>
  <c r="BN42" i="27"/>
  <c r="BO40" i="27"/>
  <c r="BO41" i="27"/>
  <c r="BO42" i="27"/>
  <c r="BL150" i="27"/>
  <c r="BL152" i="27"/>
  <c r="D166" i="27"/>
  <c r="BS31" i="27"/>
  <c r="BS32" i="27"/>
  <c r="BT31" i="27"/>
  <c r="BT32" i="27"/>
  <c r="BU31" i="27"/>
  <c r="BU32" i="27"/>
  <c r="BV31" i="27"/>
  <c r="BV32" i="27"/>
  <c r="BS148" i="27"/>
  <c r="BS36" i="27"/>
  <c r="BS35" i="27"/>
  <c r="BS37" i="27"/>
  <c r="BS38" i="27"/>
  <c r="BT36" i="27"/>
  <c r="BT35" i="27"/>
  <c r="BT37" i="27"/>
  <c r="BT38" i="27"/>
  <c r="BU36" i="27"/>
  <c r="BU35" i="27"/>
  <c r="BU37" i="27"/>
  <c r="BU38" i="27"/>
  <c r="BV36" i="27"/>
  <c r="BV35" i="27"/>
  <c r="BV37" i="27"/>
  <c r="BV38" i="27"/>
  <c r="BS149" i="27"/>
  <c r="BS40" i="27"/>
  <c r="BS41" i="27"/>
  <c r="BS42" i="27"/>
  <c r="BT40" i="27"/>
  <c r="BT41" i="27"/>
  <c r="BT42" i="27"/>
  <c r="BU40" i="27"/>
  <c r="BU41" i="27"/>
  <c r="BU42" i="27"/>
  <c r="BV40" i="27"/>
  <c r="BV41" i="27"/>
  <c r="BV42" i="27"/>
  <c r="BS150" i="27"/>
  <c r="BS152" i="27"/>
  <c r="D167" i="27"/>
  <c r="BZ31" i="27"/>
  <c r="BZ32" i="27"/>
  <c r="CA31" i="27"/>
  <c r="CA32" i="27"/>
  <c r="CB31" i="27"/>
  <c r="CB32" i="27"/>
  <c r="CC31" i="27"/>
  <c r="CC32" i="27"/>
  <c r="BZ148" i="27"/>
  <c r="BZ36" i="27"/>
  <c r="BZ35" i="27"/>
  <c r="BZ37" i="27"/>
  <c r="BZ38" i="27"/>
  <c r="CA36" i="27"/>
  <c r="CA35" i="27"/>
  <c r="CA37" i="27"/>
  <c r="CA38" i="27"/>
  <c r="CB36" i="27"/>
  <c r="CB35" i="27"/>
  <c r="CB37" i="27"/>
  <c r="CB38" i="27"/>
  <c r="CC36" i="27"/>
  <c r="CC35" i="27"/>
  <c r="CC37" i="27"/>
  <c r="CC38" i="27"/>
  <c r="BZ149" i="27"/>
  <c r="BZ40" i="27"/>
  <c r="BZ41" i="27"/>
  <c r="BZ42" i="27"/>
  <c r="CA40" i="27"/>
  <c r="CA41" i="27"/>
  <c r="CA42" i="27"/>
  <c r="CB40" i="27"/>
  <c r="CB41" i="27"/>
  <c r="CB42" i="27"/>
  <c r="CC40" i="27"/>
  <c r="CC41" i="27"/>
  <c r="CC42" i="27"/>
  <c r="BZ150" i="27"/>
  <c r="BZ152" i="27"/>
  <c r="D168" i="27"/>
  <c r="CG31" i="27"/>
  <c r="CG32" i="27"/>
  <c r="CH31" i="27"/>
  <c r="CH32" i="27"/>
  <c r="CI31" i="27"/>
  <c r="CI32" i="27"/>
  <c r="CJ31" i="27"/>
  <c r="CJ32" i="27"/>
  <c r="CG148" i="27"/>
  <c r="CG35" i="27"/>
  <c r="CG37" i="27"/>
  <c r="CG38" i="27"/>
  <c r="CH37" i="27"/>
  <c r="CH38" i="27"/>
  <c r="CI37" i="27"/>
  <c r="CI38" i="27"/>
  <c r="CJ37" i="27"/>
  <c r="CJ38" i="27"/>
  <c r="CG149" i="27"/>
  <c r="CG40" i="27"/>
  <c r="CG41" i="27"/>
  <c r="CG42" i="27"/>
  <c r="CH41" i="27"/>
  <c r="CH42" i="27"/>
  <c r="CI41" i="27"/>
  <c r="CI42" i="27"/>
  <c r="CJ40" i="27"/>
  <c r="CJ41" i="27"/>
  <c r="CJ42" i="27"/>
  <c r="CG150" i="27"/>
  <c r="CG152" i="27"/>
  <c r="D169" i="27"/>
  <c r="D171" i="27"/>
  <c r="C14" i="15"/>
  <c r="E22" i="2"/>
  <c r="E13" i="2"/>
  <c r="F13" i="2"/>
  <c r="E10" i="2"/>
  <c r="F10" i="2"/>
  <c r="F143" i="2"/>
  <c r="C19" i="15"/>
  <c r="F8" i="2"/>
  <c r="F21" i="2"/>
  <c r="F12" i="2"/>
  <c r="F9" i="2"/>
  <c r="F142" i="2"/>
  <c r="C20" i="15"/>
  <c r="CF150" i="27"/>
  <c r="CF148" i="27"/>
  <c r="CK123" i="27"/>
  <c r="CK140" i="27"/>
  <c r="CK147" i="27"/>
  <c r="CK99" i="27"/>
  <c r="CK116" i="27"/>
  <c r="CJ147" i="27"/>
  <c r="CK76" i="27"/>
  <c r="CK93" i="27"/>
  <c r="CI147" i="27"/>
  <c r="CK53" i="27"/>
  <c r="CK70" i="27"/>
  <c r="CH147" i="27"/>
  <c r="CK29" i="27"/>
  <c r="CK46" i="27"/>
  <c r="CG147" i="27"/>
  <c r="CG140" i="27"/>
  <c r="CG141" i="27"/>
  <c r="CH140" i="27"/>
  <c r="CH141" i="27"/>
  <c r="CI140" i="27"/>
  <c r="CI141" i="27"/>
  <c r="CJ140" i="27"/>
  <c r="CJ141" i="27"/>
  <c r="CG116" i="27"/>
  <c r="CG117" i="27"/>
  <c r="CH116" i="27"/>
  <c r="CH117" i="27"/>
  <c r="CI116" i="27"/>
  <c r="CI117" i="27"/>
  <c r="CJ116" i="27"/>
  <c r="CJ117" i="27"/>
  <c r="CG93" i="27"/>
  <c r="CG94" i="27"/>
  <c r="CH93" i="27"/>
  <c r="CH94" i="27"/>
  <c r="CI93" i="27"/>
  <c r="CI94" i="27"/>
  <c r="CJ93" i="27"/>
  <c r="CJ94" i="27"/>
  <c r="CG70" i="27"/>
  <c r="CG71" i="27"/>
  <c r="CH70" i="27"/>
  <c r="CH71" i="27"/>
  <c r="CI70" i="27"/>
  <c r="CI71" i="27"/>
  <c r="CJ70" i="27"/>
  <c r="CJ71" i="27"/>
  <c r="CG46" i="27"/>
  <c r="CG47" i="27"/>
  <c r="CH46" i="27"/>
  <c r="CH47" i="27"/>
  <c r="CI46" i="27"/>
  <c r="CI47" i="27"/>
  <c r="CJ46" i="27"/>
  <c r="CJ47" i="27"/>
  <c r="CK45" i="27"/>
  <c r="CG8" i="27"/>
  <c r="CG14" i="27"/>
  <c r="CG20" i="27"/>
  <c r="CG23" i="27"/>
  <c r="CG24" i="27"/>
  <c r="CH14" i="27"/>
  <c r="CH8" i="27"/>
  <c r="CH23" i="27"/>
  <c r="CH24" i="27"/>
  <c r="CI20" i="27"/>
  <c r="CI14" i="27"/>
  <c r="CI8" i="27"/>
  <c r="CI23" i="27"/>
  <c r="CI24" i="27"/>
  <c r="CJ6" i="27"/>
  <c r="CJ12" i="27"/>
  <c r="CJ18" i="27"/>
  <c r="CJ23" i="27"/>
  <c r="CG21" i="27"/>
  <c r="CH21" i="27"/>
  <c r="CI21" i="27"/>
  <c r="CG15" i="27"/>
  <c r="CH15" i="27"/>
  <c r="CI15" i="27"/>
  <c r="CG9" i="27"/>
  <c r="CH9" i="27"/>
  <c r="CI9" i="27"/>
  <c r="BY150" i="27"/>
  <c r="BY148" i="27"/>
  <c r="CD123" i="27"/>
  <c r="CD140" i="27"/>
  <c r="CD147" i="27"/>
  <c r="CD99" i="27"/>
  <c r="CD116" i="27"/>
  <c r="CC147" i="27"/>
  <c r="CD76" i="27"/>
  <c r="CD93" i="27"/>
  <c r="CB147" i="27"/>
  <c r="CD53" i="27"/>
  <c r="CD70" i="27"/>
  <c r="CA147" i="27"/>
  <c r="CD29" i="27"/>
  <c r="CD46" i="27"/>
  <c r="BZ147" i="27"/>
  <c r="BZ140" i="27"/>
  <c r="BZ141" i="27"/>
  <c r="CA140" i="27"/>
  <c r="CA141" i="27"/>
  <c r="CB140" i="27"/>
  <c r="CB141" i="27"/>
  <c r="CC140" i="27"/>
  <c r="CC141" i="27"/>
  <c r="CD139" i="27"/>
  <c r="BZ116" i="27"/>
  <c r="BZ117" i="27"/>
  <c r="CA116" i="27"/>
  <c r="CA117" i="27"/>
  <c r="CB116" i="27"/>
  <c r="CB117" i="27"/>
  <c r="CC116" i="27"/>
  <c r="CC117" i="27"/>
  <c r="CD115" i="27"/>
  <c r="BZ93" i="27"/>
  <c r="BZ94" i="27"/>
  <c r="CA93" i="27"/>
  <c r="CA94" i="27"/>
  <c r="CB93" i="27"/>
  <c r="CB94" i="27"/>
  <c r="CC93" i="27"/>
  <c r="CC94" i="27"/>
  <c r="CD92" i="27"/>
  <c r="BZ70" i="27"/>
  <c r="BZ71" i="27"/>
  <c r="CA70" i="27"/>
  <c r="CA71" i="27"/>
  <c r="CB70" i="27"/>
  <c r="CB71" i="27"/>
  <c r="CC70" i="27"/>
  <c r="CC71" i="27"/>
  <c r="CD69" i="27"/>
  <c r="BZ46" i="27"/>
  <c r="BZ47" i="27"/>
  <c r="CA46" i="27"/>
  <c r="CA47" i="27"/>
  <c r="CB46" i="27"/>
  <c r="CB47" i="27"/>
  <c r="CC46" i="27"/>
  <c r="CC47" i="27"/>
  <c r="CD45" i="27"/>
  <c r="BZ8" i="27"/>
  <c r="BZ14" i="27"/>
  <c r="BZ20" i="27"/>
  <c r="BZ23" i="27"/>
  <c r="BZ24" i="27"/>
  <c r="CA14" i="27"/>
  <c r="CA8" i="27"/>
  <c r="CA23" i="27"/>
  <c r="CA24" i="27"/>
  <c r="CB20" i="27"/>
  <c r="CB14" i="27"/>
  <c r="CB8" i="27"/>
  <c r="CB23" i="27"/>
  <c r="CB24" i="27"/>
  <c r="CC6" i="27"/>
  <c r="CC12" i="27"/>
  <c r="CC18" i="27"/>
  <c r="CC23" i="27"/>
  <c r="BZ21" i="27"/>
  <c r="CA21" i="27"/>
  <c r="CB21" i="27"/>
  <c r="BZ15" i="27"/>
  <c r="CA15" i="27"/>
  <c r="CB15" i="27"/>
  <c r="BZ9" i="27"/>
  <c r="CA9" i="27"/>
  <c r="CB9" i="27"/>
  <c r="BR150" i="27"/>
  <c r="BR148" i="27"/>
  <c r="BW123" i="27"/>
  <c r="BW140" i="27"/>
  <c r="BW147" i="27"/>
  <c r="BW99" i="27"/>
  <c r="BW116" i="27"/>
  <c r="BV147" i="27"/>
  <c r="BW76" i="27"/>
  <c r="BW93" i="27"/>
  <c r="BU147" i="27"/>
  <c r="BW53" i="27"/>
  <c r="BW70" i="27"/>
  <c r="BT147" i="27"/>
  <c r="BW29" i="27"/>
  <c r="BW46" i="27"/>
  <c r="BS147" i="27"/>
  <c r="BS140" i="27"/>
  <c r="BS141" i="27"/>
  <c r="BT140" i="27"/>
  <c r="BT141" i="27"/>
  <c r="BU140" i="27"/>
  <c r="BU141" i="27"/>
  <c r="BV140" i="27"/>
  <c r="BV141" i="27"/>
  <c r="BW139" i="27"/>
  <c r="BS116" i="27"/>
  <c r="BS117" i="27"/>
  <c r="BT116" i="27"/>
  <c r="BT117" i="27"/>
  <c r="BU116" i="27"/>
  <c r="BU117" i="27"/>
  <c r="BV116" i="27"/>
  <c r="BV117" i="27"/>
  <c r="BW115" i="27"/>
  <c r="BS93" i="27"/>
  <c r="BS94" i="27"/>
  <c r="BT93" i="27"/>
  <c r="BT94" i="27"/>
  <c r="BU93" i="27"/>
  <c r="BU94" i="27"/>
  <c r="BV93" i="27"/>
  <c r="BV94" i="27"/>
  <c r="BW92" i="27"/>
  <c r="BS70" i="27"/>
  <c r="BS71" i="27"/>
  <c r="BT70" i="27"/>
  <c r="BT71" i="27"/>
  <c r="BU70" i="27"/>
  <c r="BU71" i="27"/>
  <c r="BV70" i="27"/>
  <c r="BV71" i="27"/>
  <c r="BW69" i="27"/>
  <c r="BS46" i="27"/>
  <c r="BS47" i="27"/>
  <c r="BT46" i="27"/>
  <c r="BT47" i="27"/>
  <c r="BU46" i="27"/>
  <c r="BU47" i="27"/>
  <c r="BV46" i="27"/>
  <c r="BV47" i="27"/>
  <c r="BW45" i="27"/>
  <c r="BS8" i="27"/>
  <c r="BS14" i="27"/>
  <c r="BS20" i="27"/>
  <c r="BS23" i="27"/>
  <c r="BS24" i="27"/>
  <c r="BT14" i="27"/>
  <c r="BT8" i="27"/>
  <c r="BT23" i="27"/>
  <c r="BT24" i="27"/>
  <c r="BU20" i="27"/>
  <c r="BU14" i="27"/>
  <c r="BU8" i="27"/>
  <c r="BU23" i="27"/>
  <c r="BU24" i="27"/>
  <c r="BV6" i="27"/>
  <c r="BV12" i="27"/>
  <c r="BV18" i="27"/>
  <c r="BV23" i="27"/>
  <c r="BS21" i="27"/>
  <c r="BT21" i="27"/>
  <c r="BU21" i="27"/>
  <c r="BS15" i="27"/>
  <c r="BT15" i="27"/>
  <c r="BU15" i="27"/>
  <c r="BS9" i="27"/>
  <c r="BT9" i="27"/>
  <c r="BU9" i="27"/>
  <c r="BK150" i="27"/>
  <c r="BK148" i="27"/>
  <c r="BP123" i="27"/>
  <c r="BP140" i="27"/>
  <c r="BP147" i="27"/>
  <c r="BP99" i="27"/>
  <c r="BP116" i="27"/>
  <c r="BO147" i="27"/>
  <c r="BP76" i="27"/>
  <c r="BP93" i="27"/>
  <c r="BN147" i="27"/>
  <c r="BP53" i="27"/>
  <c r="BP70" i="27"/>
  <c r="BM147" i="27"/>
  <c r="BP29" i="27"/>
  <c r="BP46" i="27"/>
  <c r="BL147" i="27"/>
  <c r="BL140" i="27"/>
  <c r="BL141" i="27"/>
  <c r="BM140" i="27"/>
  <c r="BM141" i="27"/>
  <c r="BN140" i="27"/>
  <c r="BN141" i="27"/>
  <c r="BO140" i="27"/>
  <c r="BO141" i="27"/>
  <c r="BP139" i="27"/>
  <c r="BL116" i="27"/>
  <c r="BL117" i="27"/>
  <c r="BM116" i="27"/>
  <c r="BM117" i="27"/>
  <c r="BN116" i="27"/>
  <c r="BN117" i="27"/>
  <c r="BO116" i="27"/>
  <c r="BO117" i="27"/>
  <c r="BP115" i="27"/>
  <c r="BL93" i="27"/>
  <c r="BL94" i="27"/>
  <c r="BM93" i="27"/>
  <c r="BM94" i="27"/>
  <c r="BN93" i="27"/>
  <c r="BN94" i="27"/>
  <c r="BO93" i="27"/>
  <c r="BO94" i="27"/>
  <c r="BP92" i="27"/>
  <c r="BL70" i="27"/>
  <c r="BL71" i="27"/>
  <c r="BM70" i="27"/>
  <c r="BM71" i="27"/>
  <c r="BN70" i="27"/>
  <c r="BN71" i="27"/>
  <c r="BO70" i="27"/>
  <c r="BO71" i="27"/>
  <c r="BP69" i="27"/>
  <c r="BL46" i="27"/>
  <c r="BL47" i="27"/>
  <c r="BM46" i="27"/>
  <c r="BM47" i="27"/>
  <c r="BN46" i="27"/>
  <c r="BN47" i="27"/>
  <c r="BO46" i="27"/>
  <c r="BO47" i="27"/>
  <c r="BP45" i="27"/>
  <c r="BL8" i="27"/>
  <c r="BL14" i="27"/>
  <c r="BL20" i="27"/>
  <c r="BL23" i="27"/>
  <c r="BL24" i="27"/>
  <c r="BM14" i="27"/>
  <c r="BM8" i="27"/>
  <c r="BM23" i="27"/>
  <c r="BM24" i="27"/>
  <c r="BN20" i="27"/>
  <c r="BN14" i="27"/>
  <c r="BN8" i="27"/>
  <c r="BN23" i="27"/>
  <c r="BN24" i="27"/>
  <c r="BO6" i="27"/>
  <c r="BO12" i="27"/>
  <c r="BO18" i="27"/>
  <c r="BO23" i="27"/>
  <c r="BL21" i="27"/>
  <c r="BM21" i="27"/>
  <c r="BN21" i="27"/>
  <c r="BL15" i="27"/>
  <c r="BM15" i="27"/>
  <c r="BN15" i="27"/>
  <c r="BL9" i="27"/>
  <c r="BM9" i="27"/>
  <c r="BN9" i="27"/>
  <c r="BD150" i="27"/>
  <c r="BD148" i="27"/>
  <c r="BI123" i="27"/>
  <c r="BI140" i="27"/>
  <c r="BI147" i="27"/>
  <c r="BI99" i="27"/>
  <c r="BI116" i="27"/>
  <c r="BH147" i="27"/>
  <c r="BI76" i="27"/>
  <c r="BI93" i="27"/>
  <c r="BG147" i="27"/>
  <c r="BI53" i="27"/>
  <c r="BI70" i="27"/>
  <c r="BF147" i="27"/>
  <c r="BI29" i="27"/>
  <c r="BI46" i="27"/>
  <c r="BE147" i="27"/>
  <c r="BE140" i="27"/>
  <c r="BE141" i="27"/>
  <c r="BF140" i="27"/>
  <c r="BF141" i="27"/>
  <c r="BG140" i="27"/>
  <c r="BG141" i="27"/>
  <c r="BH140" i="27"/>
  <c r="BH141" i="27"/>
  <c r="BI139" i="27"/>
  <c r="BE116" i="27"/>
  <c r="BE117" i="27"/>
  <c r="BF116" i="27"/>
  <c r="BF117" i="27"/>
  <c r="BG116" i="27"/>
  <c r="BG117" i="27"/>
  <c r="BH116" i="27"/>
  <c r="BH117" i="27"/>
  <c r="BI115" i="27"/>
  <c r="BE93" i="27"/>
  <c r="BE94" i="27"/>
  <c r="BF93" i="27"/>
  <c r="BF94" i="27"/>
  <c r="BG93" i="27"/>
  <c r="BG94" i="27"/>
  <c r="BH93" i="27"/>
  <c r="BH94" i="27"/>
  <c r="BI92" i="27"/>
  <c r="BE70" i="27"/>
  <c r="BE71" i="27"/>
  <c r="BF70" i="27"/>
  <c r="BF71" i="27"/>
  <c r="BG70" i="27"/>
  <c r="BG71" i="27"/>
  <c r="BH70" i="27"/>
  <c r="BH71" i="27"/>
  <c r="BI69" i="27"/>
  <c r="BE46" i="27"/>
  <c r="BE47" i="27"/>
  <c r="BF46" i="27"/>
  <c r="BF47" i="27"/>
  <c r="BG46" i="27"/>
  <c r="BG47" i="27"/>
  <c r="BH46" i="27"/>
  <c r="BH47" i="27"/>
  <c r="BI45" i="27"/>
  <c r="BE8" i="27"/>
  <c r="BE14" i="27"/>
  <c r="BE20" i="27"/>
  <c r="BE23" i="27"/>
  <c r="BE24" i="27"/>
  <c r="BF14" i="27"/>
  <c r="BF8" i="27"/>
  <c r="BF23" i="27"/>
  <c r="BF24" i="27"/>
  <c r="BG20" i="27"/>
  <c r="BG14" i="27"/>
  <c r="BG8" i="27"/>
  <c r="BG23" i="27"/>
  <c r="BG24" i="27"/>
  <c r="BH6" i="27"/>
  <c r="BH12" i="27"/>
  <c r="BH18" i="27"/>
  <c r="BH23" i="27"/>
  <c r="BE21" i="27"/>
  <c r="BF21" i="27"/>
  <c r="BG21" i="27"/>
  <c r="BE15" i="27"/>
  <c r="BF15" i="27"/>
  <c r="BG15" i="27"/>
  <c r="BE9" i="27"/>
  <c r="BF9" i="27"/>
  <c r="BG9" i="27"/>
  <c r="AW150" i="27"/>
  <c r="AW148" i="27"/>
  <c r="BB123" i="27"/>
  <c r="BB140" i="27"/>
  <c r="BB147" i="27"/>
  <c r="BB99" i="27"/>
  <c r="BB116" i="27"/>
  <c r="BA147" i="27"/>
  <c r="BB76" i="27"/>
  <c r="BB93" i="27"/>
  <c r="AZ147" i="27"/>
  <c r="BB53" i="27"/>
  <c r="BB70" i="27"/>
  <c r="AY147" i="27"/>
  <c r="BB29" i="27"/>
  <c r="BB46" i="27"/>
  <c r="AX147" i="27"/>
  <c r="AX140" i="27"/>
  <c r="AX141" i="27"/>
  <c r="AY140" i="27"/>
  <c r="AY141" i="27"/>
  <c r="AZ140" i="27"/>
  <c r="AZ141" i="27"/>
  <c r="BA140" i="27"/>
  <c r="BA141" i="27"/>
  <c r="BB139" i="27"/>
  <c r="AX116" i="27"/>
  <c r="AX117" i="27"/>
  <c r="AY116" i="27"/>
  <c r="AY117" i="27"/>
  <c r="AZ116" i="27"/>
  <c r="AZ117" i="27"/>
  <c r="BA116" i="27"/>
  <c r="BA117" i="27"/>
  <c r="BB115" i="27"/>
  <c r="AX93" i="27"/>
  <c r="AX94" i="27"/>
  <c r="AY93" i="27"/>
  <c r="AY94" i="27"/>
  <c r="AZ93" i="27"/>
  <c r="AZ94" i="27"/>
  <c r="BA93" i="27"/>
  <c r="BA94" i="27"/>
  <c r="BB92" i="27"/>
  <c r="AX70" i="27"/>
  <c r="AX71" i="27"/>
  <c r="AY70" i="27"/>
  <c r="AY71" i="27"/>
  <c r="AZ70" i="27"/>
  <c r="AZ71" i="27"/>
  <c r="BA70" i="27"/>
  <c r="BA71" i="27"/>
  <c r="BB69" i="27"/>
  <c r="AX46" i="27"/>
  <c r="AX47" i="27"/>
  <c r="AY46" i="27"/>
  <c r="AY47" i="27"/>
  <c r="AZ46" i="27"/>
  <c r="AZ47" i="27"/>
  <c r="BA46" i="27"/>
  <c r="BA47" i="27"/>
  <c r="BB45" i="27"/>
  <c r="AX8" i="27"/>
  <c r="AX14" i="27"/>
  <c r="AX20" i="27"/>
  <c r="AX23" i="27"/>
  <c r="AX24" i="27"/>
  <c r="AY14" i="27"/>
  <c r="AY8" i="27"/>
  <c r="AY23" i="27"/>
  <c r="AY24" i="27"/>
  <c r="AZ20" i="27"/>
  <c r="AZ14" i="27"/>
  <c r="AZ8" i="27"/>
  <c r="AZ23" i="27"/>
  <c r="AZ24" i="27"/>
  <c r="BA6" i="27"/>
  <c r="BA12" i="27"/>
  <c r="BA18" i="27"/>
  <c r="BA23" i="27"/>
  <c r="AX21" i="27"/>
  <c r="AY21" i="27"/>
  <c r="AZ21" i="27"/>
  <c r="AX15" i="27"/>
  <c r="AY15" i="27"/>
  <c r="AZ15" i="27"/>
  <c r="AX9" i="27"/>
  <c r="AY9" i="27"/>
  <c r="AZ9" i="27"/>
  <c r="AP150" i="27"/>
  <c r="AP148" i="27"/>
  <c r="AU123" i="27"/>
  <c r="AU140" i="27"/>
  <c r="AU147" i="27"/>
  <c r="AU99" i="27"/>
  <c r="AU116" i="27"/>
  <c r="AT147" i="27"/>
  <c r="AU76" i="27"/>
  <c r="AU93" i="27"/>
  <c r="AS147" i="27"/>
  <c r="AU53" i="27"/>
  <c r="AU70" i="27"/>
  <c r="AR147" i="27"/>
  <c r="AU29" i="27"/>
  <c r="AU46" i="27"/>
  <c r="AQ147" i="27"/>
  <c r="AQ140" i="27"/>
  <c r="AQ141" i="27"/>
  <c r="AR140" i="27"/>
  <c r="AR141" i="27"/>
  <c r="AS140" i="27"/>
  <c r="AS141" i="27"/>
  <c r="AT140" i="27"/>
  <c r="AT141" i="27"/>
  <c r="AU139" i="27"/>
  <c r="AQ116" i="27"/>
  <c r="AQ117" i="27"/>
  <c r="AR116" i="27"/>
  <c r="AR117" i="27"/>
  <c r="AS116" i="27"/>
  <c r="AS117" i="27"/>
  <c r="AT116" i="27"/>
  <c r="AT117" i="27"/>
  <c r="AU115" i="27"/>
  <c r="AQ93" i="27"/>
  <c r="AQ94" i="27"/>
  <c r="AR93" i="27"/>
  <c r="AR94" i="27"/>
  <c r="AS93" i="27"/>
  <c r="AS94" i="27"/>
  <c r="AT93" i="27"/>
  <c r="AT94" i="27"/>
  <c r="AU92" i="27"/>
  <c r="AQ70" i="27"/>
  <c r="AQ71" i="27"/>
  <c r="AR70" i="27"/>
  <c r="AR71" i="27"/>
  <c r="AS70" i="27"/>
  <c r="AS71" i="27"/>
  <c r="AT70" i="27"/>
  <c r="AT71" i="27"/>
  <c r="AU69" i="27"/>
  <c r="AQ46" i="27"/>
  <c r="AQ47" i="27"/>
  <c r="AR46" i="27"/>
  <c r="AR47" i="27"/>
  <c r="AS46" i="27"/>
  <c r="AS47" i="27"/>
  <c r="AT46" i="27"/>
  <c r="AT47" i="27"/>
  <c r="AU45" i="27"/>
  <c r="AQ8" i="27"/>
  <c r="AQ14" i="27"/>
  <c r="AQ20" i="27"/>
  <c r="AQ23" i="27"/>
  <c r="AQ24" i="27"/>
  <c r="AR14" i="27"/>
  <c r="AR8" i="27"/>
  <c r="AR23" i="27"/>
  <c r="AR24" i="27"/>
  <c r="AS20" i="27"/>
  <c r="AS14" i="27"/>
  <c r="AS8" i="27"/>
  <c r="AS23" i="27"/>
  <c r="AS24" i="27"/>
  <c r="AT6" i="27"/>
  <c r="AT12" i="27"/>
  <c r="AT18" i="27"/>
  <c r="AT23" i="27"/>
  <c r="AQ21" i="27"/>
  <c r="AR21" i="27"/>
  <c r="AS21" i="27"/>
  <c r="AQ15" i="27"/>
  <c r="AR15" i="27"/>
  <c r="AS15" i="27"/>
  <c r="AQ9" i="27"/>
  <c r="AR9" i="27"/>
  <c r="AS9" i="27"/>
  <c r="AI150" i="27"/>
  <c r="AI148" i="27"/>
  <c r="AN123" i="27"/>
  <c r="AN140" i="27"/>
  <c r="AN147" i="27"/>
  <c r="AN99" i="27"/>
  <c r="AN116" i="27"/>
  <c r="AM147" i="27"/>
  <c r="AN76" i="27"/>
  <c r="AN93" i="27"/>
  <c r="AL147" i="27"/>
  <c r="AN53" i="27"/>
  <c r="AN70" i="27"/>
  <c r="AK147" i="27"/>
  <c r="AN29" i="27"/>
  <c r="AN46" i="27"/>
  <c r="AJ147" i="27"/>
  <c r="AJ140" i="27"/>
  <c r="AJ141" i="27"/>
  <c r="AK140" i="27"/>
  <c r="AK141" i="27"/>
  <c r="AL140" i="27"/>
  <c r="AL141" i="27"/>
  <c r="AM140" i="27"/>
  <c r="AM141" i="27"/>
  <c r="AN139" i="27"/>
  <c r="AJ116" i="27"/>
  <c r="AJ117" i="27"/>
  <c r="AK116" i="27"/>
  <c r="AK117" i="27"/>
  <c r="AL116" i="27"/>
  <c r="AL117" i="27"/>
  <c r="AM116" i="27"/>
  <c r="AM117" i="27"/>
  <c r="AN115" i="27"/>
  <c r="AJ93" i="27"/>
  <c r="AJ94" i="27"/>
  <c r="AK93" i="27"/>
  <c r="AK94" i="27"/>
  <c r="AL93" i="27"/>
  <c r="AL94" i="27"/>
  <c r="AM93" i="27"/>
  <c r="AM94" i="27"/>
  <c r="AN92" i="27"/>
  <c r="AJ70" i="27"/>
  <c r="AJ71" i="27"/>
  <c r="AK70" i="27"/>
  <c r="AK71" i="27"/>
  <c r="AL70" i="27"/>
  <c r="AL71" i="27"/>
  <c r="AM70" i="27"/>
  <c r="AM71" i="27"/>
  <c r="AN69" i="27"/>
  <c r="AJ46" i="27"/>
  <c r="AJ47" i="27"/>
  <c r="AK46" i="27"/>
  <c r="AK47" i="27"/>
  <c r="AL46" i="27"/>
  <c r="AL47" i="27"/>
  <c r="AM46" i="27"/>
  <c r="AM47" i="27"/>
  <c r="AN45" i="27"/>
  <c r="AJ8" i="27"/>
  <c r="AJ14" i="27"/>
  <c r="AJ20" i="27"/>
  <c r="AJ23" i="27"/>
  <c r="AJ24" i="27"/>
  <c r="AK14" i="27"/>
  <c r="AK8" i="27"/>
  <c r="AK23" i="27"/>
  <c r="AK24" i="27"/>
  <c r="AL20" i="27"/>
  <c r="AL14" i="27"/>
  <c r="AL8" i="27"/>
  <c r="AL23" i="27"/>
  <c r="AL24" i="27"/>
  <c r="AM6" i="27"/>
  <c r="AM12" i="27"/>
  <c r="AM18" i="27"/>
  <c r="AM23" i="27"/>
  <c r="AJ21" i="27"/>
  <c r="AK21" i="27"/>
  <c r="AL21" i="27"/>
  <c r="AJ15" i="27"/>
  <c r="AK15" i="27"/>
  <c r="AL15" i="27"/>
  <c r="AJ9" i="27"/>
  <c r="AK9" i="27"/>
  <c r="AL9" i="27"/>
  <c r="C91" i="29"/>
  <c r="AG29" i="27"/>
  <c r="Y53" i="27"/>
  <c r="V7" i="27"/>
  <c r="W7" i="27"/>
  <c r="M7" i="27"/>
  <c r="N7" i="27"/>
  <c r="C17" i="29"/>
  <c r="G20" i="29"/>
  <c r="E165" i="29"/>
  <c r="F165" i="29"/>
  <c r="G165" i="29"/>
  <c r="G166" i="29"/>
  <c r="G148" i="29"/>
  <c r="E129" i="29"/>
  <c r="F129" i="29"/>
  <c r="G129" i="29"/>
  <c r="G130" i="29"/>
  <c r="G184" i="29"/>
  <c r="G202" i="29"/>
  <c r="G211" i="29"/>
  <c r="H165" i="29"/>
  <c r="H166" i="29"/>
  <c r="H148" i="29"/>
  <c r="H129" i="29"/>
  <c r="H130" i="29"/>
  <c r="H184" i="29"/>
  <c r="H202" i="29"/>
  <c r="H211" i="29"/>
  <c r="I165" i="29"/>
  <c r="I166" i="29"/>
  <c r="I148" i="29"/>
  <c r="I128" i="29"/>
  <c r="I129" i="29"/>
  <c r="I130" i="29"/>
  <c r="I182" i="29"/>
  <c r="I184" i="29"/>
  <c r="I202" i="29"/>
  <c r="I211" i="29"/>
  <c r="J164" i="29"/>
  <c r="J165" i="29"/>
  <c r="J166" i="29"/>
  <c r="J146" i="29"/>
  <c r="J148" i="29"/>
  <c r="J128" i="29"/>
  <c r="J129" i="29"/>
  <c r="J130" i="29"/>
  <c r="J182" i="29"/>
  <c r="J184" i="29"/>
  <c r="J202" i="29"/>
  <c r="J211" i="29"/>
  <c r="K164" i="29"/>
  <c r="K165" i="29"/>
  <c r="K166" i="29"/>
  <c r="K146" i="29"/>
  <c r="K148" i="29"/>
  <c r="K128" i="29"/>
  <c r="K129" i="29"/>
  <c r="K130" i="29"/>
  <c r="K182" i="29"/>
  <c r="K184" i="29"/>
  <c r="K202" i="29"/>
  <c r="K211" i="29"/>
  <c r="L164" i="29"/>
  <c r="L165" i="29"/>
  <c r="L166" i="29"/>
  <c r="L146" i="29"/>
  <c r="L148" i="29"/>
  <c r="L128" i="29"/>
  <c r="L129" i="29"/>
  <c r="L130" i="29"/>
  <c r="L182" i="29"/>
  <c r="L184" i="29"/>
  <c r="L202" i="29"/>
  <c r="L211" i="29"/>
  <c r="M164" i="29"/>
  <c r="M165" i="29"/>
  <c r="M166" i="29"/>
  <c r="M146" i="29"/>
  <c r="M148" i="29"/>
  <c r="M128" i="29"/>
  <c r="M129" i="29"/>
  <c r="M130" i="29"/>
  <c r="M182" i="29"/>
  <c r="M184" i="29"/>
  <c r="M202" i="29"/>
  <c r="M211" i="29"/>
  <c r="F166" i="29"/>
  <c r="F148" i="29"/>
  <c r="F130" i="29"/>
  <c r="F184" i="29"/>
  <c r="F202" i="29"/>
  <c r="F211" i="29"/>
  <c r="E166" i="29"/>
  <c r="E148" i="29"/>
  <c r="E130" i="29"/>
  <c r="E184" i="29"/>
  <c r="E202" i="29"/>
  <c r="E211" i="29"/>
  <c r="D56" i="29"/>
  <c r="D130" i="29"/>
  <c r="D20" i="29"/>
  <c r="D166" i="29"/>
  <c r="D148" i="29"/>
  <c r="D202" i="29"/>
  <c r="D211" i="29"/>
  <c r="F209" i="29"/>
  <c r="G209" i="29"/>
  <c r="H209" i="29"/>
  <c r="I209" i="29"/>
  <c r="J209" i="29"/>
  <c r="K209" i="29"/>
  <c r="L209" i="29"/>
  <c r="M209" i="29"/>
  <c r="E209" i="29"/>
  <c r="D209" i="29"/>
  <c r="E189" i="29"/>
  <c r="F189" i="29"/>
  <c r="G189" i="29"/>
  <c r="H189" i="29"/>
  <c r="I189" i="29"/>
  <c r="J189" i="29"/>
  <c r="K189" i="29"/>
  <c r="L189" i="29"/>
  <c r="M189" i="29"/>
  <c r="C172" i="29"/>
  <c r="C190" i="29"/>
  <c r="M190" i="29"/>
  <c r="M191" i="29"/>
  <c r="M192" i="29"/>
  <c r="C193" i="29"/>
  <c r="M193" i="29"/>
  <c r="C194" i="29"/>
  <c r="M194" i="29"/>
  <c r="M195" i="29"/>
  <c r="C196" i="29"/>
  <c r="M196" i="29"/>
  <c r="C197" i="29"/>
  <c r="M197" i="29"/>
  <c r="M198" i="29"/>
  <c r="M199" i="29"/>
  <c r="E200" i="29"/>
  <c r="F200" i="29"/>
  <c r="G200" i="29"/>
  <c r="H200" i="29"/>
  <c r="I200" i="29"/>
  <c r="J200" i="29"/>
  <c r="K200" i="29"/>
  <c r="L200" i="29"/>
  <c r="M200" i="29"/>
  <c r="M204" i="29"/>
  <c r="M213" i="29"/>
  <c r="L190" i="29"/>
  <c r="L191" i="29"/>
  <c r="L192" i="29"/>
  <c r="L193" i="29"/>
  <c r="L194" i="29"/>
  <c r="L195" i="29"/>
  <c r="L196" i="29"/>
  <c r="L197" i="29"/>
  <c r="L198" i="29"/>
  <c r="L199" i="29"/>
  <c r="L204" i="29"/>
  <c r="L213" i="29"/>
  <c r="K190" i="29"/>
  <c r="K191" i="29"/>
  <c r="K192" i="29"/>
  <c r="K193" i="29"/>
  <c r="K194" i="29"/>
  <c r="K195" i="29"/>
  <c r="K196" i="29"/>
  <c r="K197" i="29"/>
  <c r="K198" i="29"/>
  <c r="K199" i="29"/>
  <c r="K204" i="29"/>
  <c r="K213" i="29"/>
  <c r="J190" i="29"/>
  <c r="J191" i="29"/>
  <c r="J192" i="29"/>
  <c r="J193" i="29"/>
  <c r="J194" i="29"/>
  <c r="J195" i="29"/>
  <c r="J196" i="29"/>
  <c r="J197" i="29"/>
  <c r="J198" i="29"/>
  <c r="J199" i="29"/>
  <c r="J204" i="29"/>
  <c r="J213" i="29"/>
  <c r="I190" i="29"/>
  <c r="I191" i="29"/>
  <c r="I192" i="29"/>
  <c r="I193" i="29"/>
  <c r="I194" i="29"/>
  <c r="I195" i="29"/>
  <c r="I196" i="29"/>
  <c r="I197" i="29"/>
  <c r="I198" i="29"/>
  <c r="I199" i="29"/>
  <c r="I204" i="29"/>
  <c r="I213" i="29"/>
  <c r="H190" i="29"/>
  <c r="H191" i="29"/>
  <c r="H192" i="29"/>
  <c r="H193" i="29"/>
  <c r="H194" i="29"/>
  <c r="H195" i="29"/>
  <c r="H196" i="29"/>
  <c r="H197" i="29"/>
  <c r="H198" i="29"/>
  <c r="H199" i="29"/>
  <c r="H204" i="29"/>
  <c r="H213" i="29"/>
  <c r="G190" i="29"/>
  <c r="G191" i="29"/>
  <c r="G192" i="29"/>
  <c r="G193" i="29"/>
  <c r="G194" i="29"/>
  <c r="G195" i="29"/>
  <c r="G196" i="29"/>
  <c r="G197" i="29"/>
  <c r="G198" i="29"/>
  <c r="G199" i="29"/>
  <c r="G204" i="29"/>
  <c r="G213" i="29"/>
  <c r="F190" i="29"/>
  <c r="F191" i="29"/>
  <c r="F192" i="29"/>
  <c r="F193" i="29"/>
  <c r="F194" i="29"/>
  <c r="F195" i="29"/>
  <c r="F196" i="29"/>
  <c r="F197" i="29"/>
  <c r="F198" i="29"/>
  <c r="F199" i="29"/>
  <c r="F204" i="29"/>
  <c r="F213" i="29"/>
  <c r="E190" i="29"/>
  <c r="E191" i="29"/>
  <c r="E192" i="29"/>
  <c r="E193" i="29"/>
  <c r="E194" i="29"/>
  <c r="E195" i="29"/>
  <c r="E196" i="29"/>
  <c r="E197" i="29"/>
  <c r="E198" i="29"/>
  <c r="E199" i="29"/>
  <c r="E204" i="29"/>
  <c r="E213" i="29"/>
  <c r="D190" i="29"/>
  <c r="D191" i="29"/>
  <c r="D192" i="29"/>
  <c r="D193" i="29"/>
  <c r="D194" i="29"/>
  <c r="D195" i="29"/>
  <c r="D196" i="29"/>
  <c r="D197" i="29"/>
  <c r="D198" i="29"/>
  <c r="D199" i="29"/>
  <c r="D204" i="29"/>
  <c r="D213" i="29"/>
  <c r="C209" i="29"/>
  <c r="D164" i="29"/>
  <c r="C90" i="29"/>
  <c r="C144" i="29"/>
  <c r="C162" i="29"/>
  <c r="C199" i="29"/>
  <c r="E183" i="29"/>
  <c r="F183" i="29"/>
  <c r="G183" i="29"/>
  <c r="H183" i="29"/>
  <c r="I183" i="29"/>
  <c r="J183" i="29"/>
  <c r="K183" i="29"/>
  <c r="L183" i="29"/>
  <c r="M183" i="29"/>
  <c r="E171" i="29"/>
  <c r="F171" i="29"/>
  <c r="G171" i="29"/>
  <c r="H171" i="29"/>
  <c r="I171" i="29"/>
  <c r="J171" i="29"/>
  <c r="K171" i="29"/>
  <c r="L171" i="29"/>
  <c r="M171" i="29"/>
  <c r="C173" i="29"/>
  <c r="C174" i="29"/>
  <c r="C175" i="29"/>
  <c r="C176" i="29"/>
  <c r="C178" i="29"/>
  <c r="P82" i="29"/>
  <c r="P83" i="29"/>
  <c r="P84" i="29"/>
  <c r="P86" i="29"/>
  <c r="C89" i="29"/>
  <c r="C161" i="29"/>
  <c r="C179" i="29"/>
  <c r="C180" i="29"/>
  <c r="C181" i="29"/>
  <c r="M181" i="29"/>
  <c r="M186" i="29"/>
  <c r="L181" i="29"/>
  <c r="L186" i="29"/>
  <c r="K181" i="29"/>
  <c r="K186" i="29"/>
  <c r="J181" i="29"/>
  <c r="J186" i="29"/>
  <c r="I181" i="29"/>
  <c r="I186" i="29"/>
  <c r="H181" i="29"/>
  <c r="H186" i="29"/>
  <c r="G181" i="29"/>
  <c r="G186" i="29"/>
  <c r="F181" i="29"/>
  <c r="F186" i="29"/>
  <c r="E181" i="29"/>
  <c r="E186" i="29"/>
  <c r="D182" i="29"/>
  <c r="D184" i="29"/>
  <c r="D181" i="29"/>
  <c r="D186" i="29"/>
  <c r="M180" i="29"/>
  <c r="L180" i="29"/>
  <c r="K180" i="29"/>
  <c r="J180" i="29"/>
  <c r="I180" i="29"/>
  <c r="H180" i="29"/>
  <c r="G180" i="29"/>
  <c r="F180" i="29"/>
  <c r="E180" i="29"/>
  <c r="D180" i="29"/>
  <c r="M179" i="29"/>
  <c r="L179" i="29"/>
  <c r="K179" i="29"/>
  <c r="J179" i="29"/>
  <c r="I179" i="29"/>
  <c r="H179" i="29"/>
  <c r="G179" i="29"/>
  <c r="F179" i="29"/>
  <c r="E179" i="29"/>
  <c r="D179" i="29"/>
  <c r="M178" i="29"/>
  <c r="L178" i="29"/>
  <c r="K178" i="29"/>
  <c r="J178" i="29"/>
  <c r="I178" i="29"/>
  <c r="H178" i="29"/>
  <c r="G178" i="29"/>
  <c r="F178" i="29"/>
  <c r="E178" i="29"/>
  <c r="D178" i="29"/>
  <c r="M177" i="29"/>
  <c r="L177" i="29"/>
  <c r="K177" i="29"/>
  <c r="J177" i="29"/>
  <c r="I177" i="29"/>
  <c r="H177" i="29"/>
  <c r="G177" i="29"/>
  <c r="F177" i="29"/>
  <c r="E177" i="29"/>
  <c r="D177" i="29"/>
  <c r="M176" i="29"/>
  <c r="L176" i="29"/>
  <c r="K176" i="29"/>
  <c r="J176" i="29"/>
  <c r="I176" i="29"/>
  <c r="H176" i="29"/>
  <c r="G176" i="29"/>
  <c r="F176" i="29"/>
  <c r="E176" i="29"/>
  <c r="D176" i="29"/>
  <c r="M175" i="29"/>
  <c r="L175" i="29"/>
  <c r="K175" i="29"/>
  <c r="J175" i="29"/>
  <c r="I175" i="29"/>
  <c r="H175" i="29"/>
  <c r="G175" i="29"/>
  <c r="F175" i="29"/>
  <c r="E175" i="29"/>
  <c r="D175" i="29"/>
  <c r="M174" i="29"/>
  <c r="L174" i="29"/>
  <c r="K174" i="29"/>
  <c r="J174" i="29"/>
  <c r="I174" i="29"/>
  <c r="H174" i="29"/>
  <c r="G174" i="29"/>
  <c r="F174" i="29"/>
  <c r="E174" i="29"/>
  <c r="D174" i="29"/>
  <c r="M173" i="29"/>
  <c r="L173" i="29"/>
  <c r="K173" i="29"/>
  <c r="J173" i="29"/>
  <c r="I173" i="29"/>
  <c r="H173" i="29"/>
  <c r="G173" i="29"/>
  <c r="F173" i="29"/>
  <c r="E173" i="29"/>
  <c r="D173" i="29"/>
  <c r="M172" i="29"/>
  <c r="L172" i="29"/>
  <c r="K172" i="29"/>
  <c r="J172" i="29"/>
  <c r="I172" i="29"/>
  <c r="H172" i="29"/>
  <c r="G172" i="29"/>
  <c r="F172" i="29"/>
  <c r="E172" i="29"/>
  <c r="D172" i="29"/>
  <c r="E153" i="29"/>
  <c r="F153" i="29"/>
  <c r="G153" i="29"/>
  <c r="H153" i="29"/>
  <c r="I153" i="29"/>
  <c r="J153" i="29"/>
  <c r="K153" i="29"/>
  <c r="L153" i="29"/>
  <c r="M153" i="29"/>
  <c r="C82" i="29"/>
  <c r="C154" i="29"/>
  <c r="M154" i="29"/>
  <c r="C155" i="29"/>
  <c r="M155" i="29"/>
  <c r="C156" i="29"/>
  <c r="M156" i="29"/>
  <c r="C157" i="29"/>
  <c r="M157" i="29"/>
  <c r="C158" i="29"/>
  <c r="M158" i="29"/>
  <c r="C159" i="29"/>
  <c r="M159" i="29"/>
  <c r="C160" i="29"/>
  <c r="M160" i="29"/>
  <c r="M161" i="29"/>
  <c r="M162" i="29"/>
  <c r="M163" i="29"/>
  <c r="M168" i="29"/>
  <c r="L154" i="29"/>
  <c r="L155" i="29"/>
  <c r="L156" i="29"/>
  <c r="L157" i="29"/>
  <c r="L158" i="29"/>
  <c r="L159" i="29"/>
  <c r="L160" i="29"/>
  <c r="L161" i="29"/>
  <c r="L162" i="29"/>
  <c r="L163" i="29"/>
  <c r="L168" i="29"/>
  <c r="K154" i="29"/>
  <c r="K155" i="29"/>
  <c r="K156" i="29"/>
  <c r="K157" i="29"/>
  <c r="K158" i="29"/>
  <c r="K159" i="29"/>
  <c r="K160" i="29"/>
  <c r="K161" i="29"/>
  <c r="K162" i="29"/>
  <c r="K163" i="29"/>
  <c r="K168" i="29"/>
  <c r="J154" i="29"/>
  <c r="J155" i="29"/>
  <c r="J156" i="29"/>
  <c r="J157" i="29"/>
  <c r="J158" i="29"/>
  <c r="J159" i="29"/>
  <c r="J160" i="29"/>
  <c r="J161" i="29"/>
  <c r="J162" i="29"/>
  <c r="J163" i="29"/>
  <c r="J168" i="29"/>
  <c r="I154" i="29"/>
  <c r="I155" i="29"/>
  <c r="I156" i="29"/>
  <c r="I157" i="29"/>
  <c r="I158" i="29"/>
  <c r="I159" i="29"/>
  <c r="I160" i="29"/>
  <c r="I161" i="29"/>
  <c r="I162" i="29"/>
  <c r="I163" i="29"/>
  <c r="I168" i="29"/>
  <c r="H154" i="29"/>
  <c r="H155" i="29"/>
  <c r="H156" i="29"/>
  <c r="H157" i="29"/>
  <c r="H158" i="29"/>
  <c r="H159" i="29"/>
  <c r="H160" i="29"/>
  <c r="H161" i="29"/>
  <c r="H162" i="29"/>
  <c r="H163" i="29"/>
  <c r="H168" i="29"/>
  <c r="G154" i="29"/>
  <c r="G155" i="29"/>
  <c r="G156" i="29"/>
  <c r="G157" i="29"/>
  <c r="G158" i="29"/>
  <c r="G159" i="29"/>
  <c r="G160" i="29"/>
  <c r="G161" i="29"/>
  <c r="G162" i="29"/>
  <c r="G163" i="29"/>
  <c r="G168" i="29"/>
  <c r="F154" i="29"/>
  <c r="F155" i="29"/>
  <c r="F156" i="29"/>
  <c r="F157" i="29"/>
  <c r="F158" i="29"/>
  <c r="F159" i="29"/>
  <c r="F160" i="29"/>
  <c r="F161" i="29"/>
  <c r="F162" i="29"/>
  <c r="F163" i="29"/>
  <c r="F168" i="29"/>
  <c r="E154" i="29"/>
  <c r="E155" i="29"/>
  <c r="E156" i="29"/>
  <c r="E157" i="29"/>
  <c r="E158" i="29"/>
  <c r="E159" i="29"/>
  <c r="E160" i="29"/>
  <c r="E161" i="29"/>
  <c r="E162" i="29"/>
  <c r="E163" i="29"/>
  <c r="E168" i="29"/>
  <c r="D154" i="29"/>
  <c r="D155" i="29"/>
  <c r="D156" i="29"/>
  <c r="D157" i="29"/>
  <c r="D158" i="29"/>
  <c r="D159" i="29"/>
  <c r="D160" i="29"/>
  <c r="D161" i="29"/>
  <c r="D162" i="29"/>
  <c r="D163" i="29"/>
  <c r="D168" i="29"/>
  <c r="C163" i="29"/>
  <c r="E147" i="29"/>
  <c r="F147" i="29"/>
  <c r="G147" i="29"/>
  <c r="H147" i="29"/>
  <c r="I147" i="29"/>
  <c r="J147" i="29"/>
  <c r="K147" i="29"/>
  <c r="L147" i="29"/>
  <c r="M147" i="29"/>
  <c r="E135" i="29"/>
  <c r="F135" i="29"/>
  <c r="G135" i="29"/>
  <c r="H135" i="29"/>
  <c r="I135" i="29"/>
  <c r="J135" i="29"/>
  <c r="K135" i="29"/>
  <c r="L135" i="29"/>
  <c r="M135" i="29"/>
  <c r="M150" i="29"/>
  <c r="L150" i="29"/>
  <c r="K150" i="29"/>
  <c r="J150" i="29"/>
  <c r="I150" i="29"/>
  <c r="H150" i="29"/>
  <c r="G150" i="29"/>
  <c r="F150" i="29"/>
  <c r="E150" i="29"/>
  <c r="D150" i="29"/>
  <c r="C118" i="29"/>
  <c r="C136" i="29"/>
  <c r="C137" i="29"/>
  <c r="C138" i="29"/>
  <c r="C139" i="29"/>
  <c r="C140" i="29"/>
  <c r="C141" i="29"/>
  <c r="C142" i="29"/>
  <c r="C143" i="29"/>
  <c r="C145" i="29"/>
  <c r="M145" i="29"/>
  <c r="L145" i="29"/>
  <c r="K145" i="29"/>
  <c r="J145" i="29"/>
  <c r="I145" i="29"/>
  <c r="H145" i="29"/>
  <c r="G145" i="29"/>
  <c r="F145" i="29"/>
  <c r="E145" i="29"/>
  <c r="D145" i="29"/>
  <c r="M144" i="29"/>
  <c r="L144" i="29"/>
  <c r="K144" i="29"/>
  <c r="J144" i="29"/>
  <c r="I144" i="29"/>
  <c r="H144" i="29"/>
  <c r="G144" i="29"/>
  <c r="F144" i="29"/>
  <c r="E144" i="29"/>
  <c r="D144" i="29"/>
  <c r="M143" i="29"/>
  <c r="L143" i="29"/>
  <c r="K143" i="29"/>
  <c r="J143" i="29"/>
  <c r="I143" i="29"/>
  <c r="H143" i="29"/>
  <c r="G143" i="29"/>
  <c r="F143" i="29"/>
  <c r="E143" i="29"/>
  <c r="D143" i="29"/>
  <c r="M142" i="29"/>
  <c r="L142" i="29"/>
  <c r="K142" i="29"/>
  <c r="J142" i="29"/>
  <c r="I142" i="29"/>
  <c r="H142" i="29"/>
  <c r="G142" i="29"/>
  <c r="F142" i="29"/>
  <c r="E142" i="29"/>
  <c r="D142" i="29"/>
  <c r="M141" i="29"/>
  <c r="L141" i="29"/>
  <c r="K141" i="29"/>
  <c r="J141" i="29"/>
  <c r="I141" i="29"/>
  <c r="H141" i="29"/>
  <c r="G141" i="29"/>
  <c r="F141" i="29"/>
  <c r="E141" i="29"/>
  <c r="D141" i="29"/>
  <c r="M140" i="29"/>
  <c r="L140" i="29"/>
  <c r="K140" i="29"/>
  <c r="J140" i="29"/>
  <c r="I140" i="29"/>
  <c r="H140" i="29"/>
  <c r="G140" i="29"/>
  <c r="F140" i="29"/>
  <c r="E140" i="29"/>
  <c r="D140" i="29"/>
  <c r="M139" i="29"/>
  <c r="L139" i="29"/>
  <c r="K139" i="29"/>
  <c r="J139" i="29"/>
  <c r="I139" i="29"/>
  <c r="H139" i="29"/>
  <c r="G139" i="29"/>
  <c r="F139" i="29"/>
  <c r="E139" i="29"/>
  <c r="D139" i="29"/>
  <c r="M138" i="29"/>
  <c r="L138" i="29"/>
  <c r="K138" i="29"/>
  <c r="J138" i="29"/>
  <c r="I138" i="29"/>
  <c r="H138" i="29"/>
  <c r="G138" i="29"/>
  <c r="F138" i="29"/>
  <c r="E138" i="29"/>
  <c r="D138" i="29"/>
  <c r="M137" i="29"/>
  <c r="L137" i="29"/>
  <c r="K137" i="29"/>
  <c r="J137" i="29"/>
  <c r="I137" i="29"/>
  <c r="H137" i="29"/>
  <c r="G137" i="29"/>
  <c r="F137" i="29"/>
  <c r="E137" i="29"/>
  <c r="D137" i="29"/>
  <c r="M136" i="29"/>
  <c r="L136" i="29"/>
  <c r="K136" i="29"/>
  <c r="J136" i="29"/>
  <c r="I136" i="29"/>
  <c r="H136" i="29"/>
  <c r="G136" i="29"/>
  <c r="F136" i="29"/>
  <c r="E136" i="29"/>
  <c r="D136" i="29"/>
  <c r="E117" i="29"/>
  <c r="F117" i="29"/>
  <c r="G117" i="29"/>
  <c r="H117" i="29"/>
  <c r="I117" i="29"/>
  <c r="J117" i="29"/>
  <c r="K117" i="29"/>
  <c r="L117" i="29"/>
  <c r="M117" i="29"/>
  <c r="C119" i="29"/>
  <c r="C121" i="29"/>
  <c r="C122" i="29"/>
  <c r="C124" i="29"/>
  <c r="C125" i="29"/>
  <c r="C126" i="29"/>
  <c r="C127" i="29"/>
  <c r="M127" i="29"/>
  <c r="M132" i="29"/>
  <c r="L127" i="29"/>
  <c r="L132" i="29"/>
  <c r="K127" i="29"/>
  <c r="K132" i="29"/>
  <c r="J127" i="29"/>
  <c r="J132" i="29"/>
  <c r="I127" i="29"/>
  <c r="I132" i="29"/>
  <c r="H127" i="29"/>
  <c r="H132" i="29"/>
  <c r="G127" i="29"/>
  <c r="G132" i="29"/>
  <c r="F127" i="29"/>
  <c r="F132" i="29"/>
  <c r="E127" i="29"/>
  <c r="E132" i="29"/>
  <c r="D127" i="29"/>
  <c r="D132" i="29"/>
  <c r="M126" i="29"/>
  <c r="L126" i="29"/>
  <c r="K126" i="29"/>
  <c r="J126" i="29"/>
  <c r="I126" i="29"/>
  <c r="H126" i="29"/>
  <c r="G126" i="29"/>
  <c r="F126" i="29"/>
  <c r="E126" i="29"/>
  <c r="D126" i="29"/>
  <c r="M125" i="29"/>
  <c r="L125" i="29"/>
  <c r="K125" i="29"/>
  <c r="J125" i="29"/>
  <c r="I125" i="29"/>
  <c r="H125" i="29"/>
  <c r="G125" i="29"/>
  <c r="F125" i="29"/>
  <c r="E125" i="29"/>
  <c r="D125" i="29"/>
  <c r="M124" i="29"/>
  <c r="L124" i="29"/>
  <c r="K124" i="29"/>
  <c r="J124" i="29"/>
  <c r="I124" i="29"/>
  <c r="H124" i="29"/>
  <c r="G124" i="29"/>
  <c r="F124" i="29"/>
  <c r="E124" i="29"/>
  <c r="D124" i="29"/>
  <c r="M123" i="29"/>
  <c r="L123" i="29"/>
  <c r="K123" i="29"/>
  <c r="J123" i="29"/>
  <c r="I123" i="29"/>
  <c r="H123" i="29"/>
  <c r="G123" i="29"/>
  <c r="F123" i="29"/>
  <c r="E123" i="29"/>
  <c r="D123" i="29"/>
  <c r="M122" i="29"/>
  <c r="L122" i="29"/>
  <c r="K122" i="29"/>
  <c r="J122" i="29"/>
  <c r="I122" i="29"/>
  <c r="H122" i="29"/>
  <c r="G122" i="29"/>
  <c r="F122" i="29"/>
  <c r="E122" i="29"/>
  <c r="D122" i="29"/>
  <c r="M121" i="29"/>
  <c r="L121" i="29"/>
  <c r="K121" i="29"/>
  <c r="J121" i="29"/>
  <c r="I121" i="29"/>
  <c r="H121" i="29"/>
  <c r="G121" i="29"/>
  <c r="F121" i="29"/>
  <c r="E121" i="29"/>
  <c r="D121" i="29"/>
  <c r="M120" i="29"/>
  <c r="L120" i="29"/>
  <c r="K120" i="29"/>
  <c r="J120" i="29"/>
  <c r="I120" i="29"/>
  <c r="H120" i="29"/>
  <c r="G120" i="29"/>
  <c r="F120" i="29"/>
  <c r="E120" i="29"/>
  <c r="D120" i="29"/>
  <c r="M119" i="29"/>
  <c r="L119" i="29"/>
  <c r="K119" i="29"/>
  <c r="J119" i="29"/>
  <c r="I119" i="29"/>
  <c r="H119" i="29"/>
  <c r="G119" i="29"/>
  <c r="F119" i="29"/>
  <c r="E119" i="29"/>
  <c r="D119" i="29"/>
  <c r="M118" i="29"/>
  <c r="L118" i="29"/>
  <c r="K118" i="29"/>
  <c r="J118" i="29"/>
  <c r="I118" i="29"/>
  <c r="H118" i="29"/>
  <c r="G118" i="29"/>
  <c r="F118" i="29"/>
  <c r="E118" i="29"/>
  <c r="D118" i="29"/>
  <c r="D111" i="29"/>
  <c r="E111" i="29"/>
  <c r="F111" i="29"/>
  <c r="G111" i="29"/>
  <c r="H111" i="29"/>
  <c r="I111" i="29"/>
  <c r="J111" i="29"/>
  <c r="K111" i="29"/>
  <c r="L111" i="29"/>
  <c r="M111" i="29"/>
  <c r="E110" i="29"/>
  <c r="F110" i="29"/>
  <c r="G110" i="29"/>
  <c r="H110" i="29"/>
  <c r="I110" i="29"/>
  <c r="J110" i="29"/>
  <c r="K110" i="29"/>
  <c r="L110" i="29"/>
  <c r="M110" i="29"/>
  <c r="E99" i="29"/>
  <c r="F99" i="29"/>
  <c r="G99" i="29"/>
  <c r="H99" i="29"/>
  <c r="I99" i="29"/>
  <c r="J99" i="29"/>
  <c r="K99" i="29"/>
  <c r="L99" i="29"/>
  <c r="M99" i="29"/>
  <c r="M112" i="29"/>
  <c r="C100" i="29"/>
  <c r="M100" i="29"/>
  <c r="C101" i="29"/>
  <c r="M101" i="29"/>
  <c r="C64" i="29"/>
  <c r="C102" i="29"/>
  <c r="M102" i="29"/>
  <c r="C65" i="29"/>
  <c r="C103" i="29"/>
  <c r="M103" i="29"/>
  <c r="Q17" i="29"/>
  <c r="R17" i="29"/>
  <c r="Q18" i="29"/>
  <c r="P18" i="29"/>
  <c r="R18" i="29"/>
  <c r="R19" i="29"/>
  <c r="C66" i="29"/>
  <c r="C104" i="29"/>
  <c r="M104" i="29"/>
  <c r="C67" i="29"/>
  <c r="C105" i="29"/>
  <c r="M105" i="29"/>
  <c r="C68" i="29"/>
  <c r="C106" i="29"/>
  <c r="M106" i="29"/>
  <c r="Q64" i="29"/>
  <c r="Q65" i="29"/>
  <c r="Q66" i="29"/>
  <c r="Q68" i="29"/>
  <c r="C69" i="29"/>
  <c r="C107" i="29"/>
  <c r="M107" i="29"/>
  <c r="M108" i="29"/>
  <c r="M109" i="29"/>
  <c r="M114" i="29"/>
  <c r="L112" i="29"/>
  <c r="L100" i="29"/>
  <c r="L101" i="29"/>
  <c r="L102" i="29"/>
  <c r="L103" i="29"/>
  <c r="L104" i="29"/>
  <c r="L105" i="29"/>
  <c r="L106" i="29"/>
  <c r="L107" i="29"/>
  <c r="L108" i="29"/>
  <c r="L109" i="29"/>
  <c r="L114" i="29"/>
  <c r="K112" i="29"/>
  <c r="K100" i="29"/>
  <c r="K101" i="29"/>
  <c r="K102" i="29"/>
  <c r="K103" i="29"/>
  <c r="K104" i="29"/>
  <c r="K105" i="29"/>
  <c r="K106" i="29"/>
  <c r="K107" i="29"/>
  <c r="K108" i="29"/>
  <c r="K109" i="29"/>
  <c r="K114" i="29"/>
  <c r="J112" i="29"/>
  <c r="J100" i="29"/>
  <c r="J101" i="29"/>
  <c r="J102" i="29"/>
  <c r="J103" i="29"/>
  <c r="J104" i="29"/>
  <c r="J105" i="29"/>
  <c r="J106" i="29"/>
  <c r="J107" i="29"/>
  <c r="J108" i="29"/>
  <c r="J109" i="29"/>
  <c r="J114" i="29"/>
  <c r="I112" i="29"/>
  <c r="I100" i="29"/>
  <c r="I101" i="29"/>
  <c r="I102" i="29"/>
  <c r="I103" i="29"/>
  <c r="I104" i="29"/>
  <c r="I105" i="29"/>
  <c r="I106" i="29"/>
  <c r="I107" i="29"/>
  <c r="I108" i="29"/>
  <c r="I109" i="29"/>
  <c r="I114" i="29"/>
  <c r="H112" i="29"/>
  <c r="H100" i="29"/>
  <c r="H101" i="29"/>
  <c r="H102" i="29"/>
  <c r="H103" i="29"/>
  <c r="H104" i="29"/>
  <c r="H105" i="29"/>
  <c r="H106" i="29"/>
  <c r="H107" i="29"/>
  <c r="H108" i="29"/>
  <c r="H109" i="29"/>
  <c r="H114" i="29"/>
  <c r="G112" i="29"/>
  <c r="G100" i="29"/>
  <c r="G101" i="29"/>
  <c r="G102" i="29"/>
  <c r="G103" i="29"/>
  <c r="G104" i="29"/>
  <c r="G105" i="29"/>
  <c r="G106" i="29"/>
  <c r="G107" i="29"/>
  <c r="G108" i="29"/>
  <c r="G109" i="29"/>
  <c r="G114" i="29"/>
  <c r="F112" i="29"/>
  <c r="F100" i="29"/>
  <c r="F101" i="29"/>
  <c r="F102" i="29"/>
  <c r="F103" i="29"/>
  <c r="F104" i="29"/>
  <c r="F105" i="29"/>
  <c r="F106" i="29"/>
  <c r="F107" i="29"/>
  <c r="F108" i="29"/>
  <c r="F109" i="29"/>
  <c r="F114" i="29"/>
  <c r="E112" i="29"/>
  <c r="E100" i="29"/>
  <c r="E101" i="29"/>
  <c r="E102" i="29"/>
  <c r="E103" i="29"/>
  <c r="E104" i="29"/>
  <c r="E105" i="29"/>
  <c r="E106" i="29"/>
  <c r="E107" i="29"/>
  <c r="E108" i="29"/>
  <c r="E109" i="29"/>
  <c r="E114" i="29"/>
  <c r="D112" i="29"/>
  <c r="D100" i="29"/>
  <c r="D101" i="29"/>
  <c r="D102" i="29"/>
  <c r="D103" i="29"/>
  <c r="D104" i="29"/>
  <c r="D105" i="29"/>
  <c r="D106" i="29"/>
  <c r="D107" i="29"/>
  <c r="D108" i="29"/>
  <c r="D109" i="29"/>
  <c r="D114" i="29"/>
  <c r="C109" i="29"/>
  <c r="E93" i="29"/>
  <c r="F93" i="29"/>
  <c r="G93" i="29"/>
  <c r="H93" i="29"/>
  <c r="I93" i="29"/>
  <c r="J93" i="29"/>
  <c r="K93" i="29"/>
  <c r="L93" i="29"/>
  <c r="M93" i="29"/>
  <c r="E92" i="29"/>
  <c r="F92" i="29"/>
  <c r="G92" i="29"/>
  <c r="H92" i="29"/>
  <c r="I92" i="29"/>
  <c r="J92" i="29"/>
  <c r="K92" i="29"/>
  <c r="L92" i="29"/>
  <c r="M92" i="29"/>
  <c r="E80" i="29"/>
  <c r="F80" i="29"/>
  <c r="G80" i="29"/>
  <c r="H80" i="29"/>
  <c r="I80" i="29"/>
  <c r="J80" i="29"/>
  <c r="K80" i="29"/>
  <c r="L80" i="29"/>
  <c r="M80" i="29"/>
  <c r="M94" i="29"/>
  <c r="M82" i="29"/>
  <c r="C83" i="29"/>
  <c r="M83" i="29"/>
  <c r="M84" i="29"/>
  <c r="C85" i="29"/>
  <c r="M85" i="29"/>
  <c r="C86" i="29"/>
  <c r="M86" i="29"/>
  <c r="M87" i="29"/>
  <c r="C88" i="29"/>
  <c r="M88" i="29"/>
  <c r="M89" i="29"/>
  <c r="M90" i="29"/>
  <c r="M91" i="29"/>
  <c r="M96" i="29"/>
  <c r="L94" i="29"/>
  <c r="L82" i="29"/>
  <c r="L83" i="29"/>
  <c r="L84" i="29"/>
  <c r="L85" i="29"/>
  <c r="L86" i="29"/>
  <c r="L87" i="29"/>
  <c r="L88" i="29"/>
  <c r="L89" i="29"/>
  <c r="L90" i="29"/>
  <c r="L91" i="29"/>
  <c r="L96" i="29"/>
  <c r="K94" i="29"/>
  <c r="K82" i="29"/>
  <c r="K83" i="29"/>
  <c r="K84" i="29"/>
  <c r="K85" i="29"/>
  <c r="K86" i="29"/>
  <c r="K87" i="29"/>
  <c r="K88" i="29"/>
  <c r="K89" i="29"/>
  <c r="K90" i="29"/>
  <c r="K91" i="29"/>
  <c r="K96" i="29"/>
  <c r="J94" i="29"/>
  <c r="J82" i="29"/>
  <c r="J83" i="29"/>
  <c r="J84" i="29"/>
  <c r="J85" i="29"/>
  <c r="J86" i="29"/>
  <c r="J87" i="29"/>
  <c r="J88" i="29"/>
  <c r="J89" i="29"/>
  <c r="J90" i="29"/>
  <c r="J91" i="29"/>
  <c r="J96" i="29"/>
  <c r="I94" i="29"/>
  <c r="I82" i="29"/>
  <c r="I83" i="29"/>
  <c r="I84" i="29"/>
  <c r="I85" i="29"/>
  <c r="I86" i="29"/>
  <c r="I87" i="29"/>
  <c r="I88" i="29"/>
  <c r="I89" i="29"/>
  <c r="I90" i="29"/>
  <c r="I91" i="29"/>
  <c r="I96" i="29"/>
  <c r="H94" i="29"/>
  <c r="H82" i="29"/>
  <c r="H83" i="29"/>
  <c r="H84" i="29"/>
  <c r="H85" i="29"/>
  <c r="H86" i="29"/>
  <c r="H87" i="29"/>
  <c r="H88" i="29"/>
  <c r="H89" i="29"/>
  <c r="H90" i="29"/>
  <c r="H91" i="29"/>
  <c r="H96" i="29"/>
  <c r="G94" i="29"/>
  <c r="G82" i="29"/>
  <c r="G83" i="29"/>
  <c r="G84" i="29"/>
  <c r="G85" i="29"/>
  <c r="G86" i="29"/>
  <c r="G87" i="29"/>
  <c r="G88" i="29"/>
  <c r="G89" i="29"/>
  <c r="G90" i="29"/>
  <c r="G91" i="29"/>
  <c r="G96" i="29"/>
  <c r="F94" i="29"/>
  <c r="F82" i="29"/>
  <c r="F83" i="29"/>
  <c r="F84" i="29"/>
  <c r="F85" i="29"/>
  <c r="F86" i="29"/>
  <c r="F87" i="29"/>
  <c r="F88" i="29"/>
  <c r="F89" i="29"/>
  <c r="F90" i="29"/>
  <c r="F91" i="29"/>
  <c r="F96" i="29"/>
  <c r="E94" i="29"/>
  <c r="E82" i="29"/>
  <c r="E83" i="29"/>
  <c r="E84" i="29"/>
  <c r="E85" i="29"/>
  <c r="E86" i="29"/>
  <c r="E87" i="29"/>
  <c r="E88" i="29"/>
  <c r="E89" i="29"/>
  <c r="E90" i="29"/>
  <c r="E91" i="29"/>
  <c r="E96" i="29"/>
  <c r="D94" i="29"/>
  <c r="D82" i="29"/>
  <c r="D83" i="29"/>
  <c r="D84" i="29"/>
  <c r="D85" i="29"/>
  <c r="D86" i="29"/>
  <c r="D87" i="29"/>
  <c r="D88" i="29"/>
  <c r="D89" i="29"/>
  <c r="D90" i="29"/>
  <c r="D91" i="29"/>
  <c r="D96" i="29"/>
  <c r="E73" i="29"/>
  <c r="F73" i="29"/>
  <c r="G73" i="29"/>
  <c r="H73" i="29"/>
  <c r="I73" i="29"/>
  <c r="J73" i="29"/>
  <c r="K73" i="29"/>
  <c r="L73" i="29"/>
  <c r="M73" i="29"/>
  <c r="G72" i="29"/>
  <c r="H72" i="29"/>
  <c r="I72" i="29"/>
  <c r="J72" i="29"/>
  <c r="K72" i="29"/>
  <c r="L72" i="29"/>
  <c r="M72" i="29"/>
  <c r="E7" i="29"/>
  <c r="F7" i="29"/>
  <c r="G7" i="29"/>
  <c r="H7" i="29"/>
  <c r="I7" i="29"/>
  <c r="J7" i="29"/>
  <c r="K7" i="29"/>
  <c r="L7" i="29"/>
  <c r="M7" i="29"/>
  <c r="M74" i="29"/>
  <c r="C63" i="29"/>
  <c r="C70" i="29"/>
  <c r="C71" i="29"/>
  <c r="M71" i="29"/>
  <c r="M76" i="29"/>
  <c r="L74" i="29"/>
  <c r="L71" i="29"/>
  <c r="L76" i="29"/>
  <c r="K74" i="29"/>
  <c r="K71" i="29"/>
  <c r="K76" i="29"/>
  <c r="J74" i="29"/>
  <c r="J71" i="29"/>
  <c r="J76" i="29"/>
  <c r="I74" i="29"/>
  <c r="I71" i="29"/>
  <c r="I76" i="29"/>
  <c r="H74" i="29"/>
  <c r="H71" i="29"/>
  <c r="H76" i="29"/>
  <c r="G74" i="29"/>
  <c r="G71" i="29"/>
  <c r="G76" i="29"/>
  <c r="F74" i="29"/>
  <c r="F71" i="29"/>
  <c r="F76" i="29"/>
  <c r="E74" i="29"/>
  <c r="E71" i="29"/>
  <c r="E76" i="29"/>
  <c r="D74" i="29"/>
  <c r="D71" i="29"/>
  <c r="D76" i="29"/>
  <c r="M70" i="29"/>
  <c r="L70" i="29"/>
  <c r="K70" i="29"/>
  <c r="J70" i="29"/>
  <c r="I70" i="29"/>
  <c r="H70" i="29"/>
  <c r="G70" i="29"/>
  <c r="F70" i="29"/>
  <c r="E70" i="29"/>
  <c r="D70" i="29"/>
  <c r="D69" i="29"/>
  <c r="E69" i="29"/>
  <c r="F69" i="29"/>
  <c r="G69" i="29"/>
  <c r="H69" i="29"/>
  <c r="I69" i="29"/>
  <c r="J69" i="29"/>
  <c r="K69" i="29"/>
  <c r="L69" i="29"/>
  <c r="M69" i="29"/>
  <c r="M68" i="29"/>
  <c r="L68" i="29"/>
  <c r="K68" i="29"/>
  <c r="J68" i="29"/>
  <c r="I68" i="29"/>
  <c r="H68" i="29"/>
  <c r="G68" i="29"/>
  <c r="F68" i="29"/>
  <c r="E68" i="29"/>
  <c r="D68" i="29"/>
  <c r="M67" i="29"/>
  <c r="L67" i="29"/>
  <c r="K67" i="29"/>
  <c r="J67" i="29"/>
  <c r="I67" i="29"/>
  <c r="H67" i="29"/>
  <c r="G67" i="29"/>
  <c r="F67" i="29"/>
  <c r="E67" i="29"/>
  <c r="D67" i="29"/>
  <c r="M66" i="29"/>
  <c r="L66" i="29"/>
  <c r="K66" i="29"/>
  <c r="J66" i="29"/>
  <c r="I66" i="29"/>
  <c r="H66" i="29"/>
  <c r="G66" i="29"/>
  <c r="F66" i="29"/>
  <c r="E66" i="29"/>
  <c r="D66" i="29"/>
  <c r="M65" i="29"/>
  <c r="L65" i="29"/>
  <c r="K65" i="29"/>
  <c r="J65" i="29"/>
  <c r="I65" i="29"/>
  <c r="H65" i="29"/>
  <c r="G65" i="29"/>
  <c r="F65" i="29"/>
  <c r="E65" i="29"/>
  <c r="D65" i="29"/>
  <c r="M64" i="29"/>
  <c r="L64" i="29"/>
  <c r="K64" i="29"/>
  <c r="J64" i="29"/>
  <c r="I64" i="29"/>
  <c r="H64" i="29"/>
  <c r="G64" i="29"/>
  <c r="F64" i="29"/>
  <c r="E64" i="29"/>
  <c r="D64" i="29"/>
  <c r="M63" i="29"/>
  <c r="L63" i="29"/>
  <c r="K63" i="29"/>
  <c r="J63" i="29"/>
  <c r="I63" i="29"/>
  <c r="H63" i="29"/>
  <c r="G63" i="29"/>
  <c r="F63" i="29"/>
  <c r="E63" i="29"/>
  <c r="D63" i="29"/>
  <c r="M62" i="29"/>
  <c r="L62" i="29"/>
  <c r="K62" i="29"/>
  <c r="J62" i="29"/>
  <c r="I62" i="29"/>
  <c r="H62" i="29"/>
  <c r="G62" i="29"/>
  <c r="F62" i="29"/>
  <c r="E62" i="29"/>
  <c r="D62" i="29"/>
  <c r="E61" i="29"/>
  <c r="F61" i="29"/>
  <c r="G61" i="29"/>
  <c r="H61" i="29"/>
  <c r="I61" i="29"/>
  <c r="J61" i="29"/>
  <c r="K61" i="29"/>
  <c r="L61" i="29"/>
  <c r="M61" i="29"/>
  <c r="E55" i="29"/>
  <c r="F55" i="29"/>
  <c r="G55" i="29"/>
  <c r="H55" i="29"/>
  <c r="I55" i="29"/>
  <c r="J55" i="29"/>
  <c r="K55" i="29"/>
  <c r="L55" i="29"/>
  <c r="M55" i="29"/>
  <c r="I54" i="29"/>
  <c r="J54" i="29"/>
  <c r="K54" i="29"/>
  <c r="L54" i="29"/>
  <c r="M54" i="29"/>
  <c r="E43" i="29"/>
  <c r="F43" i="29"/>
  <c r="G43" i="29"/>
  <c r="H43" i="29"/>
  <c r="I43" i="29"/>
  <c r="J43" i="29"/>
  <c r="K43" i="29"/>
  <c r="L43" i="29"/>
  <c r="M43" i="29"/>
  <c r="M56" i="29"/>
  <c r="C44" i="29"/>
  <c r="C45" i="29"/>
  <c r="C47" i="29"/>
  <c r="C48" i="29"/>
  <c r="C49" i="29"/>
  <c r="C50" i="29"/>
  <c r="Q10" i="29"/>
  <c r="Q11" i="29"/>
  <c r="Q12" i="29"/>
  <c r="Q14" i="29"/>
  <c r="C15" i="29"/>
  <c r="C51" i="29"/>
  <c r="C52" i="29"/>
  <c r="C53" i="29"/>
  <c r="M53" i="29"/>
  <c r="M58" i="29"/>
  <c r="L56" i="29"/>
  <c r="L53" i="29"/>
  <c r="L58" i="29"/>
  <c r="K56" i="29"/>
  <c r="K53" i="29"/>
  <c r="K58" i="29"/>
  <c r="J56" i="29"/>
  <c r="J53" i="29"/>
  <c r="J58" i="29"/>
  <c r="I56" i="29"/>
  <c r="I53" i="29"/>
  <c r="I58" i="29"/>
  <c r="H56" i="29"/>
  <c r="H53" i="29"/>
  <c r="H58" i="29"/>
  <c r="G56" i="29"/>
  <c r="G53" i="29"/>
  <c r="G58" i="29"/>
  <c r="F56" i="29"/>
  <c r="F53" i="29"/>
  <c r="F58" i="29"/>
  <c r="E56" i="29"/>
  <c r="E53" i="29"/>
  <c r="E58" i="29"/>
  <c r="D53" i="29"/>
  <c r="D58" i="29"/>
  <c r="M52" i="29"/>
  <c r="L52" i="29"/>
  <c r="K52" i="29"/>
  <c r="J52" i="29"/>
  <c r="I52" i="29"/>
  <c r="H52" i="29"/>
  <c r="G52" i="29"/>
  <c r="F52" i="29"/>
  <c r="E52" i="29"/>
  <c r="D52" i="29"/>
  <c r="M51" i="29"/>
  <c r="L51" i="29"/>
  <c r="K51" i="29"/>
  <c r="J51" i="29"/>
  <c r="I51" i="29"/>
  <c r="H51" i="29"/>
  <c r="G51" i="29"/>
  <c r="F51" i="29"/>
  <c r="E51" i="29"/>
  <c r="D51" i="29"/>
  <c r="M50" i="29"/>
  <c r="L50" i="29"/>
  <c r="K50" i="29"/>
  <c r="J50" i="29"/>
  <c r="I50" i="29"/>
  <c r="H50" i="29"/>
  <c r="G50" i="29"/>
  <c r="F50" i="29"/>
  <c r="E50" i="29"/>
  <c r="D50" i="29"/>
  <c r="M49" i="29"/>
  <c r="L49" i="29"/>
  <c r="K49" i="29"/>
  <c r="J49" i="29"/>
  <c r="I49" i="29"/>
  <c r="H49" i="29"/>
  <c r="G49" i="29"/>
  <c r="F49" i="29"/>
  <c r="E49" i="29"/>
  <c r="D49" i="29"/>
  <c r="M48" i="29"/>
  <c r="L48" i="29"/>
  <c r="K48" i="29"/>
  <c r="J48" i="29"/>
  <c r="I48" i="29"/>
  <c r="H48" i="29"/>
  <c r="G48" i="29"/>
  <c r="F48" i="29"/>
  <c r="E48" i="29"/>
  <c r="D48" i="29"/>
  <c r="M47" i="29"/>
  <c r="L47" i="29"/>
  <c r="K47" i="29"/>
  <c r="J47" i="29"/>
  <c r="I47" i="29"/>
  <c r="H47" i="29"/>
  <c r="G47" i="29"/>
  <c r="F47" i="29"/>
  <c r="E47" i="29"/>
  <c r="D47" i="29"/>
  <c r="M46" i="29"/>
  <c r="L46" i="29"/>
  <c r="K46" i="29"/>
  <c r="J46" i="29"/>
  <c r="I46" i="29"/>
  <c r="H46" i="29"/>
  <c r="G46" i="29"/>
  <c r="F46" i="29"/>
  <c r="E46" i="29"/>
  <c r="D46" i="29"/>
  <c r="M45" i="29"/>
  <c r="L45" i="29"/>
  <c r="K45" i="29"/>
  <c r="J45" i="29"/>
  <c r="I45" i="29"/>
  <c r="H45" i="29"/>
  <c r="G45" i="29"/>
  <c r="F45" i="29"/>
  <c r="E45" i="29"/>
  <c r="D45" i="29"/>
  <c r="M44" i="29"/>
  <c r="L44" i="29"/>
  <c r="K44" i="29"/>
  <c r="J44" i="29"/>
  <c r="I44" i="29"/>
  <c r="H44" i="29"/>
  <c r="G44" i="29"/>
  <c r="F44" i="29"/>
  <c r="E44" i="29"/>
  <c r="D44" i="29"/>
  <c r="E37" i="29"/>
  <c r="F37" i="29"/>
  <c r="G37" i="29"/>
  <c r="H37" i="29"/>
  <c r="I37" i="29"/>
  <c r="J37" i="29"/>
  <c r="K37" i="29"/>
  <c r="L37" i="29"/>
  <c r="M37" i="29"/>
  <c r="F36" i="29"/>
  <c r="G36" i="29"/>
  <c r="H36" i="29"/>
  <c r="I36" i="29"/>
  <c r="J36" i="29"/>
  <c r="K36" i="29"/>
  <c r="L36" i="29"/>
  <c r="M36" i="29"/>
  <c r="E25" i="29"/>
  <c r="F25" i="29"/>
  <c r="G25" i="29"/>
  <c r="H25" i="29"/>
  <c r="I25" i="29"/>
  <c r="J25" i="29"/>
  <c r="K25" i="29"/>
  <c r="L25" i="29"/>
  <c r="M25" i="29"/>
  <c r="M38" i="29"/>
  <c r="C26" i="29"/>
  <c r="M26" i="29"/>
  <c r="C27" i="29"/>
  <c r="M27" i="29"/>
  <c r="C28" i="29"/>
  <c r="M28" i="29"/>
  <c r="C29" i="29"/>
  <c r="M29" i="29"/>
  <c r="C12" i="29"/>
  <c r="C30" i="29"/>
  <c r="M30" i="29"/>
  <c r="C31" i="29"/>
  <c r="M31" i="29"/>
  <c r="C32" i="29"/>
  <c r="M32" i="29"/>
  <c r="C33" i="29"/>
  <c r="M33" i="29"/>
  <c r="C34" i="29"/>
  <c r="M34" i="29"/>
  <c r="M35" i="29"/>
  <c r="M40" i="29"/>
  <c r="L38" i="29"/>
  <c r="L26" i="29"/>
  <c r="L27" i="29"/>
  <c r="L28" i="29"/>
  <c r="L29" i="29"/>
  <c r="L30" i="29"/>
  <c r="L31" i="29"/>
  <c r="L32" i="29"/>
  <c r="L33" i="29"/>
  <c r="L34" i="29"/>
  <c r="L35" i="29"/>
  <c r="L40" i="29"/>
  <c r="K38" i="29"/>
  <c r="K26" i="29"/>
  <c r="K27" i="29"/>
  <c r="K28" i="29"/>
  <c r="K29" i="29"/>
  <c r="K30" i="29"/>
  <c r="K31" i="29"/>
  <c r="K32" i="29"/>
  <c r="K33" i="29"/>
  <c r="K34" i="29"/>
  <c r="K35" i="29"/>
  <c r="K40" i="29"/>
  <c r="J38" i="29"/>
  <c r="J26" i="29"/>
  <c r="J27" i="29"/>
  <c r="J28" i="29"/>
  <c r="J29" i="29"/>
  <c r="J30" i="29"/>
  <c r="J31" i="29"/>
  <c r="J32" i="29"/>
  <c r="J33" i="29"/>
  <c r="J34" i="29"/>
  <c r="J35" i="29"/>
  <c r="J40" i="29"/>
  <c r="I38" i="29"/>
  <c r="I26" i="29"/>
  <c r="I27" i="29"/>
  <c r="I28" i="29"/>
  <c r="I29" i="29"/>
  <c r="I30" i="29"/>
  <c r="I31" i="29"/>
  <c r="I32" i="29"/>
  <c r="I33" i="29"/>
  <c r="I34" i="29"/>
  <c r="I35" i="29"/>
  <c r="I40" i="29"/>
  <c r="H38" i="29"/>
  <c r="H26" i="29"/>
  <c r="H27" i="29"/>
  <c r="H28" i="29"/>
  <c r="H29" i="29"/>
  <c r="H30" i="29"/>
  <c r="H31" i="29"/>
  <c r="H32" i="29"/>
  <c r="H33" i="29"/>
  <c r="H34" i="29"/>
  <c r="H35" i="29"/>
  <c r="H40" i="29"/>
  <c r="G38" i="29"/>
  <c r="G26" i="29"/>
  <c r="G27" i="29"/>
  <c r="G28" i="29"/>
  <c r="G29" i="29"/>
  <c r="G30" i="29"/>
  <c r="G31" i="29"/>
  <c r="G32" i="29"/>
  <c r="G33" i="29"/>
  <c r="G34" i="29"/>
  <c r="G35" i="29"/>
  <c r="G40" i="29"/>
  <c r="F38" i="29"/>
  <c r="F26" i="29"/>
  <c r="F27" i="29"/>
  <c r="F28" i="29"/>
  <c r="F29" i="29"/>
  <c r="F30" i="29"/>
  <c r="F31" i="29"/>
  <c r="F32" i="29"/>
  <c r="F33" i="29"/>
  <c r="F34" i="29"/>
  <c r="F35" i="29"/>
  <c r="F40" i="29"/>
  <c r="E38" i="29"/>
  <c r="E26" i="29"/>
  <c r="E27" i="29"/>
  <c r="E28" i="29"/>
  <c r="E29" i="29"/>
  <c r="E30" i="29"/>
  <c r="E31" i="29"/>
  <c r="E32" i="29"/>
  <c r="E33" i="29"/>
  <c r="E34" i="29"/>
  <c r="E35" i="29"/>
  <c r="E40" i="29"/>
  <c r="D38" i="29"/>
  <c r="D26" i="29"/>
  <c r="D27" i="29"/>
  <c r="D28" i="29"/>
  <c r="D29" i="29"/>
  <c r="D30" i="29"/>
  <c r="D31" i="29"/>
  <c r="D32" i="29"/>
  <c r="D33" i="29"/>
  <c r="D34" i="29"/>
  <c r="D35" i="29"/>
  <c r="D40" i="29"/>
  <c r="C35" i="29"/>
  <c r="F19" i="29"/>
  <c r="G19" i="29"/>
  <c r="H19" i="29"/>
  <c r="I19" i="29"/>
  <c r="J19" i="29"/>
  <c r="K19" i="29"/>
  <c r="L19" i="29"/>
  <c r="M19" i="29"/>
  <c r="H18" i="29"/>
  <c r="I18" i="29"/>
  <c r="J18" i="29"/>
  <c r="K18" i="29"/>
  <c r="L18" i="29"/>
  <c r="M18" i="29"/>
  <c r="M20" i="29"/>
  <c r="M8" i="29"/>
  <c r="C9" i="29"/>
  <c r="M9" i="29"/>
  <c r="C10" i="29"/>
  <c r="M10" i="29"/>
  <c r="C11" i="29"/>
  <c r="M11" i="29"/>
  <c r="M12" i="29"/>
  <c r="C13" i="29"/>
  <c r="M13" i="29"/>
  <c r="C14" i="29"/>
  <c r="M14" i="29"/>
  <c r="D15" i="29"/>
  <c r="E15" i="29"/>
  <c r="F15" i="29"/>
  <c r="G15" i="29"/>
  <c r="H15" i="29"/>
  <c r="I15" i="29"/>
  <c r="J15" i="29"/>
  <c r="K15" i="29"/>
  <c r="L15" i="29"/>
  <c r="M15" i="29"/>
  <c r="C16" i="29"/>
  <c r="M16" i="29"/>
  <c r="M17" i="29"/>
  <c r="M22" i="29"/>
  <c r="L20" i="29"/>
  <c r="L8" i="29"/>
  <c r="L9" i="29"/>
  <c r="L10" i="29"/>
  <c r="L11" i="29"/>
  <c r="L12" i="29"/>
  <c r="L13" i="29"/>
  <c r="L14" i="29"/>
  <c r="L16" i="29"/>
  <c r="L17" i="29"/>
  <c r="L22" i="29"/>
  <c r="K20" i="29"/>
  <c r="K8" i="29"/>
  <c r="K9" i="29"/>
  <c r="K10" i="29"/>
  <c r="K11" i="29"/>
  <c r="K12" i="29"/>
  <c r="K13" i="29"/>
  <c r="K14" i="29"/>
  <c r="K16" i="29"/>
  <c r="K17" i="29"/>
  <c r="K22" i="29"/>
  <c r="J20" i="29"/>
  <c r="J8" i="29"/>
  <c r="J9" i="29"/>
  <c r="J10" i="29"/>
  <c r="J11" i="29"/>
  <c r="J12" i="29"/>
  <c r="J13" i="29"/>
  <c r="J14" i="29"/>
  <c r="J16" i="29"/>
  <c r="J17" i="29"/>
  <c r="J22" i="29"/>
  <c r="I20" i="29"/>
  <c r="I8" i="29"/>
  <c r="I9" i="29"/>
  <c r="I10" i="29"/>
  <c r="I11" i="29"/>
  <c r="I12" i="29"/>
  <c r="I13" i="29"/>
  <c r="I14" i="29"/>
  <c r="I16" i="29"/>
  <c r="I17" i="29"/>
  <c r="I22" i="29"/>
  <c r="H20" i="29"/>
  <c r="H8" i="29"/>
  <c r="H9" i="29"/>
  <c r="H10" i="29"/>
  <c r="H11" i="29"/>
  <c r="H12" i="29"/>
  <c r="H13" i="29"/>
  <c r="H14" i="29"/>
  <c r="H16" i="29"/>
  <c r="H17" i="29"/>
  <c r="H22" i="29"/>
  <c r="G8" i="29"/>
  <c r="G9" i="29"/>
  <c r="G10" i="29"/>
  <c r="G11" i="29"/>
  <c r="G12" i="29"/>
  <c r="G13" i="29"/>
  <c r="G14" i="29"/>
  <c r="G16" i="29"/>
  <c r="G17" i="29"/>
  <c r="G22" i="29"/>
  <c r="F18" i="29"/>
  <c r="F20" i="29"/>
  <c r="F8" i="29"/>
  <c r="F9" i="29"/>
  <c r="F10" i="29"/>
  <c r="F11" i="29"/>
  <c r="F12" i="29"/>
  <c r="F13" i="29"/>
  <c r="F14" i="29"/>
  <c r="F16" i="29"/>
  <c r="F17" i="29"/>
  <c r="F22" i="29"/>
  <c r="E18" i="29"/>
  <c r="E20" i="29"/>
  <c r="E8" i="29"/>
  <c r="E9" i="29"/>
  <c r="E10" i="29"/>
  <c r="E11" i="29"/>
  <c r="E12" i="29"/>
  <c r="E13" i="29"/>
  <c r="E14" i="29"/>
  <c r="E16" i="29"/>
  <c r="E17" i="29"/>
  <c r="E22" i="29"/>
  <c r="D18" i="29"/>
  <c r="D8" i="29"/>
  <c r="D9" i="29"/>
  <c r="D10" i="29"/>
  <c r="D11" i="29"/>
  <c r="D12" i="29"/>
  <c r="D13" i="29"/>
  <c r="D14" i="29"/>
  <c r="D16" i="29"/>
  <c r="D17" i="29"/>
  <c r="D22" i="29"/>
  <c r="O8" i="29"/>
  <c r="H90" i="28"/>
  <c r="H67" i="28"/>
  <c r="H43" i="28"/>
  <c r="H61" i="28"/>
  <c r="H78" i="28"/>
  <c r="H55" i="28"/>
  <c r="H31" i="28"/>
  <c r="G8" i="28"/>
  <c r="H95" i="28"/>
  <c r="H72" i="28"/>
  <c r="H48" i="28"/>
  <c r="G20" i="28"/>
  <c r="G25" i="28"/>
  <c r="E118" i="28"/>
  <c r="F118" i="28"/>
  <c r="G118" i="28"/>
  <c r="D95" i="28"/>
  <c r="D96" i="28"/>
  <c r="E95" i="28"/>
  <c r="E96" i="28"/>
  <c r="F95" i="28"/>
  <c r="F96" i="28"/>
  <c r="G95" i="28"/>
  <c r="G96" i="28"/>
  <c r="D72" i="28"/>
  <c r="D73" i="28"/>
  <c r="E72" i="28"/>
  <c r="E73" i="28"/>
  <c r="F72" i="28"/>
  <c r="F73" i="28"/>
  <c r="G72" i="28"/>
  <c r="G73" i="28"/>
  <c r="D48" i="28"/>
  <c r="D49" i="28"/>
  <c r="E48" i="28"/>
  <c r="E49" i="28"/>
  <c r="F48" i="28"/>
  <c r="F49" i="28"/>
  <c r="G48" i="28"/>
  <c r="G49" i="28"/>
  <c r="D25" i="28"/>
  <c r="D26" i="28"/>
  <c r="E25" i="28"/>
  <c r="E26" i="28"/>
  <c r="F25" i="28"/>
  <c r="F26" i="28"/>
  <c r="AB150" i="27"/>
  <c r="T150" i="27"/>
  <c r="K150" i="27"/>
  <c r="C150" i="27"/>
  <c r="K149" i="27"/>
  <c r="C149" i="27"/>
  <c r="AB148" i="27"/>
  <c r="T148" i="27"/>
  <c r="K148" i="27"/>
  <c r="C148" i="27"/>
  <c r="AG123" i="27"/>
  <c r="AG140" i="27"/>
  <c r="AG147" i="27"/>
  <c r="AG99" i="27"/>
  <c r="AG116" i="27"/>
  <c r="AF147" i="27"/>
  <c r="AG76" i="27"/>
  <c r="AG93" i="27"/>
  <c r="AE147" i="27"/>
  <c r="AG53" i="27"/>
  <c r="AG70" i="27"/>
  <c r="AD147" i="27"/>
  <c r="AG46" i="27"/>
  <c r="AC147" i="27"/>
  <c r="Y123" i="27"/>
  <c r="Y140" i="27"/>
  <c r="Y147" i="27"/>
  <c r="Y99" i="27"/>
  <c r="Y116" i="27"/>
  <c r="X147" i="27"/>
  <c r="Y76" i="27"/>
  <c r="Y93" i="27"/>
  <c r="W147" i="27"/>
  <c r="Y70" i="27"/>
  <c r="V147" i="27"/>
  <c r="Y29" i="27"/>
  <c r="Y46" i="27"/>
  <c r="U147" i="27"/>
  <c r="P123" i="27"/>
  <c r="P140" i="27"/>
  <c r="P147" i="27"/>
  <c r="P99" i="27"/>
  <c r="P116" i="27"/>
  <c r="O147" i="27"/>
  <c r="P76" i="27"/>
  <c r="P93" i="27"/>
  <c r="N147" i="27"/>
  <c r="P53" i="27"/>
  <c r="P70" i="27"/>
  <c r="M147" i="27"/>
  <c r="P29" i="27"/>
  <c r="P46" i="27"/>
  <c r="L147" i="27"/>
  <c r="H123" i="27"/>
  <c r="H140" i="27"/>
  <c r="H147" i="27"/>
  <c r="H99" i="27"/>
  <c r="H116" i="27"/>
  <c r="G147" i="27"/>
  <c r="H76" i="27"/>
  <c r="H93" i="27" s="1"/>
  <c r="F147" i="27" s="1"/>
  <c r="H53" i="27"/>
  <c r="H29" i="27"/>
  <c r="H46" i="27"/>
  <c r="D147" i="27"/>
  <c r="AC140" i="27"/>
  <c r="AC141" i="27"/>
  <c r="AD140" i="27"/>
  <c r="AD141" i="27"/>
  <c r="AE140" i="27"/>
  <c r="AE141" i="27"/>
  <c r="AF140" i="27"/>
  <c r="AF141" i="27"/>
  <c r="U140" i="27"/>
  <c r="U141" i="27"/>
  <c r="V140" i="27"/>
  <c r="V141" i="27"/>
  <c r="W140" i="27"/>
  <c r="W141" i="27"/>
  <c r="X140" i="27"/>
  <c r="X141" i="27"/>
  <c r="L140" i="27"/>
  <c r="L141" i="27"/>
  <c r="M140" i="27"/>
  <c r="M141" i="27"/>
  <c r="N140" i="27"/>
  <c r="N141" i="27"/>
  <c r="O140" i="27"/>
  <c r="O141" i="27"/>
  <c r="D140" i="27"/>
  <c r="D141" i="27"/>
  <c r="E140" i="27"/>
  <c r="E141" i="27"/>
  <c r="F140" i="27"/>
  <c r="F141" i="27"/>
  <c r="G140" i="27"/>
  <c r="G141" i="27"/>
  <c r="AG139" i="27"/>
  <c r="Y139" i="27"/>
  <c r="P139" i="27"/>
  <c r="H139" i="27"/>
  <c r="AC116" i="27"/>
  <c r="AC117" i="27"/>
  <c r="AD116" i="27"/>
  <c r="AD117" i="27"/>
  <c r="AE116" i="27"/>
  <c r="AE117" i="27"/>
  <c r="AF116" i="27"/>
  <c r="AF117" i="27"/>
  <c r="U116" i="27"/>
  <c r="U117" i="27"/>
  <c r="V116" i="27"/>
  <c r="V117" i="27"/>
  <c r="W116" i="27"/>
  <c r="W117" i="27"/>
  <c r="X116" i="27"/>
  <c r="X117" i="27"/>
  <c r="L116" i="27"/>
  <c r="L117" i="27"/>
  <c r="M116" i="27"/>
  <c r="M117" i="27"/>
  <c r="N116" i="27"/>
  <c r="N117" i="27"/>
  <c r="O116" i="27"/>
  <c r="O117" i="27"/>
  <c r="D116" i="27"/>
  <c r="D117" i="27"/>
  <c r="E116" i="27"/>
  <c r="E117" i="27"/>
  <c r="G116" i="27"/>
  <c r="AG115" i="27"/>
  <c r="Y115" i="27"/>
  <c r="P115" i="27"/>
  <c r="AC93" i="27"/>
  <c r="AC94" i="27"/>
  <c r="AD93" i="27"/>
  <c r="AD94" i="27"/>
  <c r="AE93" i="27"/>
  <c r="AE94" i="27"/>
  <c r="AF93" i="27"/>
  <c r="AF94" i="27"/>
  <c r="U93" i="27"/>
  <c r="U94" i="27"/>
  <c r="V93" i="27"/>
  <c r="V94" i="27"/>
  <c r="W93" i="27"/>
  <c r="W94" i="27"/>
  <c r="X93" i="27"/>
  <c r="X94" i="27"/>
  <c r="L93" i="27"/>
  <c r="L94" i="27"/>
  <c r="M93" i="27"/>
  <c r="M94" i="27"/>
  <c r="N93" i="27"/>
  <c r="N94" i="27"/>
  <c r="O93" i="27"/>
  <c r="O94" i="27"/>
  <c r="D93" i="27"/>
  <c r="D94" i="27"/>
  <c r="E93" i="27"/>
  <c r="E94" i="27"/>
  <c r="G93" i="27"/>
  <c r="AG92" i="27"/>
  <c r="Y92" i="27"/>
  <c r="P92" i="27"/>
  <c r="AC70" i="27"/>
  <c r="AC71" i="27"/>
  <c r="AD70" i="27"/>
  <c r="AD71" i="27"/>
  <c r="AE70" i="27"/>
  <c r="AE71" i="27"/>
  <c r="AF70" i="27"/>
  <c r="AF71" i="27"/>
  <c r="U70" i="27"/>
  <c r="U71" i="27"/>
  <c r="V70" i="27"/>
  <c r="V71" i="27"/>
  <c r="W70" i="27"/>
  <c r="W71" i="27"/>
  <c r="X70" i="27"/>
  <c r="X71" i="27"/>
  <c r="L70" i="27"/>
  <c r="L71" i="27"/>
  <c r="M70" i="27"/>
  <c r="M71" i="27"/>
  <c r="N70" i="27"/>
  <c r="N71" i="27"/>
  <c r="O70" i="27"/>
  <c r="O71" i="27"/>
  <c r="D70" i="27"/>
  <c r="D71" i="27"/>
  <c r="E70" i="27"/>
  <c r="E71" i="27"/>
  <c r="G70" i="27"/>
  <c r="AG69" i="27"/>
  <c r="Y69" i="27"/>
  <c r="P69" i="27"/>
  <c r="AC46" i="27"/>
  <c r="AC47" i="27"/>
  <c r="AD46" i="27"/>
  <c r="AD47" i="27"/>
  <c r="AE46" i="27"/>
  <c r="AE47" i="27"/>
  <c r="AF46" i="27"/>
  <c r="AF47" i="27"/>
  <c r="U46" i="27"/>
  <c r="U47" i="27"/>
  <c r="V46" i="27"/>
  <c r="V47" i="27"/>
  <c r="W46" i="27"/>
  <c r="W47" i="27"/>
  <c r="X46" i="27"/>
  <c r="X47" i="27"/>
  <c r="L46" i="27"/>
  <c r="L47" i="27"/>
  <c r="M46" i="27"/>
  <c r="M47" i="27"/>
  <c r="N46" i="27"/>
  <c r="N47" i="27"/>
  <c r="O46" i="27"/>
  <c r="O47" i="27"/>
  <c r="D46" i="27"/>
  <c r="D47" i="27"/>
  <c r="E46" i="27"/>
  <c r="E47" i="27"/>
  <c r="F46" i="27"/>
  <c r="F47" i="27"/>
  <c r="G46" i="27"/>
  <c r="G47" i="27"/>
  <c r="AG45" i="27"/>
  <c r="Y45" i="27"/>
  <c r="P45" i="27"/>
  <c r="H45" i="27"/>
  <c r="AC8" i="27"/>
  <c r="AC14" i="27"/>
  <c r="AC20" i="27"/>
  <c r="AC23" i="27"/>
  <c r="AC24" i="27"/>
  <c r="AD14" i="27"/>
  <c r="AD8" i="27"/>
  <c r="AD23" i="27"/>
  <c r="AD24" i="27"/>
  <c r="AE20" i="27"/>
  <c r="AE14" i="27"/>
  <c r="AE8" i="27"/>
  <c r="AE23" i="27"/>
  <c r="AE24" i="27"/>
  <c r="U8" i="27"/>
  <c r="U14" i="27"/>
  <c r="U20" i="27"/>
  <c r="U23" i="27"/>
  <c r="U24" i="27"/>
  <c r="V14" i="27"/>
  <c r="V8" i="27"/>
  <c r="V23" i="27"/>
  <c r="V24" i="27"/>
  <c r="W20" i="27"/>
  <c r="W14" i="27"/>
  <c r="W8" i="27"/>
  <c r="W23" i="27"/>
  <c r="W24" i="27"/>
  <c r="L6" i="27"/>
  <c r="O6" i="27" s="1"/>
  <c r="O23" i="27" s="1"/>
  <c r="L8" i="27"/>
  <c r="L23" i="27" s="1"/>
  <c r="L24" i="27" s="1"/>
  <c r="M24" i="27" s="1"/>
  <c r="N24" i="27" s="1"/>
  <c r="L14" i="27"/>
  <c r="L20" i="27"/>
  <c r="M14" i="27"/>
  <c r="M8" i="27"/>
  <c r="M23" i="27"/>
  <c r="N20" i="27"/>
  <c r="N14" i="27"/>
  <c r="N8" i="27"/>
  <c r="N23" i="27"/>
  <c r="D6" i="27"/>
  <c r="D8" i="27"/>
  <c r="D9" i="27" s="1"/>
  <c r="E9" i="27" s="1"/>
  <c r="F9" i="27" s="1"/>
  <c r="D14" i="27"/>
  <c r="D20" i="27"/>
  <c r="E14" i="27"/>
  <c r="E8" i="27"/>
  <c r="E23" i="27"/>
  <c r="F20" i="27"/>
  <c r="F14" i="27"/>
  <c r="F8" i="27"/>
  <c r="F23" i="27"/>
  <c r="AF6" i="27"/>
  <c r="AF12" i="27"/>
  <c r="AF18" i="27"/>
  <c r="AF23" i="27"/>
  <c r="X6" i="27"/>
  <c r="X12" i="27"/>
  <c r="X18" i="27"/>
  <c r="X23" i="27"/>
  <c r="O12" i="27"/>
  <c r="O18" i="27"/>
  <c r="G6" i="27"/>
  <c r="G23" i="27" s="1"/>
  <c r="G12" i="27"/>
  <c r="G18" i="27"/>
  <c r="AC21" i="27"/>
  <c r="AD21" i="27"/>
  <c r="AE21" i="27"/>
  <c r="U21" i="27"/>
  <c r="V21" i="27"/>
  <c r="W21" i="27"/>
  <c r="L21" i="27"/>
  <c r="M21" i="27"/>
  <c r="N21" i="27"/>
  <c r="D21" i="27"/>
  <c r="E21" i="27"/>
  <c r="F21" i="27"/>
  <c r="W17" i="27"/>
  <c r="N17" i="27"/>
  <c r="M17" i="27"/>
  <c r="L17" i="27"/>
  <c r="F17" i="27"/>
  <c r="E17" i="27"/>
  <c r="D17" i="27"/>
  <c r="AC15" i="27"/>
  <c r="AD15" i="27"/>
  <c r="AE15" i="27"/>
  <c r="U15" i="27"/>
  <c r="V15" i="27"/>
  <c r="W15" i="27"/>
  <c r="L15" i="27"/>
  <c r="M15" i="27"/>
  <c r="N15" i="27"/>
  <c r="D15" i="27"/>
  <c r="E15" i="27"/>
  <c r="F15" i="27"/>
  <c r="W11" i="27"/>
  <c r="N11" i="27"/>
  <c r="M11" i="27"/>
  <c r="L11" i="27"/>
  <c r="F11" i="27"/>
  <c r="E11" i="27"/>
  <c r="D11" i="27"/>
  <c r="AC9" i="27"/>
  <c r="AD9" i="27"/>
  <c r="AE9" i="27"/>
  <c r="U9" i="27"/>
  <c r="V9" i="27"/>
  <c r="W9" i="27"/>
  <c r="L9" i="27"/>
  <c r="M9" i="27" s="1"/>
  <c r="N9" i="27" s="1"/>
  <c r="L148" i="2"/>
  <c r="F37" i="12"/>
  <c r="F14" i="12"/>
  <c r="F15" i="12"/>
  <c r="F8" i="12"/>
  <c r="F7" i="12"/>
  <c r="F58" i="12"/>
  <c r="F34" i="12"/>
  <c r="F9" i="12"/>
  <c r="F24" i="12"/>
  <c r="F25" i="12"/>
  <c r="F78" i="12"/>
  <c r="F42" i="12"/>
  <c r="F40" i="12"/>
  <c r="F31" i="12"/>
  <c r="F32" i="12"/>
  <c r="F45" i="12"/>
  <c r="F46" i="12"/>
  <c r="F48" i="12"/>
  <c r="F79" i="12"/>
  <c r="F66" i="12"/>
  <c r="F65" i="12"/>
  <c r="F55" i="12"/>
  <c r="F56" i="12"/>
  <c r="F69" i="12"/>
  <c r="F70" i="12"/>
  <c r="F72" i="12"/>
  <c r="F80" i="12"/>
  <c r="F82" i="12"/>
  <c r="C11" i="15"/>
  <c r="G9" i="12"/>
  <c r="G18" i="12"/>
  <c r="G15" i="12"/>
  <c r="G7" i="12"/>
  <c r="G8" i="12"/>
  <c r="G19" i="12"/>
  <c r="G20" i="12"/>
  <c r="G21" i="12"/>
  <c r="G22" i="12"/>
  <c r="G14" i="12"/>
  <c r="G24" i="12"/>
  <c r="G25" i="12"/>
  <c r="G78" i="12"/>
  <c r="G42" i="12"/>
  <c r="G34" i="12"/>
  <c r="G40" i="12"/>
  <c r="G31" i="12"/>
  <c r="G32" i="12"/>
  <c r="G45" i="12"/>
  <c r="G46" i="12"/>
  <c r="G33" i="12"/>
  <c r="G37" i="12"/>
  <c r="G48" i="12"/>
  <c r="G79" i="12"/>
  <c r="G66" i="12"/>
  <c r="G58" i="12"/>
  <c r="G57" i="12"/>
  <c r="G65" i="12"/>
  <c r="G55" i="12"/>
  <c r="G56" i="12"/>
  <c r="G69" i="12"/>
  <c r="G70" i="12"/>
  <c r="G72" i="12"/>
  <c r="G80" i="12"/>
  <c r="G82" i="12"/>
  <c r="D11" i="15"/>
  <c r="H9" i="12"/>
  <c r="H18" i="12"/>
  <c r="H15" i="12"/>
  <c r="H7" i="12"/>
  <c r="H8" i="12"/>
  <c r="H19" i="12"/>
  <c r="H20" i="12"/>
  <c r="H21" i="12"/>
  <c r="H22" i="12"/>
  <c r="H14" i="12"/>
  <c r="H24" i="12"/>
  <c r="H25" i="12"/>
  <c r="H78" i="12"/>
  <c r="H42" i="12"/>
  <c r="H34" i="12"/>
  <c r="H40" i="12"/>
  <c r="H31" i="12"/>
  <c r="H32" i="12"/>
  <c r="H45" i="12"/>
  <c r="H46" i="12"/>
  <c r="H33" i="12"/>
  <c r="H37" i="12"/>
  <c r="H48" i="12"/>
  <c r="H79" i="12"/>
  <c r="H66" i="12"/>
  <c r="H58" i="12"/>
  <c r="H57" i="12"/>
  <c r="H65" i="12"/>
  <c r="H55" i="12"/>
  <c r="H56" i="12"/>
  <c r="H69" i="12"/>
  <c r="H70" i="12"/>
  <c r="H72" i="12"/>
  <c r="H80" i="12"/>
  <c r="H82" i="12"/>
  <c r="E11" i="15"/>
  <c r="I9" i="12"/>
  <c r="I18" i="12"/>
  <c r="I15" i="12"/>
  <c r="I7" i="12"/>
  <c r="I8" i="12"/>
  <c r="I19" i="12"/>
  <c r="I20" i="12"/>
  <c r="I21" i="12"/>
  <c r="I22" i="12"/>
  <c r="I14" i="12"/>
  <c r="I24" i="12"/>
  <c r="I25" i="12"/>
  <c r="I78" i="12"/>
  <c r="I42" i="12"/>
  <c r="I34" i="12"/>
  <c r="I40" i="12"/>
  <c r="I31" i="12"/>
  <c r="I32" i="12"/>
  <c r="I45" i="12"/>
  <c r="I46" i="12"/>
  <c r="I33" i="12"/>
  <c r="I37" i="12"/>
  <c r="I48" i="12"/>
  <c r="I79" i="12"/>
  <c r="I66" i="12"/>
  <c r="I58" i="12"/>
  <c r="I57" i="12"/>
  <c r="I65" i="12"/>
  <c r="I55" i="12"/>
  <c r="I56" i="12"/>
  <c r="I69" i="12"/>
  <c r="I70" i="12"/>
  <c r="I72" i="12"/>
  <c r="I80" i="12"/>
  <c r="I82" i="12"/>
  <c r="F11" i="15"/>
  <c r="J9" i="12"/>
  <c r="J18" i="12"/>
  <c r="J15" i="12"/>
  <c r="J7" i="12"/>
  <c r="J8" i="12"/>
  <c r="J19" i="12"/>
  <c r="J20" i="12"/>
  <c r="J21" i="12"/>
  <c r="J22" i="12"/>
  <c r="J14" i="12"/>
  <c r="J24" i="12"/>
  <c r="J25" i="12"/>
  <c r="J78" i="12"/>
  <c r="J42" i="12"/>
  <c r="J34" i="12"/>
  <c r="J40" i="12"/>
  <c r="J31" i="12"/>
  <c r="J32" i="12"/>
  <c r="J45" i="12"/>
  <c r="J46" i="12"/>
  <c r="J33" i="12"/>
  <c r="J37" i="12"/>
  <c r="J48" i="12"/>
  <c r="J79" i="12"/>
  <c r="J66" i="12"/>
  <c r="J58" i="12"/>
  <c r="J57" i="12"/>
  <c r="J65" i="12"/>
  <c r="J55" i="12"/>
  <c r="J56" i="12"/>
  <c r="J69" i="12"/>
  <c r="J70" i="12"/>
  <c r="J72" i="12"/>
  <c r="J80" i="12"/>
  <c r="J82" i="12"/>
  <c r="G11" i="15"/>
  <c r="C8" i="15"/>
  <c r="C12" i="15"/>
  <c r="D8" i="15"/>
  <c r="D5" i="15" s="1"/>
  <c r="D34" i="15" s="1"/>
  <c r="D12" i="15"/>
  <c r="G8" i="15"/>
  <c r="G12" i="15"/>
  <c r="G15" i="15"/>
  <c r="F15" i="15"/>
  <c r="E15" i="15"/>
  <c r="D15" i="15"/>
  <c r="C15" i="15"/>
  <c r="F12" i="15"/>
  <c r="E12" i="15"/>
  <c r="E204" i="1"/>
  <c r="F204" i="1"/>
  <c r="G204" i="1"/>
  <c r="D204" i="1"/>
  <c r="C204" i="1"/>
  <c r="AB100" i="1"/>
  <c r="Z100" i="1"/>
  <c r="AA100" i="1"/>
  <c r="AB77" i="1"/>
  <c r="Z77" i="1"/>
  <c r="AA77" i="1"/>
  <c r="AB54" i="1"/>
  <c r="Z54" i="1"/>
  <c r="AA54" i="1"/>
  <c r="Y37" i="1"/>
  <c r="Y38" i="1"/>
  <c r="Z30" i="1"/>
  <c r="AA30" i="1"/>
  <c r="S100" i="1"/>
  <c r="T100" i="1"/>
  <c r="S77" i="1"/>
  <c r="T77" i="1"/>
  <c r="S54" i="1"/>
  <c r="T54" i="1"/>
  <c r="T30" i="1"/>
  <c r="S7" i="1"/>
  <c r="T7" i="1"/>
  <c r="K100" i="1"/>
  <c r="L100" i="1"/>
  <c r="M100" i="1"/>
  <c r="K77" i="1"/>
  <c r="K54" i="1"/>
  <c r="K30" i="1"/>
  <c r="K7" i="1"/>
  <c r="L7" i="1"/>
  <c r="G76" i="1"/>
  <c r="F125" i="1"/>
  <c r="G82" i="1"/>
  <c r="F126" i="1"/>
  <c r="G88" i="1"/>
  <c r="F127" i="1"/>
  <c r="F124" i="1"/>
  <c r="C36" i="1"/>
  <c r="C60" i="1"/>
  <c r="C83" i="1"/>
  <c r="C106" i="1"/>
  <c r="C42" i="1"/>
  <c r="C66" i="1"/>
  <c r="C89" i="1"/>
  <c r="C112" i="1"/>
  <c r="C54" i="1"/>
  <c r="C77" i="1"/>
  <c r="C100" i="1"/>
  <c r="D83" i="1"/>
  <c r="E83" i="1"/>
  <c r="F83" i="1"/>
  <c r="D42" i="1"/>
  <c r="E42" i="1"/>
  <c r="F42" i="1"/>
  <c r="E7" i="1"/>
  <c r="AC133" i="11"/>
  <c r="AF128" i="11"/>
  <c r="AE128" i="11"/>
  <c r="AD128" i="11"/>
  <c r="AC128" i="11"/>
  <c r="AC109" i="11"/>
  <c r="AF104" i="11"/>
  <c r="AE104" i="11"/>
  <c r="AD104" i="11"/>
  <c r="AC104" i="11"/>
  <c r="AC86" i="11"/>
  <c r="AC82" i="11"/>
  <c r="AF81" i="11"/>
  <c r="AE81" i="11"/>
  <c r="AD81" i="11"/>
  <c r="AC81" i="11"/>
  <c r="AF63" i="11"/>
  <c r="AE63" i="11"/>
  <c r="AD63" i="11"/>
  <c r="AC63" i="11"/>
  <c r="AF58" i="11"/>
  <c r="AE58" i="11"/>
  <c r="AD58" i="11"/>
  <c r="AC58" i="11"/>
  <c r="AF34" i="11"/>
  <c r="AE34" i="11"/>
  <c r="AD34" i="11"/>
  <c r="AC34" i="11"/>
  <c r="W29" i="11"/>
  <c r="AG28" i="11"/>
  <c r="AC53" i="11"/>
  <c r="AC76" i="11"/>
  <c r="AC99" i="11"/>
  <c r="AC123" i="11"/>
  <c r="AC124" i="11"/>
  <c r="AC125" i="11"/>
  <c r="AD53" i="11"/>
  <c r="AD76" i="11"/>
  <c r="AD99" i="11"/>
  <c r="AD123" i="11"/>
  <c r="AD124" i="11"/>
  <c r="AD125" i="11"/>
  <c r="AE53" i="11"/>
  <c r="AE76" i="11"/>
  <c r="AE99" i="11"/>
  <c r="AE123" i="11"/>
  <c r="AE124" i="11"/>
  <c r="AE125" i="11"/>
  <c r="AF53" i="11"/>
  <c r="AF76" i="11"/>
  <c r="AF99" i="11"/>
  <c r="AF123" i="11"/>
  <c r="AF124" i="11"/>
  <c r="AF125" i="11"/>
  <c r="AG147" i="11"/>
  <c r="AD35" i="11"/>
  <c r="AE35" i="11"/>
  <c r="AF35" i="11"/>
  <c r="AC59" i="11"/>
  <c r="AD59" i="11"/>
  <c r="AE59" i="11"/>
  <c r="AF59" i="11"/>
  <c r="AD82" i="11"/>
  <c r="AE82" i="11"/>
  <c r="AF82" i="11"/>
  <c r="AC105" i="11"/>
  <c r="AC129" i="11"/>
  <c r="AC130" i="11"/>
  <c r="AC131" i="11"/>
  <c r="AD129" i="11"/>
  <c r="AD130" i="11"/>
  <c r="AD131" i="11"/>
  <c r="AE129" i="11"/>
  <c r="AE130" i="11"/>
  <c r="AE131" i="11"/>
  <c r="AF129" i="11"/>
  <c r="AF130" i="11"/>
  <c r="AF131" i="11"/>
  <c r="AG148" i="11"/>
  <c r="AC134" i="11"/>
  <c r="AC135" i="11"/>
  <c r="AD133" i="11"/>
  <c r="AD134" i="11"/>
  <c r="AD135" i="11"/>
  <c r="AE133" i="11"/>
  <c r="AE134" i="11"/>
  <c r="AE135" i="11"/>
  <c r="AF133" i="11"/>
  <c r="AF134" i="11"/>
  <c r="AF135" i="11"/>
  <c r="AG149" i="11"/>
  <c r="AG151" i="11"/>
  <c r="H160" i="11"/>
  <c r="H162" i="11"/>
  <c r="AC100" i="11"/>
  <c r="AC101" i="11"/>
  <c r="AD100" i="11"/>
  <c r="AD101" i="11"/>
  <c r="AE100" i="11"/>
  <c r="AE101" i="11"/>
  <c r="AF100" i="11"/>
  <c r="AF101" i="11"/>
  <c r="AF147" i="11"/>
  <c r="AC106" i="11"/>
  <c r="AC107" i="11"/>
  <c r="AD105" i="11"/>
  <c r="AD106" i="11"/>
  <c r="AD107" i="11"/>
  <c r="AE105" i="11"/>
  <c r="AE106" i="11"/>
  <c r="AE107" i="11"/>
  <c r="AF105" i="11"/>
  <c r="AF106" i="11"/>
  <c r="AF107" i="11"/>
  <c r="AF148" i="11"/>
  <c r="AC110" i="11"/>
  <c r="AC111" i="11"/>
  <c r="AD109" i="11"/>
  <c r="AD110" i="11"/>
  <c r="AD111" i="11"/>
  <c r="AE109" i="11"/>
  <c r="AE110" i="11"/>
  <c r="AE111" i="11"/>
  <c r="AF109" i="11"/>
  <c r="AF110" i="11"/>
  <c r="AF111" i="11"/>
  <c r="AF149" i="11"/>
  <c r="AF151" i="11"/>
  <c r="G160" i="11"/>
  <c r="G162" i="11"/>
  <c r="AC77" i="11"/>
  <c r="AC78" i="11"/>
  <c r="AD77" i="11"/>
  <c r="AD78" i="11"/>
  <c r="AE77" i="11"/>
  <c r="AE78" i="11"/>
  <c r="AF77" i="11"/>
  <c r="AF78" i="11"/>
  <c r="AE147" i="11"/>
  <c r="AC83" i="11"/>
  <c r="AC84" i="11"/>
  <c r="AD83" i="11"/>
  <c r="AD84" i="11"/>
  <c r="AE83" i="11"/>
  <c r="AE84" i="11"/>
  <c r="AF83" i="11"/>
  <c r="AF84" i="11"/>
  <c r="AE148" i="11"/>
  <c r="AC87" i="11"/>
  <c r="AC88" i="11"/>
  <c r="AD86" i="11"/>
  <c r="AD87" i="11"/>
  <c r="AD88" i="11"/>
  <c r="AE86" i="11"/>
  <c r="AE87" i="11"/>
  <c r="AE88" i="11"/>
  <c r="AF86" i="11"/>
  <c r="AF87" i="11"/>
  <c r="AF88" i="11"/>
  <c r="AE149" i="11"/>
  <c r="AE151" i="11"/>
  <c r="F160" i="11"/>
  <c r="F77" i="11"/>
  <c r="F78" i="11"/>
  <c r="G78" i="11"/>
  <c r="F147" i="11"/>
  <c r="F87" i="11"/>
  <c r="F88" i="11"/>
  <c r="G88" i="11"/>
  <c r="F149" i="11"/>
  <c r="F151" i="11"/>
  <c r="F157" i="11"/>
  <c r="W77" i="11"/>
  <c r="W78" i="11"/>
  <c r="X78" i="11"/>
  <c r="W147" i="11"/>
  <c r="W87" i="11"/>
  <c r="W88" i="11"/>
  <c r="X88" i="11"/>
  <c r="W149" i="11"/>
  <c r="W151" i="11"/>
  <c r="F159" i="11"/>
  <c r="F162" i="11"/>
  <c r="AC54" i="11"/>
  <c r="AC55" i="11"/>
  <c r="AD54" i="11"/>
  <c r="AD55" i="11"/>
  <c r="AE54" i="11"/>
  <c r="AE55" i="11"/>
  <c r="AF54" i="11"/>
  <c r="AF55" i="11"/>
  <c r="AD147" i="11"/>
  <c r="AC60" i="11"/>
  <c r="AC61" i="11"/>
  <c r="AD60" i="11"/>
  <c r="AD61" i="11"/>
  <c r="AE60" i="11"/>
  <c r="AE61" i="11"/>
  <c r="AF60" i="11"/>
  <c r="AF61" i="11"/>
  <c r="AD148" i="11"/>
  <c r="AC64" i="11"/>
  <c r="AC65" i="11"/>
  <c r="AD64" i="11"/>
  <c r="AD65" i="11"/>
  <c r="AE64" i="11"/>
  <c r="AE65" i="11"/>
  <c r="AF64" i="11"/>
  <c r="AF65" i="11"/>
  <c r="AD149" i="11"/>
  <c r="AD151" i="11"/>
  <c r="E160" i="11"/>
  <c r="F54" i="11"/>
  <c r="F55" i="11"/>
  <c r="G55" i="11"/>
  <c r="E147" i="11"/>
  <c r="F64" i="11"/>
  <c r="F65" i="11"/>
  <c r="G65" i="11"/>
  <c r="E149" i="11"/>
  <c r="E151" i="11"/>
  <c r="E157" i="11"/>
  <c r="W54" i="11"/>
  <c r="W55" i="11"/>
  <c r="X55" i="11"/>
  <c r="V147" i="11"/>
  <c r="W64" i="11"/>
  <c r="W65" i="11"/>
  <c r="X65" i="11"/>
  <c r="V149" i="11"/>
  <c r="V151" i="11"/>
  <c r="E159" i="11"/>
  <c r="E162" i="11"/>
  <c r="AC30" i="11"/>
  <c r="AC31" i="11"/>
  <c r="AD30" i="11"/>
  <c r="AD31" i="11"/>
  <c r="AE30" i="11"/>
  <c r="AE31" i="11"/>
  <c r="AF30" i="11"/>
  <c r="AF31" i="11"/>
  <c r="AC147" i="11"/>
  <c r="AC36" i="11"/>
  <c r="AC37" i="11"/>
  <c r="AD36" i="11"/>
  <c r="AD37" i="11"/>
  <c r="AE36" i="11"/>
  <c r="AE37" i="11"/>
  <c r="AF36" i="11"/>
  <c r="AF37" i="11"/>
  <c r="AC148" i="11"/>
  <c r="AC40" i="11"/>
  <c r="AC41" i="11"/>
  <c r="AD39" i="11"/>
  <c r="AD40" i="11"/>
  <c r="AD41" i="11"/>
  <c r="AE39" i="11"/>
  <c r="AE40" i="11"/>
  <c r="AE41" i="11"/>
  <c r="AF39" i="11"/>
  <c r="AF40" i="11"/>
  <c r="AF41" i="11"/>
  <c r="AC149" i="11"/>
  <c r="AC151" i="11"/>
  <c r="D160" i="11"/>
  <c r="W30" i="11"/>
  <c r="W31" i="11"/>
  <c r="X31" i="11"/>
  <c r="U147" i="11"/>
  <c r="U151" i="11"/>
  <c r="D159" i="11"/>
  <c r="D162" i="11"/>
  <c r="U129" i="11"/>
  <c r="U105" i="11"/>
  <c r="U133" i="11"/>
  <c r="X128" i="11"/>
  <c r="W128" i="11"/>
  <c r="V128" i="11"/>
  <c r="U128" i="11"/>
  <c r="W104" i="11"/>
  <c r="X104" i="11"/>
  <c r="V104" i="11"/>
  <c r="U109" i="11"/>
  <c r="U104" i="11"/>
  <c r="X63" i="11"/>
  <c r="V63" i="11"/>
  <c r="X81" i="11"/>
  <c r="W81" i="11"/>
  <c r="V81" i="11"/>
  <c r="U81" i="11"/>
  <c r="X58" i="11"/>
  <c r="W58" i="11"/>
  <c r="V58" i="11"/>
  <c r="U58" i="11"/>
  <c r="U82" i="11"/>
  <c r="U59" i="11"/>
  <c r="W34" i="11"/>
  <c r="X34" i="11"/>
  <c r="U34" i="11"/>
  <c r="U40" i="11"/>
  <c r="U41" i="11"/>
  <c r="U30" i="11"/>
  <c r="U36" i="11"/>
  <c r="U45" i="11"/>
  <c r="U46" i="11"/>
  <c r="V39" i="11"/>
  <c r="V40" i="11"/>
  <c r="V34" i="11"/>
  <c r="V36" i="11"/>
  <c r="V45" i="11"/>
  <c r="V46" i="11"/>
  <c r="W39" i="11"/>
  <c r="W40" i="11"/>
  <c r="W36" i="11"/>
  <c r="W45" i="11"/>
  <c r="W46" i="11"/>
  <c r="X39" i="11"/>
  <c r="X40" i="11"/>
  <c r="X36" i="11"/>
  <c r="X45" i="11"/>
  <c r="X46" i="11"/>
  <c r="Y44" i="11"/>
  <c r="F6" i="1"/>
  <c r="N128" i="11"/>
  <c r="O128" i="11"/>
  <c r="M128" i="11"/>
  <c r="L128" i="11"/>
  <c r="N104" i="11"/>
  <c r="O104" i="11"/>
  <c r="M104" i="11"/>
  <c r="L104" i="11"/>
  <c r="N81" i="11"/>
  <c r="O81" i="11"/>
  <c r="M81" i="11"/>
  <c r="L81" i="11"/>
  <c r="N29" i="11"/>
  <c r="O29" i="11"/>
  <c r="N58" i="11"/>
  <c r="O58" i="11"/>
  <c r="M58" i="11"/>
  <c r="L58" i="11"/>
  <c r="O34" i="11"/>
  <c r="N34" i="11"/>
  <c r="M34" i="11"/>
  <c r="L34" i="11"/>
  <c r="H138" i="11"/>
  <c r="G128" i="11"/>
  <c r="F128" i="11"/>
  <c r="E128" i="11"/>
  <c r="D128" i="11"/>
  <c r="H114" i="11"/>
  <c r="H45" i="11"/>
  <c r="D104" i="11"/>
  <c r="D106" i="11"/>
  <c r="D115" i="11"/>
  <c r="D116" i="11"/>
  <c r="E104" i="11"/>
  <c r="E106" i="11"/>
  <c r="E115" i="11"/>
  <c r="E116" i="11"/>
  <c r="F104" i="11"/>
  <c r="F106" i="11"/>
  <c r="F115" i="11"/>
  <c r="F116" i="11"/>
  <c r="G104" i="11"/>
  <c r="G106" i="11"/>
  <c r="G115" i="11"/>
  <c r="G116" i="11"/>
  <c r="F92" i="11"/>
  <c r="F93" i="11"/>
  <c r="G93" i="11"/>
  <c r="H91" i="11"/>
  <c r="D76" i="11"/>
  <c r="D99" i="11"/>
  <c r="D123" i="11"/>
  <c r="D124" i="11"/>
  <c r="D82" i="11"/>
  <c r="D105" i="11"/>
  <c r="D129" i="11"/>
  <c r="D130" i="11"/>
  <c r="D86" i="11"/>
  <c r="D109" i="11"/>
  <c r="D133" i="11"/>
  <c r="D134" i="11"/>
  <c r="D139" i="11"/>
  <c r="D140" i="11"/>
  <c r="E123" i="11"/>
  <c r="E124" i="11"/>
  <c r="E129" i="11"/>
  <c r="E130" i="11"/>
  <c r="E133" i="11"/>
  <c r="E134" i="11"/>
  <c r="E139" i="11"/>
  <c r="E140" i="11"/>
  <c r="F123" i="11"/>
  <c r="F124" i="11"/>
  <c r="F129" i="11"/>
  <c r="F130" i="11"/>
  <c r="F133" i="11"/>
  <c r="F134" i="11"/>
  <c r="F139" i="11"/>
  <c r="F140" i="11"/>
  <c r="G123" i="11"/>
  <c r="G124" i="11"/>
  <c r="G129" i="11"/>
  <c r="G130" i="11"/>
  <c r="G133" i="11"/>
  <c r="G134" i="11"/>
  <c r="G139" i="11"/>
  <c r="G140" i="11"/>
  <c r="H98" i="11"/>
  <c r="D100" i="11"/>
  <c r="D110" i="11"/>
  <c r="E99" i="11"/>
  <c r="E100" i="11"/>
  <c r="E105" i="11"/>
  <c r="E109" i="11"/>
  <c r="E110" i="11"/>
  <c r="F99" i="11"/>
  <c r="F100" i="11"/>
  <c r="F105" i="11"/>
  <c r="F109" i="11"/>
  <c r="F110" i="11"/>
  <c r="G99" i="11"/>
  <c r="G100" i="11"/>
  <c r="G105" i="11"/>
  <c r="G109" i="11"/>
  <c r="G110" i="11"/>
  <c r="D77" i="11"/>
  <c r="H28" i="11"/>
  <c r="D81" i="11"/>
  <c r="D83" i="11"/>
  <c r="D87" i="11"/>
  <c r="D92" i="11"/>
  <c r="D93" i="11"/>
  <c r="E76" i="11"/>
  <c r="E77" i="11"/>
  <c r="E82" i="11"/>
  <c r="E81" i="11"/>
  <c r="E83" i="11"/>
  <c r="E86" i="11"/>
  <c r="E87" i="11"/>
  <c r="E92" i="11"/>
  <c r="E93" i="11"/>
  <c r="F76" i="11"/>
  <c r="F82" i="11"/>
  <c r="F81" i="11"/>
  <c r="F83" i="11"/>
  <c r="F86" i="11"/>
  <c r="G76" i="11"/>
  <c r="G77" i="11"/>
  <c r="G82" i="11"/>
  <c r="G81" i="11"/>
  <c r="G83" i="11"/>
  <c r="G86" i="11"/>
  <c r="G87" i="11"/>
  <c r="G92" i="11"/>
  <c r="D54" i="11"/>
  <c r="D58" i="11"/>
  <c r="D60" i="11"/>
  <c r="D64" i="11"/>
  <c r="D69" i="11"/>
  <c r="D70" i="11"/>
  <c r="E53" i="11"/>
  <c r="E54" i="11"/>
  <c r="E59" i="11"/>
  <c r="E58" i="11"/>
  <c r="E60" i="11"/>
  <c r="E63" i="11"/>
  <c r="E64" i="11"/>
  <c r="E69" i="11"/>
  <c r="E70" i="11"/>
  <c r="F53" i="11"/>
  <c r="F59" i="11"/>
  <c r="F58" i="11"/>
  <c r="F60" i="11"/>
  <c r="F63" i="11"/>
  <c r="F69" i="11"/>
  <c r="F70" i="11"/>
  <c r="G53" i="11"/>
  <c r="G54" i="11"/>
  <c r="G59" i="11"/>
  <c r="G58" i="11"/>
  <c r="G60" i="11"/>
  <c r="G63" i="11"/>
  <c r="G64" i="11"/>
  <c r="G69" i="11"/>
  <c r="G70" i="11"/>
  <c r="H68" i="11"/>
  <c r="D65" i="11"/>
  <c r="D61" i="11"/>
  <c r="D55" i="11"/>
  <c r="D34" i="11"/>
  <c r="E34" i="11"/>
  <c r="G34" i="11"/>
  <c r="F34" i="11"/>
  <c r="E29" i="11"/>
  <c r="F29" i="11"/>
  <c r="G29" i="11"/>
  <c r="F10" i="12"/>
  <c r="G10" i="12"/>
  <c r="H10" i="12"/>
  <c r="G11" i="12"/>
  <c r="H11" i="12"/>
  <c r="F12" i="12"/>
  <c r="G12" i="12"/>
  <c r="H12" i="12"/>
  <c r="G13" i="12"/>
  <c r="H13" i="12"/>
  <c r="G16" i="12"/>
  <c r="H16" i="12"/>
  <c r="G17" i="12"/>
  <c r="H17" i="12"/>
  <c r="I10" i="12"/>
  <c r="I11" i="12"/>
  <c r="I12" i="12"/>
  <c r="I13" i="12"/>
  <c r="I16" i="12"/>
  <c r="I17" i="12"/>
  <c r="J10" i="12"/>
  <c r="J11" i="12"/>
  <c r="J12" i="12"/>
  <c r="J13" i="12"/>
  <c r="J16" i="12"/>
  <c r="J17" i="12"/>
  <c r="F35" i="12"/>
  <c r="F59" i="12"/>
  <c r="G59" i="12"/>
  <c r="H59" i="12"/>
  <c r="F60" i="12"/>
  <c r="G60" i="12"/>
  <c r="H60" i="12"/>
  <c r="F36" i="12"/>
  <c r="F61" i="12"/>
  <c r="G61" i="12"/>
  <c r="H61" i="12"/>
  <c r="H62" i="12"/>
  <c r="F64" i="12"/>
  <c r="G64" i="12"/>
  <c r="H64" i="12"/>
  <c r="H67" i="12"/>
  <c r="H68" i="12"/>
  <c r="I59" i="12"/>
  <c r="I60" i="12"/>
  <c r="I61" i="12"/>
  <c r="I62" i="12"/>
  <c r="I64" i="12"/>
  <c r="I67" i="12"/>
  <c r="I68" i="12"/>
  <c r="J59" i="12"/>
  <c r="J60" i="12"/>
  <c r="J61" i="12"/>
  <c r="J62" i="12"/>
  <c r="J64" i="12"/>
  <c r="J67" i="12"/>
  <c r="J68" i="12"/>
  <c r="F41" i="12"/>
  <c r="F44" i="12"/>
  <c r="F68" i="12"/>
  <c r="H38" i="12"/>
  <c r="I38" i="12"/>
  <c r="J38" i="12"/>
  <c r="G36" i="12"/>
  <c r="H36" i="12"/>
  <c r="I36" i="12"/>
  <c r="J36" i="12"/>
  <c r="G35" i="12"/>
  <c r="H35" i="12"/>
  <c r="I35" i="12"/>
  <c r="J35" i="12"/>
  <c r="G41" i="12"/>
  <c r="H41" i="12"/>
  <c r="H43" i="12"/>
  <c r="H44" i="12"/>
  <c r="J23" i="12"/>
  <c r="L56" i="7"/>
  <c r="L57" i="7"/>
  <c r="G6" i="20"/>
  <c r="G5" i="20"/>
  <c r="G7" i="20"/>
  <c r="L59" i="7"/>
  <c r="D8" i="20"/>
  <c r="G8" i="20"/>
  <c r="G9" i="20"/>
  <c r="G10" i="20"/>
  <c r="G11" i="20"/>
  <c r="F28" i="19"/>
  <c r="F29" i="19"/>
  <c r="F30" i="19"/>
  <c r="F31" i="19"/>
  <c r="F27" i="19"/>
  <c r="F26" i="19"/>
  <c r="F25" i="19"/>
  <c r="F24" i="19"/>
  <c r="G10" i="2"/>
  <c r="G13" i="2"/>
  <c r="G19" i="2"/>
  <c r="G20" i="2"/>
  <c r="G22" i="2"/>
  <c r="G25" i="2"/>
  <c r="G28" i="2"/>
  <c r="G37" i="2"/>
  <c r="G38" i="2"/>
  <c r="G40" i="2"/>
  <c r="G43" i="2"/>
  <c r="G46" i="2"/>
  <c r="G51" i="2"/>
  <c r="G52" i="2"/>
  <c r="G53" i="2"/>
  <c r="H52" i="2"/>
  <c r="H53" i="2"/>
  <c r="I52" i="2"/>
  <c r="I53" i="2"/>
  <c r="J52" i="2"/>
  <c r="J53" i="2"/>
  <c r="F52" i="2"/>
  <c r="F53" i="2"/>
  <c r="G21" i="2"/>
  <c r="F11" i="2"/>
  <c r="E16" i="2"/>
  <c r="G16" i="2"/>
  <c r="I76" i="18"/>
  <c r="R10" i="18"/>
  <c r="R9" i="18"/>
  <c r="L12" i="18"/>
  <c r="L11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G58" i="7"/>
  <c r="N41" i="7"/>
  <c r="N42" i="7"/>
  <c r="N43" i="7"/>
  <c r="N44" i="7"/>
  <c r="N45" i="7"/>
  <c r="N46" i="7"/>
  <c r="N5" i="7"/>
  <c r="N6" i="7"/>
  <c r="N7" i="7"/>
  <c r="N10" i="7"/>
  <c r="N11" i="7"/>
  <c r="L55" i="7"/>
  <c r="N22" i="7"/>
  <c r="N23" i="7"/>
  <c r="N24" i="7"/>
  <c r="N25" i="7"/>
  <c r="N26" i="7"/>
  <c r="N27" i="7"/>
  <c r="N9" i="7"/>
  <c r="G20" i="7"/>
  <c r="G21" i="7"/>
  <c r="G22" i="7"/>
  <c r="G23" i="7"/>
  <c r="G24" i="7"/>
  <c r="G25" i="7"/>
  <c r="G26" i="7"/>
  <c r="G27" i="7"/>
  <c r="G28" i="7"/>
  <c r="G29" i="7"/>
  <c r="G30" i="7"/>
  <c r="G32" i="7"/>
  <c r="D56" i="7"/>
  <c r="G5" i="7"/>
  <c r="G6" i="7"/>
  <c r="G7" i="7"/>
  <c r="G8" i="7"/>
  <c r="G9" i="7"/>
  <c r="G11" i="7"/>
  <c r="N8" i="7"/>
  <c r="G42" i="7"/>
  <c r="D16" i="11"/>
  <c r="E16" i="11"/>
  <c r="F16" i="11"/>
  <c r="L16" i="11"/>
  <c r="M16" i="11"/>
  <c r="N16" i="11"/>
  <c r="W16" i="11"/>
  <c r="G17" i="11"/>
  <c r="O17" i="11"/>
  <c r="X17" i="11"/>
  <c r="AF17" i="11"/>
  <c r="D19" i="11"/>
  <c r="F19" i="11"/>
  <c r="L19" i="11"/>
  <c r="L20" i="11"/>
  <c r="M20" i="11"/>
  <c r="N19" i="11"/>
  <c r="N20" i="11"/>
  <c r="U19" i="11"/>
  <c r="W19" i="11"/>
  <c r="AC19" i="11"/>
  <c r="AC20" i="11"/>
  <c r="AD20" i="11"/>
  <c r="AE19" i="11"/>
  <c r="AE20" i="11"/>
  <c r="D20" i="11"/>
  <c r="E20" i="11"/>
  <c r="F20" i="11"/>
  <c r="U20" i="11"/>
  <c r="V20" i="11"/>
  <c r="W20" i="11"/>
  <c r="U53" i="11"/>
  <c r="U54" i="11"/>
  <c r="U64" i="11"/>
  <c r="V64" i="11"/>
  <c r="W53" i="11"/>
  <c r="X53" i="11"/>
  <c r="X54" i="11"/>
  <c r="X64" i="11"/>
  <c r="Y52" i="11"/>
  <c r="T31" i="1"/>
  <c r="L63" i="11"/>
  <c r="M63" i="11"/>
  <c r="N63" i="11"/>
  <c r="O63" i="11"/>
  <c r="AG52" i="11"/>
  <c r="AA31" i="1"/>
  <c r="R38" i="1"/>
  <c r="S37" i="1"/>
  <c r="S38" i="1"/>
  <c r="T37" i="1"/>
  <c r="T38" i="1"/>
  <c r="U37" i="1"/>
  <c r="U38" i="1"/>
  <c r="S151" i="1"/>
  <c r="Z37" i="1"/>
  <c r="Z38" i="1"/>
  <c r="AA37" i="1"/>
  <c r="AA38" i="1"/>
  <c r="AB37" i="1"/>
  <c r="AB38" i="1"/>
  <c r="Z151" i="1"/>
  <c r="H122" i="11"/>
  <c r="L76" i="11"/>
  <c r="L99" i="11"/>
  <c r="L123" i="11"/>
  <c r="L59" i="11"/>
  <c r="L82" i="11"/>
  <c r="L105" i="11"/>
  <c r="L129" i="11"/>
  <c r="L130" i="11"/>
  <c r="L131" i="11"/>
  <c r="L86" i="11"/>
  <c r="L109" i="11"/>
  <c r="M129" i="11"/>
  <c r="N129" i="11"/>
  <c r="N130" i="11"/>
  <c r="M130" i="11"/>
  <c r="M131" i="11"/>
  <c r="N131" i="11"/>
  <c r="O129" i="11"/>
  <c r="O130" i="11"/>
  <c r="O131" i="11"/>
  <c r="P148" i="11"/>
  <c r="P122" i="11"/>
  <c r="M101" i="1"/>
  <c r="U76" i="11"/>
  <c r="U99" i="11"/>
  <c r="U123" i="11"/>
  <c r="U124" i="11"/>
  <c r="U125" i="11"/>
  <c r="U134" i="11"/>
  <c r="U135" i="11"/>
  <c r="V133" i="11"/>
  <c r="W76" i="11"/>
  <c r="W99" i="11"/>
  <c r="W123" i="11"/>
  <c r="W124" i="11"/>
  <c r="X76" i="11"/>
  <c r="X99" i="11"/>
  <c r="X123" i="11"/>
  <c r="X124" i="11"/>
  <c r="Y122" i="11"/>
  <c r="V99" i="1"/>
  <c r="T101" i="1"/>
  <c r="T107" i="1"/>
  <c r="AG122" i="11"/>
  <c r="AA101" i="1"/>
  <c r="AC105" i="1"/>
  <c r="AA107" i="1"/>
  <c r="G38" i="7"/>
  <c r="G39" i="7"/>
  <c r="G40" i="7"/>
  <c r="G41" i="7"/>
  <c r="G43" i="7"/>
  <c r="G44" i="7"/>
  <c r="G46" i="7"/>
  <c r="D57" i="7"/>
  <c r="G7" i="22"/>
  <c r="H7" i="22"/>
  <c r="I7" i="22"/>
  <c r="J7" i="22"/>
  <c r="F7" i="19"/>
  <c r="F8" i="19"/>
  <c r="F9" i="19"/>
  <c r="F10" i="19"/>
  <c r="F11" i="19"/>
  <c r="F12" i="19"/>
  <c r="F13" i="19"/>
  <c r="F14" i="19"/>
  <c r="F16" i="19"/>
  <c r="F11" i="23"/>
  <c r="F23" i="19"/>
  <c r="D55" i="7"/>
  <c r="N20" i="7"/>
  <c r="N21" i="7"/>
  <c r="N38" i="7"/>
  <c r="N39" i="7"/>
  <c r="N40" i="7"/>
  <c r="L6" i="18"/>
  <c r="L7" i="18"/>
  <c r="L8" i="18"/>
  <c r="L9" i="18"/>
  <c r="L10" i="18"/>
  <c r="L25" i="18"/>
  <c r="L26" i="18"/>
  <c r="L27" i="18"/>
  <c r="L28" i="18"/>
  <c r="L44" i="18"/>
  <c r="L45" i="18"/>
  <c r="L46" i="18"/>
  <c r="L47" i="18"/>
  <c r="R6" i="18"/>
  <c r="R7" i="18"/>
  <c r="R8" i="18"/>
  <c r="R64" i="18"/>
  <c r="R25" i="18"/>
  <c r="R26" i="18"/>
  <c r="R27" i="18"/>
  <c r="R44" i="18"/>
  <c r="R45" i="18"/>
  <c r="R46" i="18"/>
  <c r="R48" i="18"/>
  <c r="R66" i="18"/>
  <c r="F25" i="18"/>
  <c r="F26" i="18"/>
  <c r="F27" i="18"/>
  <c r="F28" i="18"/>
  <c r="F29" i="18"/>
  <c r="F30" i="18"/>
  <c r="F31" i="18"/>
  <c r="F32" i="18"/>
  <c r="F33" i="18"/>
  <c r="F34" i="18"/>
  <c r="F35" i="18"/>
  <c r="F37" i="18"/>
  <c r="F65" i="18"/>
  <c r="F44" i="18"/>
  <c r="F45" i="18"/>
  <c r="F46" i="18"/>
  <c r="F47" i="18"/>
  <c r="F48" i="18"/>
  <c r="F49" i="18"/>
  <c r="F50" i="18"/>
  <c r="F51" i="18"/>
  <c r="F52" i="18"/>
  <c r="F53" i="18"/>
  <c r="F54" i="18"/>
  <c r="E61" i="11"/>
  <c r="E65" i="11"/>
  <c r="L54" i="11"/>
  <c r="M53" i="11"/>
  <c r="P52" i="11"/>
  <c r="L60" i="11"/>
  <c r="L61" i="11"/>
  <c r="M59" i="11"/>
  <c r="M60" i="11"/>
  <c r="N59" i="11"/>
  <c r="N60" i="11"/>
  <c r="O59" i="11"/>
  <c r="O60" i="11"/>
  <c r="L64" i="11"/>
  <c r="L65" i="11"/>
  <c r="M64" i="11"/>
  <c r="M65" i="11"/>
  <c r="N64" i="11"/>
  <c r="O64" i="11"/>
  <c r="U55" i="11"/>
  <c r="U65" i="11"/>
  <c r="V65" i="11"/>
  <c r="C37" i="1"/>
  <c r="C38" i="1"/>
  <c r="D36" i="1"/>
  <c r="D37" i="1"/>
  <c r="E36" i="1"/>
  <c r="C43" i="1"/>
  <c r="C44" i="1"/>
  <c r="D43" i="1"/>
  <c r="D44" i="1"/>
  <c r="E43" i="1"/>
  <c r="E44" i="1"/>
  <c r="F43" i="1"/>
  <c r="F44" i="1"/>
  <c r="D152" i="1"/>
  <c r="K29" i="1"/>
  <c r="L29" i="1"/>
  <c r="N29" i="1"/>
  <c r="L152" i="1"/>
  <c r="G81" i="2"/>
  <c r="G83" i="2"/>
  <c r="G82" i="2"/>
  <c r="G34" i="2"/>
  <c r="C8" i="1"/>
  <c r="C9" i="1"/>
  <c r="C14" i="1"/>
  <c r="C15" i="1"/>
  <c r="D14" i="1"/>
  <c r="D15" i="1"/>
  <c r="E14" i="1"/>
  <c r="E15" i="1"/>
  <c r="C151" i="1"/>
  <c r="C20" i="1"/>
  <c r="C21" i="1"/>
  <c r="D21" i="1"/>
  <c r="E20" i="1"/>
  <c r="E21" i="1"/>
  <c r="C152" i="1"/>
  <c r="K8" i="1"/>
  <c r="K9" i="1"/>
  <c r="L30" i="11"/>
  <c r="L36" i="11"/>
  <c r="L37" i="11"/>
  <c r="L40" i="11"/>
  <c r="L45" i="11"/>
  <c r="L46" i="11"/>
  <c r="M29" i="11"/>
  <c r="M35" i="11"/>
  <c r="N35" i="11"/>
  <c r="O35" i="11"/>
  <c r="O36" i="11"/>
  <c r="O30" i="11"/>
  <c r="O39" i="11"/>
  <c r="O40" i="11"/>
  <c r="O45" i="11"/>
  <c r="M36" i="11"/>
  <c r="M40" i="11"/>
  <c r="N39" i="11"/>
  <c r="K14" i="1"/>
  <c r="K15" i="1"/>
  <c r="L14" i="1"/>
  <c r="L15" i="1"/>
  <c r="M14" i="1"/>
  <c r="K20" i="1"/>
  <c r="K21" i="1"/>
  <c r="L21" i="1"/>
  <c r="M20" i="1"/>
  <c r="R8" i="1"/>
  <c r="R9" i="1"/>
  <c r="S8" i="1"/>
  <c r="S9" i="1"/>
  <c r="V30" i="11"/>
  <c r="V35" i="11"/>
  <c r="W35" i="11"/>
  <c r="X30" i="11"/>
  <c r="Y28" i="11"/>
  <c r="Y8" i="1"/>
  <c r="Y9" i="1"/>
  <c r="Z8" i="1"/>
  <c r="AC45" i="11"/>
  <c r="AC46" i="11"/>
  <c r="AE45" i="11"/>
  <c r="B24" i="22"/>
  <c r="F37" i="25"/>
  <c r="F39" i="25"/>
  <c r="E10" i="25"/>
  <c r="D10" i="25"/>
  <c r="D88" i="11"/>
  <c r="H75" i="11"/>
  <c r="G53" i="1"/>
  <c r="C61" i="1"/>
  <c r="C62" i="1"/>
  <c r="D60" i="1"/>
  <c r="D61" i="1"/>
  <c r="E60" i="1"/>
  <c r="C67" i="1"/>
  <c r="C68" i="1"/>
  <c r="D66" i="1"/>
  <c r="D67" i="1"/>
  <c r="E66" i="1"/>
  <c r="L77" i="11"/>
  <c r="L83" i="11"/>
  <c r="L87" i="11"/>
  <c r="L88" i="11"/>
  <c r="M86" i="11"/>
  <c r="M87" i="11"/>
  <c r="M88" i="11"/>
  <c r="M76" i="11"/>
  <c r="M77" i="11"/>
  <c r="M82" i="11"/>
  <c r="M83" i="11"/>
  <c r="M92" i="11"/>
  <c r="N76" i="11"/>
  <c r="N77" i="11"/>
  <c r="N82" i="11"/>
  <c r="N86" i="11"/>
  <c r="O86" i="11"/>
  <c r="O76" i="11"/>
  <c r="O77" i="11"/>
  <c r="O82" i="11"/>
  <c r="O83" i="11"/>
  <c r="O87" i="11"/>
  <c r="K53" i="1"/>
  <c r="L53" i="1"/>
  <c r="N53" i="1"/>
  <c r="U77" i="11"/>
  <c r="U86" i="11"/>
  <c r="X77" i="11"/>
  <c r="Y75" i="11"/>
  <c r="T55" i="1"/>
  <c r="R61" i="1"/>
  <c r="R62" i="1"/>
  <c r="S61" i="1"/>
  <c r="S62" i="1"/>
  <c r="T61" i="1"/>
  <c r="T62" i="1"/>
  <c r="U61" i="1"/>
  <c r="U62" i="1"/>
  <c r="T151" i="1"/>
  <c r="AG75" i="11"/>
  <c r="AA55" i="1"/>
  <c r="Y61" i="1"/>
  <c r="Y62" i="1"/>
  <c r="Z61" i="1"/>
  <c r="Z62" i="1"/>
  <c r="AA61" i="1"/>
  <c r="AA62" i="1"/>
  <c r="AB61" i="1"/>
  <c r="AB62" i="1"/>
  <c r="AA151" i="1"/>
  <c r="D101" i="11"/>
  <c r="D107" i="11"/>
  <c r="E107" i="11"/>
  <c r="D111" i="11"/>
  <c r="E111" i="11"/>
  <c r="F111" i="11"/>
  <c r="G111" i="11"/>
  <c r="G149" i="11"/>
  <c r="L100" i="11"/>
  <c r="L106" i="11"/>
  <c r="L107" i="11"/>
  <c r="M105" i="11"/>
  <c r="M106" i="11"/>
  <c r="M107" i="11"/>
  <c r="N105" i="11"/>
  <c r="N106" i="11"/>
  <c r="N107" i="11"/>
  <c r="M99" i="11"/>
  <c r="O105" i="11"/>
  <c r="O82" i="1"/>
  <c r="N126" i="1"/>
  <c r="U100" i="11"/>
  <c r="U110" i="11"/>
  <c r="V109" i="11"/>
  <c r="V110" i="11"/>
  <c r="W100" i="11"/>
  <c r="W109" i="11"/>
  <c r="W110" i="11"/>
  <c r="X100" i="11"/>
  <c r="X109" i="11"/>
  <c r="X110" i="11"/>
  <c r="Y98" i="11"/>
  <c r="T78" i="1"/>
  <c r="V82" i="1"/>
  <c r="T84" i="1"/>
  <c r="AG98" i="11"/>
  <c r="AA78" i="1"/>
  <c r="AA84" i="1"/>
  <c r="H81" i="2"/>
  <c r="I81" i="2"/>
  <c r="H82" i="2"/>
  <c r="I82" i="2"/>
  <c r="J82" i="2"/>
  <c r="H83" i="2"/>
  <c r="D131" i="11"/>
  <c r="U101" i="11"/>
  <c r="U111" i="11"/>
  <c r="V111" i="11"/>
  <c r="W111" i="11"/>
  <c r="X111" i="11"/>
  <c r="X149" i="11"/>
  <c r="L101" i="11"/>
  <c r="U78" i="11"/>
  <c r="D78" i="11"/>
  <c r="E78" i="11"/>
  <c r="D84" i="11"/>
  <c r="E84" i="11"/>
  <c r="F84" i="11"/>
  <c r="G84" i="11"/>
  <c r="F148" i="11"/>
  <c r="L78" i="11"/>
  <c r="M78" i="11"/>
  <c r="N78" i="11"/>
  <c r="O78" i="11"/>
  <c r="N147" i="11"/>
  <c r="U31" i="11"/>
  <c r="V31" i="11"/>
  <c r="V41" i="11"/>
  <c r="W41" i="11"/>
  <c r="X41" i="11"/>
  <c r="U149" i="11"/>
  <c r="G30" i="11"/>
  <c r="D30" i="11"/>
  <c r="D31" i="11"/>
  <c r="D36" i="11"/>
  <c r="D37" i="11"/>
  <c r="E36" i="11"/>
  <c r="E37" i="11"/>
  <c r="F36" i="11"/>
  <c r="F37" i="11"/>
  <c r="G35" i="11"/>
  <c r="G36" i="11"/>
  <c r="G37" i="11"/>
  <c r="D148" i="11"/>
  <c r="D40" i="11"/>
  <c r="D41" i="11"/>
  <c r="E39" i="11"/>
  <c r="E40" i="11"/>
  <c r="E41" i="11"/>
  <c r="F40" i="11"/>
  <c r="G40" i="11"/>
  <c r="L31" i="11"/>
  <c r="M37" i="11"/>
  <c r="L41" i="11"/>
  <c r="M41" i="11"/>
  <c r="I41" i="12"/>
  <c r="J41" i="12"/>
  <c r="I44" i="12"/>
  <c r="J44" i="12"/>
  <c r="I43" i="12"/>
  <c r="J43" i="12"/>
  <c r="V159" i="11"/>
  <c r="W159" i="11"/>
  <c r="X159" i="11"/>
  <c r="Y159" i="11"/>
  <c r="V160" i="11"/>
  <c r="W160" i="11"/>
  <c r="X160" i="11"/>
  <c r="Y160" i="11"/>
  <c r="V161" i="11"/>
  <c r="W161" i="11"/>
  <c r="X161" i="11"/>
  <c r="Y161" i="11"/>
  <c r="AC82" i="1"/>
  <c r="AB126" i="1"/>
  <c r="AC59" i="1"/>
  <c r="AA126" i="1"/>
  <c r="AC35" i="1"/>
  <c r="Z126" i="1"/>
  <c r="Y126" i="1"/>
  <c r="AC99" i="1"/>
  <c r="AC125" i="1"/>
  <c r="AC76" i="1"/>
  <c r="AB125" i="1"/>
  <c r="AC53" i="1"/>
  <c r="AA125" i="1"/>
  <c r="AC29" i="1"/>
  <c r="Z125" i="1"/>
  <c r="AB6" i="1"/>
  <c r="Y125" i="1"/>
  <c r="AC87" i="1"/>
  <c r="AB124" i="1"/>
  <c r="AC64" i="1"/>
  <c r="AA124" i="1"/>
  <c r="AC40" i="1"/>
  <c r="Z124" i="1"/>
  <c r="AB11" i="1"/>
  <c r="Y124" i="1"/>
  <c r="AA110" i="1"/>
  <c r="AA87" i="1"/>
  <c r="AA64" i="1"/>
  <c r="AA40" i="1"/>
  <c r="Y11" i="1"/>
  <c r="Y12" i="1"/>
  <c r="Z11" i="1"/>
  <c r="Z12" i="1"/>
  <c r="T110" i="1"/>
  <c r="V105" i="1"/>
  <c r="V126" i="1"/>
  <c r="T87" i="1"/>
  <c r="V76" i="1"/>
  <c r="AG139" i="11"/>
  <c r="AG115" i="11"/>
  <c r="AG45" i="11"/>
  <c r="Y139" i="11"/>
  <c r="Y115" i="11"/>
  <c r="X146" i="11"/>
  <c r="Y69" i="11"/>
  <c r="V146" i="11"/>
  <c r="Y45" i="11"/>
  <c r="O99" i="1"/>
  <c r="O125" i="1"/>
  <c r="O76" i="1"/>
  <c r="N125" i="1"/>
  <c r="O53" i="1"/>
  <c r="M125" i="1"/>
  <c r="P139" i="11"/>
  <c r="P69" i="11"/>
  <c r="G99" i="1"/>
  <c r="G125" i="1"/>
  <c r="H139" i="11"/>
  <c r="H115" i="11"/>
  <c r="H92" i="11"/>
  <c r="G45" i="11"/>
  <c r="AB147" i="11"/>
  <c r="AG146" i="11"/>
  <c r="AF146" i="11"/>
  <c r="AC146" i="11"/>
  <c r="AC7" i="11"/>
  <c r="AC13" i="11"/>
  <c r="AC22" i="11"/>
  <c r="AC23" i="11"/>
  <c r="AD13" i="11"/>
  <c r="AD7" i="11"/>
  <c r="AD22" i="11"/>
  <c r="AE13" i="11"/>
  <c r="AE7" i="11"/>
  <c r="AE22" i="11"/>
  <c r="AF5" i="11"/>
  <c r="AF11" i="11"/>
  <c r="AF22" i="11"/>
  <c r="AC14" i="11"/>
  <c r="AD14" i="11"/>
  <c r="AE14" i="11"/>
  <c r="AC8" i="11"/>
  <c r="AD8" i="11"/>
  <c r="AE8" i="11"/>
  <c r="U7" i="11"/>
  <c r="U8" i="11"/>
  <c r="V7" i="11"/>
  <c r="V8" i="11"/>
  <c r="W7" i="11"/>
  <c r="W8" i="11"/>
  <c r="U13" i="11"/>
  <c r="U22" i="11"/>
  <c r="U23" i="11"/>
  <c r="V13" i="11"/>
  <c r="V22" i="11"/>
  <c r="U6" i="1"/>
  <c r="W13" i="11"/>
  <c r="W22" i="11"/>
  <c r="X5" i="11"/>
  <c r="X11" i="11"/>
  <c r="X22" i="11"/>
  <c r="U14" i="11"/>
  <c r="V14" i="11"/>
  <c r="W14" i="11"/>
  <c r="W10" i="11"/>
  <c r="U11" i="1"/>
  <c r="R124" i="1"/>
  <c r="Y146" i="11"/>
  <c r="U146" i="11"/>
  <c r="K149" i="11"/>
  <c r="K148" i="11"/>
  <c r="K147" i="11"/>
  <c r="P146" i="11"/>
  <c r="M146" i="11"/>
  <c r="L5" i="11"/>
  <c r="L7" i="11"/>
  <c r="L13" i="11"/>
  <c r="L22" i="11"/>
  <c r="L23" i="11"/>
  <c r="M13" i="11"/>
  <c r="N13" i="11"/>
  <c r="N7" i="11"/>
  <c r="N22" i="11"/>
  <c r="O11" i="11"/>
  <c r="L14" i="11"/>
  <c r="M14" i="11"/>
  <c r="N14" i="11"/>
  <c r="N10" i="11"/>
  <c r="M10" i="11"/>
  <c r="L10" i="11"/>
  <c r="L8" i="11"/>
  <c r="H146" i="11"/>
  <c r="G146" i="11"/>
  <c r="F146" i="11"/>
  <c r="D4" i="20"/>
  <c r="E34" i="2"/>
  <c r="O111" i="1"/>
  <c r="O127" i="1"/>
  <c r="O65" i="1"/>
  <c r="M127" i="1"/>
  <c r="O41" i="1"/>
  <c r="L127" i="1"/>
  <c r="O105" i="1"/>
  <c r="O126" i="1"/>
  <c r="O59" i="1"/>
  <c r="M126" i="1"/>
  <c r="O35" i="1"/>
  <c r="L126" i="1"/>
  <c r="N12" i="1"/>
  <c r="K126" i="1"/>
  <c r="O29" i="1"/>
  <c r="L125" i="1"/>
  <c r="O46" i="1"/>
  <c r="L124" i="1"/>
  <c r="N18" i="1"/>
  <c r="K23" i="1"/>
  <c r="K24" i="1"/>
  <c r="H6" i="20"/>
  <c r="I6" i="20"/>
  <c r="J6" i="20"/>
  <c r="G4" i="20"/>
  <c r="F13" i="20"/>
  <c r="C25" i="15"/>
  <c r="H4" i="20"/>
  <c r="E130" i="2"/>
  <c r="E127" i="2"/>
  <c r="E124" i="2"/>
  <c r="E121" i="2"/>
  <c r="E118" i="2"/>
  <c r="E115" i="2"/>
  <c r="E112" i="2"/>
  <c r="E92" i="2"/>
  <c r="E89" i="2"/>
  <c r="E86" i="2"/>
  <c r="E83" i="2"/>
  <c r="E80" i="2"/>
  <c r="E77" i="2"/>
  <c r="E74" i="2"/>
  <c r="E71" i="2"/>
  <c r="E68" i="2"/>
  <c r="E65" i="2"/>
  <c r="E62" i="2"/>
  <c r="C48" i="2"/>
  <c r="C142" i="2"/>
  <c r="E43" i="2"/>
  <c r="E46" i="2"/>
  <c r="E40" i="2"/>
  <c r="E37" i="2"/>
  <c r="I4" i="20"/>
  <c r="E28" i="2"/>
  <c r="E31" i="2"/>
  <c r="E25" i="2"/>
  <c r="E19" i="2"/>
  <c r="C99" i="2"/>
  <c r="C144" i="2"/>
  <c r="T147" i="11"/>
  <c r="T149" i="11"/>
  <c r="C149" i="11"/>
  <c r="C148" i="11"/>
  <c r="C147" i="11"/>
  <c r="C132" i="2"/>
  <c r="C146" i="2"/>
  <c r="C58" i="19"/>
  <c r="C57" i="19"/>
  <c r="C56" i="19"/>
  <c r="I66" i="18"/>
  <c r="I65" i="18"/>
  <c r="I64" i="18"/>
  <c r="C66" i="18"/>
  <c r="C65" i="18"/>
  <c r="C64" i="18"/>
  <c r="F56" i="19"/>
  <c r="D5" i="11"/>
  <c r="D7" i="11"/>
  <c r="D8" i="11"/>
  <c r="E7" i="11"/>
  <c r="E8" i="11"/>
  <c r="F7" i="11"/>
  <c r="F8" i="11"/>
  <c r="F10" i="11"/>
  <c r="E10" i="11"/>
  <c r="D10" i="11"/>
  <c r="G11" i="11"/>
  <c r="D13" i="11"/>
  <c r="D14" i="11"/>
  <c r="E13" i="11"/>
  <c r="F13" i="11"/>
  <c r="F22" i="11"/>
  <c r="E14" i="11"/>
  <c r="F14" i="11"/>
  <c r="E22" i="11"/>
  <c r="D22" i="11"/>
  <c r="D23" i="11"/>
  <c r="E23" i="11"/>
  <c r="T40" i="1"/>
  <c r="S11" i="1"/>
  <c r="R11" i="1"/>
  <c r="V35" i="1"/>
  <c r="S126" i="1"/>
  <c r="R126" i="1"/>
  <c r="U125" i="1"/>
  <c r="V53" i="1"/>
  <c r="T125" i="1"/>
  <c r="T64" i="1"/>
  <c r="V59" i="1"/>
  <c r="V64" i="1"/>
  <c r="T124" i="1"/>
  <c r="V29" i="1"/>
  <c r="V40" i="1"/>
  <c r="S124" i="1"/>
  <c r="R12" i="1"/>
  <c r="R125" i="1"/>
  <c r="F18" i="1"/>
  <c r="F12" i="1"/>
  <c r="C126" i="1"/>
  <c r="F23" i="1"/>
  <c r="C124" i="1"/>
  <c r="G65" i="1"/>
  <c r="E127" i="1"/>
  <c r="G59" i="1"/>
  <c r="E126" i="1"/>
  <c r="G41" i="1"/>
  <c r="D127" i="1"/>
  <c r="G35" i="1"/>
  <c r="G29" i="1"/>
  <c r="D125" i="1"/>
  <c r="T126" i="1"/>
  <c r="S125" i="1"/>
  <c r="G5" i="11"/>
  <c r="S12" i="1"/>
  <c r="C125" i="1"/>
  <c r="C23" i="1"/>
  <c r="C24" i="1"/>
  <c r="G22" i="11"/>
  <c r="D146" i="11"/>
  <c r="AG69" i="11"/>
  <c r="AD146" i="11"/>
  <c r="V87" i="1"/>
  <c r="U124" i="1"/>
  <c r="U126" i="1"/>
  <c r="G70" i="1"/>
  <c r="E124" i="1"/>
  <c r="E125" i="1"/>
  <c r="F23" i="11"/>
  <c r="C150" i="2"/>
  <c r="V23" i="11"/>
  <c r="W23" i="11"/>
  <c r="AD23" i="11"/>
  <c r="AE23" i="11"/>
  <c r="O106" i="11"/>
  <c r="O107" i="11"/>
  <c r="O148" i="11"/>
  <c r="F107" i="11"/>
  <c r="N87" i="11"/>
  <c r="N88" i="11"/>
  <c r="O88" i="11"/>
  <c r="N149" i="11"/>
  <c r="AC126" i="1"/>
  <c r="AC110" i="1"/>
  <c r="AC124" i="1"/>
  <c r="V110" i="1"/>
  <c r="V124" i="1"/>
  <c r="V125" i="1"/>
  <c r="M30" i="11"/>
  <c r="M31" i="11"/>
  <c r="F41" i="11"/>
  <c r="G41" i="11"/>
  <c r="D149" i="11"/>
  <c r="J81" i="2"/>
  <c r="J83" i="2"/>
  <c r="I83" i="2"/>
  <c r="I40" i="2"/>
  <c r="M100" i="11"/>
  <c r="N99" i="11"/>
  <c r="O92" i="11"/>
  <c r="P75" i="11"/>
  <c r="D68" i="1"/>
  <c r="D62" i="1"/>
  <c r="N36" i="11"/>
  <c r="P28" i="11"/>
  <c r="E37" i="1"/>
  <c r="F36" i="1"/>
  <c r="F37" i="1"/>
  <c r="N65" i="11"/>
  <c r="O65" i="11"/>
  <c r="M149" i="11"/>
  <c r="M61" i="11"/>
  <c r="N61" i="11"/>
  <c r="O61" i="11"/>
  <c r="M148" i="11"/>
  <c r="F64" i="18"/>
  <c r="L49" i="18"/>
  <c r="L66" i="18"/>
  <c r="N47" i="7"/>
  <c r="G46" i="1"/>
  <c r="D124" i="1"/>
  <c r="G93" i="1"/>
  <c r="O70" i="1"/>
  <c r="M124" i="1"/>
  <c r="O116" i="1"/>
  <c r="O124" i="1"/>
  <c r="O88" i="1"/>
  <c r="N127" i="1"/>
  <c r="D45" i="11"/>
  <c r="D46" i="11"/>
  <c r="Y92" i="11"/>
  <c r="W146" i="11"/>
  <c r="AG92" i="11"/>
  <c r="AE146" i="11"/>
  <c r="N37" i="11"/>
  <c r="O37" i="11"/>
  <c r="L148" i="11"/>
  <c r="E30" i="11"/>
  <c r="F30" i="11"/>
  <c r="F45" i="11"/>
  <c r="P98" i="11"/>
  <c r="U87" i="11"/>
  <c r="U88" i="11"/>
  <c r="V86" i="11"/>
  <c r="M151" i="1"/>
  <c r="N83" i="11"/>
  <c r="N92" i="11"/>
  <c r="L92" i="11"/>
  <c r="L93" i="11"/>
  <c r="M93" i="11"/>
  <c r="L84" i="11"/>
  <c r="M84" i="11"/>
  <c r="N84" i="11"/>
  <c r="O84" i="11"/>
  <c r="N148" i="11"/>
  <c r="N151" i="11"/>
  <c r="F158" i="11"/>
  <c r="E67" i="1"/>
  <c r="F66" i="1"/>
  <c r="F67" i="1"/>
  <c r="E61" i="1"/>
  <c r="F60" i="1"/>
  <c r="F61" i="1"/>
  <c r="F19" i="25"/>
  <c r="AF45" i="11"/>
  <c r="AD45" i="11"/>
  <c r="AD46" i="11"/>
  <c r="AE46" i="11"/>
  <c r="AF46" i="11"/>
  <c r="AG44" i="11"/>
  <c r="AA7" i="1"/>
  <c r="AA8" i="1"/>
  <c r="AA11" i="1"/>
  <c r="AA12" i="1"/>
  <c r="X35" i="11"/>
  <c r="T8" i="1"/>
  <c r="U37" i="11"/>
  <c r="V37" i="11"/>
  <c r="M15" i="1"/>
  <c r="K151" i="1"/>
  <c r="N40" i="11"/>
  <c r="N41" i="11"/>
  <c r="O41" i="11"/>
  <c r="L149" i="11"/>
  <c r="L55" i="11"/>
  <c r="L69" i="11"/>
  <c r="L70" i="11"/>
  <c r="E55" i="11"/>
  <c r="F56" i="18"/>
  <c r="F66" i="18"/>
  <c r="L64" i="18"/>
  <c r="L133" i="11"/>
  <c r="L110" i="11"/>
  <c r="L111" i="11"/>
  <c r="M109" i="11"/>
  <c r="L124" i="11"/>
  <c r="M123" i="11"/>
  <c r="G111" i="1"/>
  <c r="G127" i="1"/>
  <c r="G105" i="1"/>
  <c r="Z9" i="1"/>
  <c r="AA9" i="1"/>
  <c r="Y150" i="1"/>
  <c r="Y152" i="1"/>
  <c r="M21" i="1"/>
  <c r="K152" i="1"/>
  <c r="M45" i="11"/>
  <c r="M46" i="11"/>
  <c r="N30" i="11"/>
  <c r="N45" i="11"/>
  <c r="N46" i="11"/>
  <c r="O46" i="11"/>
  <c r="L151" i="1"/>
  <c r="D38" i="1"/>
  <c r="M54" i="11"/>
  <c r="M69" i="11"/>
  <c r="N53" i="11"/>
  <c r="F61" i="11"/>
  <c r="G61" i="11"/>
  <c r="E148" i="11"/>
  <c r="H52" i="11"/>
  <c r="R29" i="18"/>
  <c r="R65" i="18"/>
  <c r="R68" i="18"/>
  <c r="L30" i="18"/>
  <c r="L65" i="18"/>
  <c r="N32" i="7"/>
  <c r="F33" i="19"/>
  <c r="V134" i="11"/>
  <c r="V135" i="11"/>
  <c r="W133" i="11"/>
  <c r="D135" i="11"/>
  <c r="E131" i="11"/>
  <c r="F131" i="11"/>
  <c r="G131" i="11"/>
  <c r="H148" i="11"/>
  <c r="AC69" i="11"/>
  <c r="AC70" i="11"/>
  <c r="G6" i="22"/>
  <c r="H6" i="22"/>
  <c r="I6" i="22"/>
  <c r="J6" i="22"/>
  <c r="J9" i="22"/>
  <c r="AD69" i="11"/>
  <c r="U60" i="11"/>
  <c r="U69" i="11"/>
  <c r="U70" i="11"/>
  <c r="U61" i="11"/>
  <c r="V59" i="11"/>
  <c r="V53" i="11"/>
  <c r="F45" i="19"/>
  <c r="D11" i="20"/>
  <c r="H11" i="20"/>
  <c r="I11" i="20"/>
  <c r="J11" i="20"/>
  <c r="T11" i="1"/>
  <c r="T9" i="1"/>
  <c r="R150" i="1"/>
  <c r="R152" i="1"/>
  <c r="H136" i="2"/>
  <c r="I103" i="2"/>
  <c r="V60" i="11"/>
  <c r="V61" i="11"/>
  <c r="W59" i="11"/>
  <c r="AE69" i="11"/>
  <c r="W134" i="11"/>
  <c r="X133" i="11"/>
  <c r="X134" i="11"/>
  <c r="H69" i="11"/>
  <c r="E146" i="11"/>
  <c r="R159" i="1"/>
  <c r="R168" i="1"/>
  <c r="C199" i="1"/>
  <c r="G126" i="1"/>
  <c r="G116" i="1"/>
  <c r="G124" i="1"/>
  <c r="M124" i="11"/>
  <c r="N123" i="11"/>
  <c r="L68" i="18"/>
  <c r="M70" i="11"/>
  <c r="F20" i="25"/>
  <c r="F21" i="25"/>
  <c r="N93" i="11"/>
  <c r="O93" i="11"/>
  <c r="P91" i="11"/>
  <c r="W86" i="11"/>
  <c r="V87" i="11"/>
  <c r="V88" i="11"/>
  <c r="E45" i="11"/>
  <c r="E31" i="11"/>
  <c r="F31" i="11"/>
  <c r="G31" i="11"/>
  <c r="D147" i="11"/>
  <c r="D151" i="11"/>
  <c r="D157" i="11"/>
  <c r="E46" i="11"/>
  <c r="F46" i="11"/>
  <c r="G46" i="11"/>
  <c r="H44" i="11"/>
  <c r="O93" i="1"/>
  <c r="N124" i="1"/>
  <c r="F68" i="18"/>
  <c r="P44" i="11"/>
  <c r="P45" i="11"/>
  <c r="L146" i="11"/>
  <c r="F38" i="25"/>
  <c r="E62" i="1"/>
  <c r="F62" i="1"/>
  <c r="E151" i="1"/>
  <c r="P92" i="11"/>
  <c r="N146" i="11"/>
  <c r="M101" i="11"/>
  <c r="N100" i="11"/>
  <c r="N101" i="11"/>
  <c r="N31" i="11"/>
  <c r="O31" i="11"/>
  <c r="L147" i="11"/>
  <c r="L151" i="11"/>
  <c r="D158" i="11"/>
  <c r="E101" i="11"/>
  <c r="F101" i="11"/>
  <c r="V54" i="11"/>
  <c r="V76" i="11"/>
  <c r="K22" i="22"/>
  <c r="I22" i="22"/>
  <c r="J22" i="22"/>
  <c r="AD70" i="11"/>
  <c r="D125" i="11"/>
  <c r="E135" i="11"/>
  <c r="W135" i="11"/>
  <c r="X135" i="11"/>
  <c r="Y149" i="11"/>
  <c r="F12" i="23"/>
  <c r="D5" i="20"/>
  <c r="F57" i="19"/>
  <c r="O53" i="11"/>
  <c r="O54" i="11"/>
  <c r="O69" i="11"/>
  <c r="N54" i="11"/>
  <c r="N69" i="11"/>
  <c r="E38" i="1"/>
  <c r="F38" i="1"/>
  <c r="D151" i="1"/>
  <c r="G103" i="2"/>
  <c r="L125" i="11"/>
  <c r="M125" i="11"/>
  <c r="N109" i="11"/>
  <c r="M110" i="11"/>
  <c r="M111" i="11"/>
  <c r="L134" i="11"/>
  <c r="L135" i="11"/>
  <c r="M133" i="11"/>
  <c r="D59" i="7"/>
  <c r="M55" i="11"/>
  <c r="N55" i="11"/>
  <c r="O55" i="11"/>
  <c r="M147" i="11"/>
  <c r="M151" i="11"/>
  <c r="E158" i="11"/>
  <c r="W37" i="11"/>
  <c r="X37" i="11"/>
  <c r="U148" i="11"/>
  <c r="M152" i="1"/>
  <c r="P115" i="11"/>
  <c r="O146" i="11"/>
  <c r="E11" i="21"/>
  <c r="G136" i="2"/>
  <c r="E88" i="11"/>
  <c r="E68" i="1"/>
  <c r="F68" i="1"/>
  <c r="E152" i="1"/>
  <c r="O99" i="11"/>
  <c r="O100" i="11"/>
  <c r="H103" i="2"/>
  <c r="G107" i="11"/>
  <c r="G148" i="11"/>
  <c r="L115" i="11"/>
  <c r="L116" i="11"/>
  <c r="C55" i="1"/>
  <c r="D54" i="1"/>
  <c r="C78" i="1"/>
  <c r="C84" i="1"/>
  <c r="C85" i="1"/>
  <c r="D77" i="1"/>
  <c r="K55" i="1"/>
  <c r="L54" i="1"/>
  <c r="M115" i="11"/>
  <c r="M116" i="11"/>
  <c r="F150" i="2"/>
  <c r="J103" i="2"/>
  <c r="F42" i="19"/>
  <c r="D7" i="20"/>
  <c r="H7" i="20"/>
  <c r="I7" i="20"/>
  <c r="J7" i="20"/>
  <c r="M134" i="11"/>
  <c r="N133" i="11"/>
  <c r="C37" i="25"/>
  <c r="V99" i="11"/>
  <c r="V77" i="11"/>
  <c r="G101" i="11"/>
  <c r="G147" i="11"/>
  <c r="G151" i="11"/>
  <c r="G157" i="11"/>
  <c r="O101" i="11"/>
  <c r="O147" i="11"/>
  <c r="L8" i="1"/>
  <c r="M7" i="1"/>
  <c r="M8" i="1"/>
  <c r="M23" i="1"/>
  <c r="D10" i="20"/>
  <c r="H10" i="20"/>
  <c r="I10" i="20"/>
  <c r="J10" i="20"/>
  <c r="F46" i="19"/>
  <c r="F23" i="25"/>
  <c r="M139" i="11"/>
  <c r="C19" i="25"/>
  <c r="F43" i="19"/>
  <c r="H8" i="20"/>
  <c r="I8" i="20"/>
  <c r="J8" i="20"/>
  <c r="C198" i="1"/>
  <c r="R158" i="1"/>
  <c r="M135" i="11"/>
  <c r="O109" i="11"/>
  <c r="O110" i="11"/>
  <c r="O115" i="11"/>
  <c r="N110" i="11"/>
  <c r="N115" i="11"/>
  <c r="L139" i="11"/>
  <c r="L140" i="11"/>
  <c r="F135" i="11"/>
  <c r="G135" i="11"/>
  <c r="H149" i="11"/>
  <c r="E125" i="11"/>
  <c r="F125" i="11"/>
  <c r="AE70" i="11"/>
  <c r="V69" i="11"/>
  <c r="V70" i="11"/>
  <c r="V55" i="11"/>
  <c r="J136" i="2"/>
  <c r="F41" i="25"/>
  <c r="N6" i="1"/>
  <c r="X86" i="11"/>
  <c r="X87" i="11"/>
  <c r="N70" i="11"/>
  <c r="O70" i="11"/>
  <c r="P68" i="11"/>
  <c r="F44" i="19"/>
  <c r="D9" i="20"/>
  <c r="H9" i="20"/>
  <c r="I9" i="20"/>
  <c r="J9" i="20"/>
  <c r="N124" i="11"/>
  <c r="O123" i="11"/>
  <c r="O124" i="11"/>
  <c r="G150" i="2"/>
  <c r="AF69" i="11"/>
  <c r="W60" i="11"/>
  <c r="W69" i="11"/>
  <c r="X59" i="11"/>
  <c r="T12" i="1"/>
  <c r="H150" i="2"/>
  <c r="O133" i="11"/>
  <c r="O134" i="11"/>
  <c r="O139" i="11"/>
  <c r="K31" i="1"/>
  <c r="L30" i="1"/>
  <c r="K125" i="1"/>
  <c r="N23" i="1"/>
  <c r="K124" i="1"/>
  <c r="W70" i="11"/>
  <c r="X60" i="11"/>
  <c r="X69" i="11"/>
  <c r="X70" i="11"/>
  <c r="Y68" i="11"/>
  <c r="G125" i="11"/>
  <c r="H147" i="11"/>
  <c r="H151" i="11"/>
  <c r="H157" i="11"/>
  <c r="I136" i="2"/>
  <c r="L9" i="1"/>
  <c r="M9" i="1"/>
  <c r="K150" i="1"/>
  <c r="K153" i="1"/>
  <c r="L23" i="1"/>
  <c r="L24" i="1"/>
  <c r="M24" i="1"/>
  <c r="V123" i="11"/>
  <c r="V124" i="11"/>
  <c r="V100" i="11"/>
  <c r="H5" i="20"/>
  <c r="G13" i="20"/>
  <c r="D25" i="15"/>
  <c r="C38" i="25"/>
  <c r="G37" i="25"/>
  <c r="N134" i="11"/>
  <c r="N135" i="11"/>
  <c r="O135" i="11"/>
  <c r="P149" i="11"/>
  <c r="F48" i="19"/>
  <c r="E15" i="21"/>
  <c r="N116" i="11"/>
  <c r="O116" i="11"/>
  <c r="P114" i="11"/>
  <c r="K56" i="1"/>
  <c r="K70" i="1"/>
  <c r="K71" i="1"/>
  <c r="W61" i="11"/>
  <c r="N111" i="11"/>
  <c r="O111" i="11"/>
  <c r="O149" i="11"/>
  <c r="C90" i="1"/>
  <c r="C91" i="1"/>
  <c r="D89" i="1"/>
  <c r="C79" i="1"/>
  <c r="C93" i="1"/>
  <c r="C94" i="1"/>
  <c r="C56" i="1"/>
  <c r="C70" i="1"/>
  <c r="C71" i="1"/>
  <c r="F15" i="21"/>
  <c r="N139" i="11"/>
  <c r="O5" i="11"/>
  <c r="O22" i="11"/>
  <c r="M7" i="11"/>
  <c r="AF70" i="11"/>
  <c r="AG68" i="11"/>
  <c r="M140" i="11"/>
  <c r="R184" i="1"/>
  <c r="R186" i="1"/>
  <c r="R161" i="1"/>
  <c r="R167" i="1"/>
  <c r="R169" i="1"/>
  <c r="R176" i="1"/>
  <c r="R178" i="1"/>
  <c r="C20" i="25"/>
  <c r="G19" i="25"/>
  <c r="H19" i="25"/>
  <c r="O151" i="11"/>
  <c r="G158" i="11"/>
  <c r="V78" i="11"/>
  <c r="D13" i="20"/>
  <c r="N125" i="11"/>
  <c r="O125" i="11"/>
  <c r="P147" i="11"/>
  <c r="L55" i="1"/>
  <c r="L70" i="1"/>
  <c r="M54" i="1"/>
  <c r="E77" i="1"/>
  <c r="D78" i="1"/>
  <c r="D84" i="1"/>
  <c r="D85" i="1"/>
  <c r="D55" i="1"/>
  <c r="D70" i="1"/>
  <c r="E54" i="1"/>
  <c r="D100" i="1"/>
  <c r="D101" i="1"/>
  <c r="C101" i="1"/>
  <c r="E100" i="1"/>
  <c r="E78" i="1"/>
  <c r="F77" i="1"/>
  <c r="E84" i="1"/>
  <c r="E85" i="1"/>
  <c r="C21" i="25"/>
  <c r="G20" i="25"/>
  <c r="H20" i="25"/>
  <c r="C31" i="1"/>
  <c r="D30" i="1"/>
  <c r="D31" i="1"/>
  <c r="D46" i="1"/>
  <c r="E30" i="1"/>
  <c r="E31" i="1"/>
  <c r="E46" i="1"/>
  <c r="F30" i="1"/>
  <c r="F31" i="1"/>
  <c r="F46" i="1"/>
  <c r="AB30" i="1"/>
  <c r="AB31" i="1"/>
  <c r="AB40" i="1"/>
  <c r="Z31" i="1"/>
  <c r="Z40" i="1"/>
  <c r="Y31" i="1"/>
  <c r="M8" i="11"/>
  <c r="N8" i="11"/>
  <c r="M22" i="11"/>
  <c r="M23" i="11"/>
  <c r="N23" i="11"/>
  <c r="AC92" i="11"/>
  <c r="AC93" i="11"/>
  <c r="V82" i="11"/>
  <c r="U83" i="11"/>
  <c r="D71" i="1"/>
  <c r="E89" i="1"/>
  <c r="D90" i="1"/>
  <c r="D93" i="1"/>
  <c r="D94" i="1"/>
  <c r="L71" i="1"/>
  <c r="M55" i="1"/>
  <c r="M70" i="1"/>
  <c r="M71" i="1"/>
  <c r="L77" i="1"/>
  <c r="K78" i="1"/>
  <c r="F13" i="23"/>
  <c r="F14" i="23"/>
  <c r="F58" i="19"/>
  <c r="F60" i="19"/>
  <c r="C39" i="25"/>
  <c r="G38" i="25"/>
  <c r="H38" i="25"/>
  <c r="I5" i="20"/>
  <c r="H13" i="20"/>
  <c r="E25" i="15"/>
  <c r="V125" i="11"/>
  <c r="W125" i="11"/>
  <c r="X125" i="11"/>
  <c r="Y147" i="11"/>
  <c r="U30" i="1"/>
  <c r="U31" i="1"/>
  <c r="U40" i="1"/>
  <c r="S30" i="1"/>
  <c r="S31" i="1"/>
  <c r="S40" i="1"/>
  <c r="R31" i="1"/>
  <c r="K32" i="1"/>
  <c r="K46" i="1"/>
  <c r="K47" i="1"/>
  <c r="L31" i="1"/>
  <c r="L46" i="1"/>
  <c r="L47" i="1"/>
  <c r="F54" i="1"/>
  <c r="F55" i="1"/>
  <c r="F70" i="1"/>
  <c r="E55" i="1"/>
  <c r="E70" i="1"/>
  <c r="N54" i="1"/>
  <c r="N55" i="1"/>
  <c r="N70" i="1"/>
  <c r="P151" i="11"/>
  <c r="H158" i="11"/>
  <c r="E8" i="1"/>
  <c r="E23" i="1"/>
  <c r="D8" i="1"/>
  <c r="N140" i="11"/>
  <c r="O140" i="11"/>
  <c r="P138" i="11"/>
  <c r="AD92" i="11"/>
  <c r="D56" i="1"/>
  <c r="E56" i="1"/>
  <c r="F56" i="1"/>
  <c r="E150" i="1"/>
  <c r="E153" i="1"/>
  <c r="D79" i="1"/>
  <c r="D91" i="1"/>
  <c r="X61" i="11"/>
  <c r="V148" i="11"/>
  <c r="L56" i="1"/>
  <c r="M56" i="1"/>
  <c r="N56" i="1"/>
  <c r="M150" i="1"/>
  <c r="M153" i="1"/>
  <c r="H37" i="25"/>
  <c r="V101" i="11"/>
  <c r="W101" i="11"/>
  <c r="X101" i="11"/>
  <c r="X147" i="11"/>
  <c r="C197" i="1"/>
  <c r="C160" i="1"/>
  <c r="M30" i="1"/>
  <c r="G15" i="21"/>
  <c r="M31" i="1"/>
  <c r="M46" i="1"/>
  <c r="N30" i="1"/>
  <c r="N31" i="1"/>
  <c r="N46" i="1"/>
  <c r="I150" i="2"/>
  <c r="E160" i="1"/>
  <c r="E197" i="1"/>
  <c r="E90" i="1"/>
  <c r="E91" i="1"/>
  <c r="E196" i="1"/>
  <c r="E159" i="1"/>
  <c r="AE92" i="11"/>
  <c r="K101" i="1"/>
  <c r="L101" i="1"/>
  <c r="N100" i="1"/>
  <c r="N101" i="1"/>
  <c r="M47" i="1"/>
  <c r="N47" i="1"/>
  <c r="K79" i="1"/>
  <c r="N71" i="1"/>
  <c r="E93" i="1"/>
  <c r="E94" i="1"/>
  <c r="F89" i="1"/>
  <c r="F90" i="1"/>
  <c r="E71" i="1"/>
  <c r="F71" i="1"/>
  <c r="W82" i="11"/>
  <c r="V83" i="11"/>
  <c r="V92" i="11"/>
  <c r="D106" i="1"/>
  <c r="C107" i="1"/>
  <c r="C108" i="1"/>
  <c r="C102" i="1"/>
  <c r="D102" i="1"/>
  <c r="C169" i="1"/>
  <c r="C186" i="1"/>
  <c r="C178" i="1"/>
  <c r="E79" i="1"/>
  <c r="D23" i="1"/>
  <c r="D24" i="1"/>
  <c r="E24" i="1"/>
  <c r="D9" i="1"/>
  <c r="E9" i="1"/>
  <c r="C150" i="1"/>
  <c r="C153" i="1"/>
  <c r="L32" i="1"/>
  <c r="M32" i="1"/>
  <c r="N32" i="1"/>
  <c r="L150" i="1"/>
  <c r="L153" i="1"/>
  <c r="R32" i="1"/>
  <c r="S32" i="1"/>
  <c r="T32" i="1"/>
  <c r="U32" i="1"/>
  <c r="S150" i="1"/>
  <c r="S152" i="1"/>
  <c r="R40" i="1"/>
  <c r="R41" i="1"/>
  <c r="S41" i="1"/>
  <c r="T41" i="1"/>
  <c r="U41" i="1"/>
  <c r="J5" i="20"/>
  <c r="J13" i="20"/>
  <c r="G25" i="15"/>
  <c r="I13" i="20"/>
  <c r="F25" i="15"/>
  <c r="G39" i="25"/>
  <c r="C40" i="25"/>
  <c r="G40" i="25"/>
  <c r="H40" i="25"/>
  <c r="J150" i="2"/>
  <c r="L78" i="1"/>
  <c r="M77" i="1"/>
  <c r="U84" i="11"/>
  <c r="V84" i="11"/>
  <c r="U92" i="11"/>
  <c r="U93" i="11"/>
  <c r="V93" i="11"/>
  <c r="AD93" i="11"/>
  <c r="AE93" i="11"/>
  <c r="Y32" i="1"/>
  <c r="Z32" i="1"/>
  <c r="AA32" i="1"/>
  <c r="AB32" i="1"/>
  <c r="Z150" i="1"/>
  <c r="Z152" i="1"/>
  <c r="Y40" i="1"/>
  <c r="Y41" i="1"/>
  <c r="Z41" i="1"/>
  <c r="AA41" i="1"/>
  <c r="AB41" i="1"/>
  <c r="C46" i="1"/>
  <c r="C47" i="1"/>
  <c r="D47" i="1"/>
  <c r="E47" i="1"/>
  <c r="F47" i="1"/>
  <c r="C32" i="1"/>
  <c r="D32" i="1"/>
  <c r="E32" i="1"/>
  <c r="F32" i="1"/>
  <c r="D150" i="1"/>
  <c r="D153" i="1"/>
  <c r="C22" i="25"/>
  <c r="G22" i="25"/>
  <c r="G21" i="25"/>
  <c r="H21" i="25"/>
  <c r="F78" i="1"/>
  <c r="F84" i="1"/>
  <c r="F85" i="1"/>
  <c r="F151" i="1"/>
  <c r="D112" i="1"/>
  <c r="C113" i="1"/>
  <c r="C114" i="1"/>
  <c r="E101" i="1"/>
  <c r="F100" i="1"/>
  <c r="F101" i="1"/>
  <c r="D159" i="1"/>
  <c r="D196" i="1"/>
  <c r="W83" i="11"/>
  <c r="W84" i="11"/>
  <c r="H39" i="25"/>
  <c r="H41" i="25"/>
  <c r="G41" i="25"/>
  <c r="D160" i="1"/>
  <c r="D197" i="1"/>
  <c r="C116" i="1"/>
  <c r="C117" i="1"/>
  <c r="X82" i="11"/>
  <c r="W92" i="11"/>
  <c r="F93" i="1"/>
  <c r="F94" i="1"/>
  <c r="L79" i="1"/>
  <c r="L93" i="1"/>
  <c r="E168" i="1"/>
  <c r="E169" i="1"/>
  <c r="E170" i="1"/>
  <c r="E162" i="1"/>
  <c r="E177" i="1"/>
  <c r="E185" i="1"/>
  <c r="F91" i="1"/>
  <c r="F152" i="1"/>
  <c r="E186" i="1"/>
  <c r="E178" i="1"/>
  <c r="D113" i="1"/>
  <c r="E112" i="1"/>
  <c r="H22" i="25"/>
  <c r="H23" i="25"/>
  <c r="G23" i="25"/>
  <c r="S159" i="1"/>
  <c r="D199" i="1"/>
  <c r="W93" i="11"/>
  <c r="M78" i="1"/>
  <c r="N77" i="1"/>
  <c r="N78" i="1"/>
  <c r="I15" i="21"/>
  <c r="S158" i="1"/>
  <c r="D198" i="1"/>
  <c r="C196" i="1"/>
  <c r="C200" i="1"/>
  <c r="C159" i="1"/>
  <c r="F79" i="1"/>
  <c r="F150" i="1"/>
  <c r="F153" i="1"/>
  <c r="E102" i="1"/>
  <c r="F102" i="1"/>
  <c r="G150" i="1"/>
  <c r="D107" i="1"/>
  <c r="D108" i="1"/>
  <c r="E106" i="1"/>
  <c r="K93" i="1"/>
  <c r="K94" i="1"/>
  <c r="L94" i="1"/>
  <c r="K102" i="1"/>
  <c r="L102" i="1"/>
  <c r="M102" i="1"/>
  <c r="N102" i="1"/>
  <c r="O150" i="1"/>
  <c r="AF92" i="11"/>
  <c r="AF93" i="11"/>
  <c r="AG91" i="11"/>
  <c r="H15" i="21"/>
  <c r="Y55" i="1"/>
  <c r="Z55" i="1"/>
  <c r="Z64" i="1"/>
  <c r="AB55" i="1"/>
  <c r="AB64" i="1"/>
  <c r="F196" i="1"/>
  <c r="F159" i="1"/>
  <c r="G23" i="22"/>
  <c r="G24" i="22"/>
  <c r="S184" i="1"/>
  <c r="S176" i="1"/>
  <c r="S177" i="1"/>
  <c r="S178" i="1"/>
  <c r="S167" i="1"/>
  <c r="S161" i="1"/>
  <c r="S185" i="1"/>
  <c r="S168" i="1"/>
  <c r="D116" i="1"/>
  <c r="E179" i="1"/>
  <c r="X83" i="11"/>
  <c r="X92" i="11"/>
  <c r="X93" i="11"/>
  <c r="Y91" i="11"/>
  <c r="N151" i="1"/>
  <c r="X84" i="11"/>
  <c r="W148" i="11"/>
  <c r="D200" i="1"/>
  <c r="D114" i="1"/>
  <c r="E113" i="1"/>
  <c r="E114" i="1"/>
  <c r="K116" i="1"/>
  <c r="K117" i="1"/>
  <c r="E107" i="1"/>
  <c r="E108" i="1"/>
  <c r="F106" i="1"/>
  <c r="F107" i="1"/>
  <c r="F108" i="1"/>
  <c r="G151" i="1"/>
  <c r="C168" i="1"/>
  <c r="C170" i="1"/>
  <c r="C162" i="1"/>
  <c r="C185" i="1"/>
  <c r="C187" i="1"/>
  <c r="C177" i="1"/>
  <c r="C179" i="1"/>
  <c r="F112" i="1"/>
  <c r="F113" i="1"/>
  <c r="F116" i="1"/>
  <c r="E187" i="1"/>
  <c r="N93" i="1"/>
  <c r="M79" i="1"/>
  <c r="N79" i="1"/>
  <c r="N150" i="1"/>
  <c r="D117" i="1"/>
  <c r="D178" i="1"/>
  <c r="D169" i="1"/>
  <c r="D186" i="1"/>
  <c r="D177" i="1"/>
  <c r="D168" i="1"/>
  <c r="D170" i="1"/>
  <c r="D185" i="1"/>
  <c r="D162" i="1"/>
  <c r="R55" i="1"/>
  <c r="S55" i="1"/>
  <c r="S64" i="1"/>
  <c r="U54" i="1"/>
  <c r="U55" i="1"/>
  <c r="U64" i="1"/>
  <c r="S169" i="1"/>
  <c r="F114" i="1"/>
  <c r="G152" i="1"/>
  <c r="G153" i="1"/>
  <c r="U106" i="11"/>
  <c r="V105" i="11"/>
  <c r="F177" i="1"/>
  <c r="F168" i="1"/>
  <c r="F185" i="1"/>
  <c r="AC115" i="11"/>
  <c r="AC116" i="11"/>
  <c r="Y56" i="1"/>
  <c r="Z56" i="1"/>
  <c r="AA56" i="1"/>
  <c r="AB56" i="1"/>
  <c r="AA150" i="1"/>
  <c r="AA152" i="1"/>
  <c r="Y64" i="1"/>
  <c r="Y65" i="1"/>
  <c r="Z65" i="1"/>
  <c r="AA65" i="1"/>
  <c r="AB65" i="1"/>
  <c r="D187" i="1"/>
  <c r="D179" i="1"/>
  <c r="E116" i="1"/>
  <c r="E117" i="1"/>
  <c r="F117" i="1"/>
  <c r="M93" i="1"/>
  <c r="M94" i="1"/>
  <c r="N94" i="1"/>
  <c r="N152" i="1"/>
  <c r="N153" i="1"/>
  <c r="O151" i="1"/>
  <c r="H23" i="22"/>
  <c r="H24" i="22"/>
  <c r="S186" i="1"/>
  <c r="G27" i="22"/>
  <c r="E14" i="21"/>
  <c r="L116" i="1"/>
  <c r="L117" i="1"/>
  <c r="AD115" i="11"/>
  <c r="M116" i="1"/>
  <c r="M117" i="1"/>
  <c r="N116" i="1"/>
  <c r="N117" i="1"/>
  <c r="F197" i="1"/>
  <c r="F160" i="1"/>
  <c r="G159" i="1"/>
  <c r="G196" i="1"/>
  <c r="AC139" i="11"/>
  <c r="AC140" i="11"/>
  <c r="AF115" i="11"/>
  <c r="AE115" i="11"/>
  <c r="E199" i="1"/>
  <c r="T159" i="1"/>
  <c r="W105" i="11"/>
  <c r="V106" i="11"/>
  <c r="V115" i="11"/>
  <c r="V129" i="11"/>
  <c r="U130" i="11"/>
  <c r="U131" i="11"/>
  <c r="O152" i="1"/>
  <c r="O153" i="1"/>
  <c r="AD139" i="11"/>
  <c r="H27" i="22"/>
  <c r="F14" i="21"/>
  <c r="F16" i="21"/>
  <c r="AD116" i="11"/>
  <c r="AE116" i="11"/>
  <c r="AF116" i="11"/>
  <c r="AG114" i="11"/>
  <c r="U107" i="11"/>
  <c r="V107" i="11"/>
  <c r="U115" i="11"/>
  <c r="U116" i="11"/>
  <c r="V116" i="11"/>
  <c r="R56" i="1"/>
  <c r="S56" i="1"/>
  <c r="T56" i="1"/>
  <c r="U56" i="1"/>
  <c r="T150" i="1"/>
  <c r="T152" i="1"/>
  <c r="R64" i="1"/>
  <c r="R65" i="1"/>
  <c r="S65" i="1"/>
  <c r="T65" i="1"/>
  <c r="U65" i="1"/>
  <c r="G197" i="1"/>
  <c r="G160" i="1"/>
  <c r="Y78" i="1"/>
  <c r="Y79" i="1"/>
  <c r="Z78" i="1"/>
  <c r="Z79" i="1"/>
  <c r="AA79" i="1"/>
  <c r="AB78" i="1"/>
  <c r="AF139" i="11"/>
  <c r="AE139" i="11"/>
  <c r="V130" i="11"/>
  <c r="V139" i="11"/>
  <c r="W129" i="11"/>
  <c r="W106" i="11"/>
  <c r="W115" i="11"/>
  <c r="W116" i="11"/>
  <c r="X105" i="11"/>
  <c r="X106" i="11"/>
  <c r="X115" i="11"/>
  <c r="X116" i="11"/>
  <c r="Y114" i="11"/>
  <c r="F178" i="1"/>
  <c r="F179" i="1"/>
  <c r="F186" i="1"/>
  <c r="F187" i="1"/>
  <c r="F169" i="1"/>
  <c r="F170" i="1"/>
  <c r="F162" i="1"/>
  <c r="E198" i="1"/>
  <c r="E200" i="1"/>
  <c r="T158" i="1"/>
  <c r="W107" i="11"/>
  <c r="U139" i="11"/>
  <c r="U140" i="11"/>
  <c r="V140" i="11"/>
  <c r="V131" i="11"/>
  <c r="T177" i="1"/>
  <c r="T168" i="1"/>
  <c r="T185" i="1"/>
  <c r="AD140" i="11"/>
  <c r="AE140" i="11"/>
  <c r="G168" i="1"/>
  <c r="G177" i="1"/>
  <c r="G185" i="1"/>
  <c r="R78" i="1"/>
  <c r="R79" i="1"/>
  <c r="S78" i="1"/>
  <c r="S79" i="1"/>
  <c r="T79" i="1"/>
  <c r="U77" i="1"/>
  <c r="U78" i="1"/>
  <c r="T167" i="1"/>
  <c r="T169" i="1"/>
  <c r="T184" i="1"/>
  <c r="T186" i="1"/>
  <c r="T176" i="1"/>
  <c r="T178" i="1"/>
  <c r="T161" i="1"/>
  <c r="W130" i="11"/>
  <c r="W139" i="11"/>
  <c r="W140" i="11"/>
  <c r="X129" i="11"/>
  <c r="X130" i="11"/>
  <c r="X139" i="11"/>
  <c r="X140" i="11"/>
  <c r="Y138" i="11"/>
  <c r="AB79" i="1"/>
  <c r="AB150" i="1"/>
  <c r="G169" i="1"/>
  <c r="G170" i="1"/>
  <c r="G178" i="1"/>
  <c r="G179" i="1"/>
  <c r="G186" i="1"/>
  <c r="G187" i="1"/>
  <c r="G162" i="1"/>
  <c r="AF140" i="11"/>
  <c r="AG138" i="11"/>
  <c r="W131" i="11"/>
  <c r="X131" i="11"/>
  <c r="Y148" i="11"/>
  <c r="Y151" i="11"/>
  <c r="H159" i="11"/>
  <c r="X107" i="11"/>
  <c r="X148" i="11"/>
  <c r="X151" i="11"/>
  <c r="G159" i="11"/>
  <c r="I23" i="22"/>
  <c r="I24" i="22"/>
  <c r="I27" i="22"/>
  <c r="G14" i="21"/>
  <c r="G16" i="21"/>
  <c r="E8" i="15"/>
  <c r="E5" i="15" s="1"/>
  <c r="E34" i="15" s="1"/>
  <c r="Y84" i="1"/>
  <c r="R101" i="1"/>
  <c r="R102" i="1"/>
  <c r="S101" i="1"/>
  <c r="S102" i="1"/>
  <c r="T102" i="1"/>
  <c r="U100" i="1"/>
  <c r="U101" i="1"/>
  <c r="Y85" i="1"/>
  <c r="Z84" i="1"/>
  <c r="Z85" i="1"/>
  <c r="AA85" i="1"/>
  <c r="Y87" i="1"/>
  <c r="Y88" i="1"/>
  <c r="I10" i="21"/>
  <c r="U79" i="1"/>
  <c r="U150" i="1"/>
  <c r="Z87" i="1"/>
  <c r="AB84" i="1"/>
  <c r="AB87" i="1"/>
  <c r="Y101" i="1"/>
  <c r="Y102" i="1"/>
  <c r="Z101" i="1"/>
  <c r="AB101" i="1"/>
  <c r="R84" i="1"/>
  <c r="S84" i="1"/>
  <c r="S87" i="1"/>
  <c r="U84" i="1"/>
  <c r="U87" i="1"/>
  <c r="Y107" i="1"/>
  <c r="Z107" i="1"/>
  <c r="Z110" i="1"/>
  <c r="AB107" i="1"/>
  <c r="AB110" i="1"/>
  <c r="AB85" i="1"/>
  <c r="AB151" i="1"/>
  <c r="AB152" i="1"/>
  <c r="U102" i="1"/>
  <c r="V150" i="1"/>
  <c r="R85" i="1"/>
  <c r="S85" i="1"/>
  <c r="T85" i="1"/>
  <c r="U85" i="1"/>
  <c r="U151" i="1"/>
  <c r="U152" i="1"/>
  <c r="R87" i="1"/>
  <c r="R88" i="1"/>
  <c r="S88" i="1"/>
  <c r="T88" i="1"/>
  <c r="Z102" i="1"/>
  <c r="AA102" i="1"/>
  <c r="AB102" i="1"/>
  <c r="AC150" i="1"/>
  <c r="Z88" i="1"/>
  <c r="AA88" i="1"/>
  <c r="AB88" i="1"/>
  <c r="S107" i="1"/>
  <c r="S110" i="1"/>
  <c r="U107" i="1"/>
  <c r="U110" i="1"/>
  <c r="R107" i="1"/>
  <c r="F198" i="1"/>
  <c r="U158" i="1"/>
  <c r="F199" i="1"/>
  <c r="U159" i="1"/>
  <c r="R108" i="1"/>
  <c r="S108" i="1"/>
  <c r="T108" i="1"/>
  <c r="U108" i="1"/>
  <c r="V151" i="1"/>
  <c r="V152" i="1"/>
  <c r="R110" i="1"/>
  <c r="R111" i="1"/>
  <c r="S111" i="1"/>
  <c r="T111" i="1"/>
  <c r="U111" i="1"/>
  <c r="U88" i="1"/>
  <c r="Y108" i="1"/>
  <c r="Z108" i="1"/>
  <c r="AA108" i="1"/>
  <c r="AB108" i="1"/>
  <c r="AC151" i="1"/>
  <c r="AC152" i="1"/>
  <c r="Y110" i="1"/>
  <c r="Y111" i="1"/>
  <c r="Z111" i="1"/>
  <c r="AA111" i="1"/>
  <c r="AB111" i="1"/>
  <c r="V159" i="1"/>
  <c r="G199" i="1"/>
  <c r="V158" i="1"/>
  <c r="G198" i="1"/>
  <c r="G200" i="1"/>
  <c r="U176" i="1"/>
  <c r="U167" i="1"/>
  <c r="U184" i="1"/>
  <c r="U161" i="1"/>
  <c r="U177" i="1"/>
  <c r="U168" i="1"/>
  <c r="U185" i="1"/>
  <c r="F200" i="1"/>
  <c r="J24" i="22"/>
  <c r="J23" i="22"/>
  <c r="J27" i="22"/>
  <c r="H14" i="21"/>
  <c r="H16" i="21"/>
  <c r="F8" i="15"/>
  <c r="F5" i="15" s="1"/>
  <c r="F34" i="15" s="1"/>
  <c r="U169" i="1"/>
  <c r="K24" i="22"/>
  <c r="K23" i="22"/>
  <c r="K27" i="22"/>
  <c r="I14" i="21"/>
  <c r="I16" i="21"/>
  <c r="U186" i="1"/>
  <c r="U178" i="1"/>
  <c r="V167" i="1"/>
  <c r="V184" i="1"/>
  <c r="V176" i="1"/>
  <c r="V177" i="1"/>
  <c r="V178" i="1"/>
  <c r="V161" i="1"/>
  <c r="V168" i="1"/>
  <c r="V185" i="1"/>
  <c r="V169" i="1"/>
  <c r="V186" i="1"/>
  <c r="I12" i="21"/>
  <c r="I17" i="21"/>
  <c r="H113" i="28"/>
  <c r="H101" i="28"/>
  <c r="H118" i="28"/>
  <c r="D118" i="28"/>
  <c r="D119" i="28"/>
  <c r="E119" i="28"/>
  <c r="F119" i="28"/>
  <c r="G119" i="28"/>
  <c r="J17" i="15" l="1"/>
  <c r="J23" i="15" s="1"/>
  <c r="J27" i="15" s="1"/>
  <c r="J32" i="15" s="1"/>
  <c r="J36" i="15" s="1"/>
  <c r="J38" i="15" s="1"/>
  <c r="J40" i="15" s="1"/>
  <c r="K17" i="15"/>
  <c r="K23" i="15" s="1"/>
  <c r="K27" i="15" s="1"/>
  <c r="K32" i="15" s="1"/>
  <c r="K36" i="15" s="1"/>
  <c r="K38" i="15" s="1"/>
  <c r="K40" i="15" s="1"/>
  <c r="G5" i="15"/>
  <c r="G34" i="15" s="1"/>
  <c r="C5" i="15"/>
  <c r="C34" i="15" s="1"/>
  <c r="G6" i="15"/>
  <c r="C6" i="15"/>
  <c r="G17" i="15"/>
  <c r="G23" i="15" s="1"/>
  <c r="G27" i="15" s="1"/>
  <c r="G32" i="15" s="1"/>
  <c r="G36" i="15" s="1"/>
  <c r="G38" i="15" s="1"/>
  <c r="G40" i="15" s="1"/>
  <c r="C17" i="15"/>
  <c r="C23" i="15" s="1"/>
  <c r="C27" i="15" s="1"/>
  <c r="C32" i="15" s="1"/>
  <c r="C36" i="15" s="1"/>
  <c r="C38" i="15" s="1"/>
  <c r="C40" i="15" s="1"/>
  <c r="F85" i="27"/>
  <c r="G85" i="27" s="1"/>
  <c r="F149" i="27" s="1"/>
  <c r="F93" i="27"/>
  <c r="F94" i="27" s="1"/>
  <c r="G94" i="27" s="1"/>
  <c r="F152" i="27"/>
  <c r="F158" i="27" s="1"/>
  <c r="F171" i="27" s="1"/>
  <c r="D23" i="27"/>
  <c r="D24" i="27" s="1"/>
  <c r="E24" i="27" s="1"/>
  <c r="F24" i="27" s="1"/>
  <c r="H92" i="27"/>
  <c r="H70" i="27"/>
  <c r="E147" i="27" s="1"/>
  <c r="F111" i="27"/>
  <c r="F112" i="27" s="1"/>
  <c r="G112" i="27" s="1"/>
  <c r="G150" i="27" s="1"/>
  <c r="F65" i="27"/>
  <c r="F66" i="27" s="1"/>
  <c r="G66" i="27" s="1"/>
  <c r="E150" i="27" s="1"/>
  <c r="F101" i="27"/>
  <c r="F55" i="27"/>
  <c r="G2" i="21" l="1"/>
  <c r="G4" i="21" s="1"/>
  <c r="G10" i="21" s="1"/>
  <c r="G12" i="21" s="1"/>
  <c r="G17" i="21" s="1"/>
  <c r="E14" i="15"/>
  <c r="E6" i="15" s="1"/>
  <c r="E17" i="15" s="1"/>
  <c r="E23" i="15" s="1"/>
  <c r="E27" i="15" s="1"/>
  <c r="E32" i="15" s="1"/>
  <c r="E36" i="15" s="1"/>
  <c r="E38" i="15" s="1"/>
  <c r="E40" i="15" s="1"/>
  <c r="F70" i="27"/>
  <c r="F71" i="27" s="1"/>
  <c r="G71" i="27" s="1"/>
  <c r="H69" i="27" s="1"/>
  <c r="F56" i="27"/>
  <c r="G56" i="27" s="1"/>
  <c r="E148" i="27" s="1"/>
  <c r="E152" i="27" s="1"/>
  <c r="E158" i="27" s="1"/>
  <c r="E171" i="27" s="1"/>
  <c r="F116" i="27"/>
  <c r="F117" i="27" s="1"/>
  <c r="G117" i="27" s="1"/>
  <c r="H115" i="27" s="1"/>
  <c r="F102" i="27"/>
  <c r="G102" i="27" s="1"/>
  <c r="G148" i="27" s="1"/>
  <c r="G152" i="27" s="1"/>
  <c r="G158" i="27" s="1"/>
  <c r="G171" i="27" s="1"/>
  <c r="D14" i="15" l="1"/>
  <c r="D6" i="15" s="1"/>
  <c r="D17" i="15" s="1"/>
  <c r="D23" i="15" s="1"/>
  <c r="D27" i="15" s="1"/>
  <c r="D32" i="15" s="1"/>
  <c r="D36" i="15" s="1"/>
  <c r="D38" i="15" s="1"/>
  <c r="D40" i="15" s="1"/>
  <c r="F2" i="21"/>
  <c r="F4" i="21" s="1"/>
  <c r="F10" i="21" s="1"/>
  <c r="F12" i="21" s="1"/>
  <c r="F17" i="21" s="1"/>
  <c r="F14" i="15"/>
  <c r="F6" i="15" s="1"/>
  <c r="F17" i="15" s="1"/>
  <c r="F23" i="15" s="1"/>
  <c r="F27" i="15" s="1"/>
  <c r="F32" i="15" s="1"/>
  <c r="F36" i="15" s="1"/>
  <c r="F38" i="15" s="1"/>
  <c r="F40" i="15" s="1"/>
  <c r="H2" i="21"/>
  <c r="H4" i="21" s="1"/>
  <c r="H10" i="21" s="1"/>
  <c r="H12" i="21" s="1"/>
  <c r="H17" i="21" s="1"/>
  <c r="F18" i="21" l="1"/>
  <c r="G18" i="21" s="1"/>
  <c r="H18" i="21" s="1"/>
  <c r="I18" i="21" s="1"/>
  <c r="F15" i="23"/>
  <c r="F17" i="23" s="1"/>
  <c r="H9" i="24" s="1"/>
  <c r="I11" i="24" l="1"/>
  <c r="I10" i="24"/>
  <c r="H14" i="24"/>
  <c r="I12" i="24"/>
  <c r="I14" i="24" l="1"/>
</calcChain>
</file>

<file path=xl/sharedStrings.xml><?xml version="1.0" encoding="utf-8"?>
<sst xmlns="http://schemas.openxmlformats.org/spreadsheetml/2006/main" count="5172" uniqueCount="842">
  <si>
    <t>Coût Unitaire</t>
  </si>
  <si>
    <t>Production brute</t>
  </si>
  <si>
    <t>PRODUCTIONS</t>
  </si>
  <si>
    <t>Octobre</t>
  </si>
  <si>
    <t xml:space="preserve">Novembre </t>
  </si>
  <si>
    <t>Décembre</t>
  </si>
  <si>
    <t>PRODUITS COMMERCIALISES</t>
  </si>
  <si>
    <t>Sous-total</t>
  </si>
  <si>
    <t>Sous-total cumulé</t>
  </si>
  <si>
    <t>1er trimestre</t>
  </si>
  <si>
    <t>3ème trimestre</t>
  </si>
  <si>
    <t>4ème trimestre</t>
  </si>
  <si>
    <t>Produit brut nettoyé ou non (tonnes)</t>
  </si>
  <si>
    <t>Produits à v. ajoutée sac de 10 - 50 kg  (tonnes)</t>
  </si>
  <si>
    <t>Produits à v. ajoutée sac &lt; 05 kg (tonnes)</t>
  </si>
  <si>
    <t xml:space="preserve">Chiffres d'affaires </t>
  </si>
  <si>
    <t>Total vendu</t>
  </si>
  <si>
    <t xml:space="preserve">Total des ventes </t>
  </si>
  <si>
    <t>Chiffres d'affaires</t>
  </si>
  <si>
    <t>Coût unitaire</t>
  </si>
  <si>
    <t>Par intermédiation</t>
  </si>
  <si>
    <t>Production à valeur ajoutée</t>
  </si>
  <si>
    <t>TOTAUX CONSOLIDES</t>
  </si>
  <si>
    <t>Totaux</t>
  </si>
  <si>
    <t>Total Acheté</t>
  </si>
  <si>
    <t xml:space="preserve">Matière première </t>
  </si>
  <si>
    <t>Achat de matière première</t>
  </si>
  <si>
    <t xml:space="preserve">Total acheté </t>
  </si>
  <si>
    <t>Achat de production</t>
  </si>
  <si>
    <t>Totaux cumulés</t>
  </si>
  <si>
    <t>Total des achats</t>
  </si>
  <si>
    <t>Total achat</t>
  </si>
  <si>
    <t xml:space="preserve"> </t>
  </si>
  <si>
    <t>Unité</t>
  </si>
  <si>
    <t>Subventions</t>
  </si>
  <si>
    <t xml:space="preserve">3 = Cotisations diverses </t>
  </si>
  <si>
    <t>4 = Charges de personnel</t>
  </si>
  <si>
    <t xml:space="preserve">5 = Dotation aux amortissements et provisions </t>
  </si>
  <si>
    <t xml:space="preserve">9 = Dividendes ou prélèvements </t>
  </si>
  <si>
    <t>LIBELLE</t>
  </si>
  <si>
    <t>Nature</t>
  </si>
  <si>
    <t>Montant</t>
  </si>
  <si>
    <t>Foncier</t>
  </si>
  <si>
    <t>Fonction</t>
  </si>
  <si>
    <t>Superficie</t>
  </si>
  <si>
    <t>Nombre</t>
  </si>
  <si>
    <t>Cout total</t>
  </si>
  <si>
    <t>Entrepots</t>
  </si>
  <si>
    <t>300 m²</t>
  </si>
  <si>
    <t>Local</t>
  </si>
  <si>
    <t>70 m²</t>
  </si>
  <si>
    <t>TOTAL</t>
  </si>
  <si>
    <t>FONCTION</t>
  </si>
  <si>
    <t>INSTALLATION</t>
  </si>
  <si>
    <t>1 Ha</t>
  </si>
  <si>
    <t>Déplacement de techniciens  formation</t>
  </si>
  <si>
    <t>TOTAUX AMENAGEMENT &amp; INFRASTRUCTURES</t>
  </si>
  <si>
    <t>TOTAUX</t>
  </si>
  <si>
    <t>Assistante de direction</t>
  </si>
  <si>
    <t>POSTE</t>
  </si>
  <si>
    <t>Groupe Haraz s.a</t>
  </si>
  <si>
    <t>ETUDES APPROFONDIES</t>
  </si>
  <si>
    <t>Intrants</t>
  </si>
  <si>
    <t>Autres produits</t>
  </si>
  <si>
    <t>MARKETING &amp; ACTIONS COMMERCIALES</t>
  </si>
  <si>
    <t>AO commodités</t>
  </si>
  <si>
    <t>Etudes économiques et financières approfondies</t>
  </si>
  <si>
    <t xml:space="preserve">FINANCEMENTS </t>
  </si>
  <si>
    <t>Négociations banques locales</t>
  </si>
  <si>
    <t>Autres institutions financières</t>
  </si>
  <si>
    <t>Emballage et Conditionnements divers</t>
  </si>
  <si>
    <t>ACTIVITES</t>
  </si>
  <si>
    <t>FONCIERS &amp; TRAVAUX D'AMENAGEMENTS</t>
  </si>
  <si>
    <t>MOYENS ROULANTS &amp; AUTRES EQUIPEMENTS</t>
  </si>
  <si>
    <t>RECRUTEMENT &amp; FORMATION DU PERSONNEL</t>
  </si>
  <si>
    <t>CONSTITUTION &amp; ETABLISSEMENT</t>
  </si>
  <si>
    <t>ACHATS &amp; INSTALLATIONS EQUIPEMENTS INDUSTRIELS</t>
  </si>
  <si>
    <t>APPROVISIONNEMENTS DE BASE</t>
  </si>
  <si>
    <t>TOTAUX EQUIPEMENTS INDUSTRIELS</t>
  </si>
  <si>
    <t>Désignation</t>
  </si>
  <si>
    <t>Prix unitaire</t>
  </si>
  <si>
    <t>Prix total</t>
  </si>
  <si>
    <t>Table de réunion</t>
  </si>
  <si>
    <t>Chaise</t>
  </si>
  <si>
    <t>Bureau direction</t>
  </si>
  <si>
    <t>Fauteuil</t>
  </si>
  <si>
    <t>Bureau assistante</t>
  </si>
  <si>
    <t>Armoires</t>
  </si>
  <si>
    <t>Banc d'attente</t>
  </si>
  <si>
    <t>Autres matériels</t>
  </si>
  <si>
    <t>Bureau Chef d'unité</t>
  </si>
  <si>
    <t>MOYENS ROULANTS - DIRECTION</t>
  </si>
  <si>
    <t>Moto</t>
  </si>
  <si>
    <t>TOTAUX MATERIELS DE BUREAU</t>
  </si>
  <si>
    <t>DESIGNATION</t>
  </si>
  <si>
    <t>MONTANT</t>
  </si>
  <si>
    <t>TOTAUX MATERIELS ROULANTS</t>
  </si>
  <si>
    <t>Communication publicité</t>
  </si>
  <si>
    <t>Marque et dépôt (forfait)</t>
  </si>
  <si>
    <t>CHARGES IMMOBILISEES</t>
  </si>
  <si>
    <t>Missions à l'extérieur</t>
  </si>
  <si>
    <t xml:space="preserve">Agréments divers </t>
  </si>
  <si>
    <t>TOTAUX MOYENS ROULANTS</t>
  </si>
  <si>
    <t>TOTAL DES INVESTISSEMENTS DE BASE</t>
  </si>
  <si>
    <t>IMMOBILISATIONS INCORPORELLES - TOTAL DU GROUPE HARAZ</t>
  </si>
  <si>
    <t xml:space="preserve">IMMOBILISATIONS CORPORELLES - TOTAL DU GROUPE HARAZ </t>
  </si>
  <si>
    <t>2ème trimestre</t>
  </si>
  <si>
    <t>Montant total (sur base total achat)</t>
  </si>
  <si>
    <t>Porte - charge Manitou</t>
  </si>
  <si>
    <t>Comptable</t>
  </si>
  <si>
    <t>Resp Ressources humaines &amp; Matériels</t>
  </si>
  <si>
    <t>Chef de département production</t>
  </si>
  <si>
    <t>Responsable approvisionnement</t>
  </si>
  <si>
    <t xml:space="preserve">Salaire </t>
  </si>
  <si>
    <t>Avantage</t>
  </si>
  <si>
    <t>Ch Sociale</t>
  </si>
  <si>
    <t>Base de rémunération</t>
  </si>
  <si>
    <t>Effectif à terme</t>
  </si>
  <si>
    <t>TOTAUX AVANTAGES</t>
  </si>
  <si>
    <t>TOTAUX SALAIRES DE BASE</t>
  </si>
  <si>
    <t>EFFECTIF A TERME</t>
  </si>
  <si>
    <t>Chauffeur</t>
  </si>
  <si>
    <t>Planton coursier</t>
  </si>
  <si>
    <t>Gardien/ Sécurité</t>
  </si>
  <si>
    <t>Magasinier</t>
  </si>
  <si>
    <t>Secrétaire comptable</t>
  </si>
  <si>
    <t>500 m²</t>
  </si>
  <si>
    <t>Commissions</t>
  </si>
  <si>
    <t>Charges sociales</t>
  </si>
  <si>
    <t>Salaires &amp; avantages</t>
  </si>
  <si>
    <t>TOTAUX SALAIRES &amp; AVANTAGES</t>
  </si>
  <si>
    <t>Montant Unit.</t>
  </si>
  <si>
    <t>Montant total</t>
  </si>
  <si>
    <t>Contrats internationaux</t>
  </si>
  <si>
    <t>Assurances et divers</t>
  </si>
  <si>
    <t>PRODUITS</t>
  </si>
  <si>
    <t>Immobilisations incorporelles</t>
  </si>
  <si>
    <t>Fonciers</t>
  </si>
  <si>
    <t>Montant initial</t>
  </si>
  <si>
    <t>Matériels de bureau</t>
  </si>
  <si>
    <t>Moyens roulants</t>
  </si>
  <si>
    <t>Durée</t>
  </si>
  <si>
    <t>Imprimantes</t>
  </si>
  <si>
    <t>INFORMATIQUE DIRECTION GENERALE</t>
  </si>
  <si>
    <t>INFORMATIQUE UNITE GOMME</t>
  </si>
  <si>
    <t>Autres photocopieurs</t>
  </si>
  <si>
    <t>INFORMATIQUE DIRECTION</t>
  </si>
  <si>
    <t>Informatiques et reproduction</t>
  </si>
  <si>
    <t>Investissement</t>
  </si>
  <si>
    <t>Frais de carburant</t>
  </si>
  <si>
    <t>Fournitures de bureau</t>
  </si>
  <si>
    <t>Achat de petits matériels</t>
  </si>
  <si>
    <t>Frais de transport</t>
  </si>
  <si>
    <t>Voyages et déplacements</t>
  </si>
  <si>
    <t>Loyers et charges locatives</t>
  </si>
  <si>
    <t>Entretien (locaux, matériel)</t>
  </si>
  <si>
    <t>Documentation</t>
  </si>
  <si>
    <t>Frais de formation</t>
  </si>
  <si>
    <t>Autres charges externes</t>
  </si>
  <si>
    <t xml:space="preserve">TOTAL </t>
  </si>
  <si>
    <t>Redevances diverses</t>
  </si>
  <si>
    <t>Assistance extérieure</t>
  </si>
  <si>
    <t>UNITE</t>
  </si>
  <si>
    <t>Actifs cycliques</t>
  </si>
  <si>
    <t>Stock de matières premières</t>
  </si>
  <si>
    <t>Stock de fournitures et services extérieurs</t>
  </si>
  <si>
    <t xml:space="preserve">Total   </t>
  </si>
  <si>
    <t>Passifs cycliques</t>
  </si>
  <si>
    <t>Dettes fiscales</t>
  </si>
  <si>
    <t>Dettes sociales</t>
  </si>
  <si>
    <t>Total</t>
  </si>
  <si>
    <t>BFR (arrondi)</t>
  </si>
  <si>
    <t>Variation du BFR</t>
  </si>
  <si>
    <t>Patentes</t>
  </si>
  <si>
    <t>BESOIN EN FONDS DE ROULEMENT</t>
  </si>
  <si>
    <t>Charges immobilisées</t>
  </si>
  <si>
    <t xml:space="preserve">Immobilisations incorporelles </t>
  </si>
  <si>
    <t xml:space="preserve">Immobilisations corporelles </t>
  </si>
  <si>
    <t>Total des investissements de base</t>
  </si>
  <si>
    <t>BFR</t>
  </si>
  <si>
    <t>COUT DU PROJET</t>
  </si>
  <si>
    <t>%</t>
  </si>
  <si>
    <t>Coût total du projet</t>
  </si>
  <si>
    <t>Emprunt</t>
  </si>
  <si>
    <t>SCHEMA DE FINANCEMENT</t>
  </si>
  <si>
    <t>Poste</t>
  </si>
  <si>
    <t>Apport en capital</t>
  </si>
  <si>
    <t>Apport en compte courant associé</t>
  </si>
  <si>
    <r>
      <t>E = Résultat courant avant impôt</t>
    </r>
    <r>
      <rPr>
        <sz val="12"/>
        <rFont val="Calibri"/>
        <family val="2"/>
        <scheme val="minor"/>
      </rPr>
      <t xml:space="preserve"> : D - (6+7) </t>
    </r>
  </si>
  <si>
    <r>
      <t xml:space="preserve">B = Valeur ajoutée </t>
    </r>
    <r>
      <rPr>
        <sz val="12"/>
        <color theme="0"/>
        <rFont val="Calibri"/>
        <family val="2"/>
        <scheme val="minor"/>
      </rPr>
      <t xml:space="preserve">: A - (1+2) </t>
    </r>
  </si>
  <si>
    <r>
      <t>C = Excédent brut d'exploitation</t>
    </r>
    <r>
      <rPr>
        <sz val="12"/>
        <color theme="0"/>
        <rFont val="Calibri"/>
        <family val="2"/>
        <scheme val="minor"/>
      </rPr>
      <t xml:space="preserve"> : B - (3+ 4)</t>
    </r>
  </si>
  <si>
    <r>
      <t>D = Résultat d'exploitation</t>
    </r>
    <r>
      <rPr>
        <sz val="12"/>
        <color theme="0"/>
        <rFont val="Calibri"/>
        <family val="2"/>
        <scheme val="minor"/>
      </rPr>
      <t xml:space="preserve"> : C - 5 </t>
    </r>
  </si>
  <si>
    <r>
      <t>F = Résultat de l'exercice</t>
    </r>
    <r>
      <rPr>
        <sz val="12"/>
        <color theme="0"/>
        <rFont val="Calibri"/>
        <family val="2"/>
        <scheme val="minor"/>
      </rPr>
      <t xml:space="preserve"> : E - 8 </t>
    </r>
  </si>
  <si>
    <r>
      <t>G = Résultat non distribué</t>
    </r>
    <r>
      <rPr>
        <sz val="12"/>
        <color theme="0"/>
        <rFont val="Calibri"/>
        <family val="2"/>
        <scheme val="minor"/>
      </rPr>
      <t xml:space="preserve"> : F - 9 </t>
    </r>
  </si>
  <si>
    <r>
      <t>H = Autofinancement</t>
    </r>
    <r>
      <rPr>
        <sz val="12"/>
        <color theme="0"/>
        <rFont val="Calibri"/>
        <family val="2"/>
        <scheme val="minor"/>
      </rPr>
      <t xml:space="preserve"> : G + 5 </t>
    </r>
  </si>
  <si>
    <t>TOTAUX AMENAGEMENTS &amp; CONSTRUCTIONS</t>
  </si>
  <si>
    <t>CHARGE DU PERSONNEL</t>
  </si>
  <si>
    <t>TOTAUX MATERIELS INFORMATIQUES &amp; REPROGRAPHIE</t>
  </si>
  <si>
    <t>Connexion internet</t>
  </si>
  <si>
    <t>Marketing Com/RP -R&amp;D</t>
  </si>
  <si>
    <t xml:space="preserve">Assurances locaux et moyens roulants </t>
  </si>
  <si>
    <t>Frais de téléphone</t>
  </si>
  <si>
    <t>Coût unitaire (marge d'intermédiation)</t>
  </si>
  <si>
    <t>EFFECTIF TOTAL</t>
  </si>
  <si>
    <t>EVOLUTION DES ACHATS DE LA GOMME ARABIQUE ET SA TRANSFORMATION</t>
  </si>
  <si>
    <t>CHARGES D'EXPLOITATION TOTALES</t>
  </si>
  <si>
    <t>Coût du projet</t>
  </si>
  <si>
    <t>TABLEAU D'AMORTISSEMENTS TECHNIQUES</t>
  </si>
  <si>
    <t>CFPB</t>
  </si>
  <si>
    <t>Valeur Vénale</t>
  </si>
  <si>
    <t>Valeur locative</t>
  </si>
  <si>
    <t>Abattement</t>
  </si>
  <si>
    <t>Base Imposable</t>
  </si>
  <si>
    <t>Unité sésame</t>
  </si>
  <si>
    <t>Unité gomme</t>
  </si>
  <si>
    <t>Impot Minimum Fiscal (Voir IS)</t>
  </si>
  <si>
    <t>Construction</t>
  </si>
  <si>
    <t>Véhicule Prado</t>
  </si>
  <si>
    <t xml:space="preserve">Camion de transport </t>
  </si>
  <si>
    <r>
      <t>20</t>
    </r>
    <r>
      <rPr>
        <sz val="12"/>
        <color theme="1"/>
        <rFont val="Calibri"/>
        <family val="2"/>
        <scheme val="minor"/>
      </rPr>
      <t>00 m²</t>
    </r>
  </si>
  <si>
    <t>FF</t>
  </si>
  <si>
    <t>INFORMATIQUE UNITE SESAME &amp; ARACHIDE</t>
  </si>
  <si>
    <t>Coût Unitaire / tonne</t>
  </si>
  <si>
    <t>Production tonnes / an</t>
  </si>
  <si>
    <t>GOMME ARABIQUE TALHA</t>
  </si>
  <si>
    <t>Eau &amp; Electricité</t>
  </si>
  <si>
    <t>Px Rv / tonne</t>
  </si>
  <si>
    <t>Achat équipement importation</t>
  </si>
  <si>
    <t>Unité Provincialle</t>
  </si>
  <si>
    <t>Autres</t>
  </si>
  <si>
    <t xml:space="preserve">Négociations AfricEximbank </t>
  </si>
  <si>
    <t>FINANCEMENT ET CHARGES D'INVESTISSEMENT</t>
  </si>
  <si>
    <t>1) FINANCEMENT</t>
  </si>
  <si>
    <t>Coût Investissement</t>
  </si>
  <si>
    <t>Financement</t>
  </si>
  <si>
    <t xml:space="preserve">Amortissement </t>
  </si>
  <si>
    <t>Emprunt organisme</t>
  </si>
  <si>
    <t>2) TABLEAU REMBOURSEMENT EMPRUNTS</t>
  </si>
  <si>
    <t>Année</t>
  </si>
  <si>
    <t>Taux</t>
  </si>
  <si>
    <t>Remboursement Capital</t>
  </si>
  <si>
    <t>Frais Financiers</t>
  </si>
  <si>
    <t>3) CHARGES D'INVESTISSEMENT</t>
  </si>
  <si>
    <t>Charges d'investissement = 25 960,00€ + 6 250,00€ = 32 210,00 €/AN</t>
  </si>
  <si>
    <t>6 = Charges financières sur dettes à moyen et long terme (8% sur 7 ans)</t>
  </si>
  <si>
    <t>Compte courant</t>
  </si>
  <si>
    <t>AMENAGEMENTS &amp; CONSTRUCTIONS -  CAP de 100 ha</t>
  </si>
  <si>
    <t>Bureau de gestion pour les 10 CAP</t>
  </si>
  <si>
    <t>200 m²</t>
  </si>
  <si>
    <t>350 m²</t>
  </si>
  <si>
    <t>100 Ha</t>
  </si>
  <si>
    <t>5 Ha</t>
  </si>
  <si>
    <t>4000 ml</t>
  </si>
  <si>
    <t>15 Ha</t>
  </si>
  <si>
    <t>10 Ha</t>
  </si>
  <si>
    <t>60 Ha</t>
  </si>
  <si>
    <t>Cloture</t>
  </si>
  <si>
    <t>Cartographie</t>
  </si>
  <si>
    <t>Défrichage - débroussaillage, enlèvement de la masse racinaire</t>
  </si>
  <si>
    <t>100 m²</t>
  </si>
  <si>
    <t>Magasin du groupement</t>
  </si>
  <si>
    <t xml:space="preserve">Bureau  CAP </t>
  </si>
  <si>
    <t>AMENAGEMENTS &amp; CONSTRUCTIONS - Bureau cooperative pour 10 unités de 100 ha</t>
  </si>
  <si>
    <t>AMENAGEMENTS &amp; CONSTRUCTION VOLET ELEVAGE</t>
  </si>
  <si>
    <t>AMENAGEMENTS &amp; CONSTRUCTION CAP  100 HA</t>
  </si>
  <si>
    <t>CHARGES BUREAU DES COOPERATIVES 1/10</t>
  </si>
  <si>
    <t>Tank de stockage et unité de maintenance</t>
  </si>
  <si>
    <t>Moissonneuses-batteuses</t>
  </si>
  <si>
    <t>Décorticeur d’arachide</t>
  </si>
  <si>
    <t>Planteur de pommes de terre</t>
  </si>
  <si>
    <t>Récolteuse de pommes de terre</t>
  </si>
  <si>
    <t xml:space="preserve">EQUIPEMENTS </t>
  </si>
  <si>
    <t>Tracteurs de grande taille 75 à 90 CV</t>
  </si>
  <si>
    <t>Charrue Ripper/ Cultivateur / Charrue à disques / Rotavator</t>
  </si>
  <si>
    <t>Puits tubulaires, y compris forage et pompes</t>
  </si>
  <si>
    <t>Panneaux solaires avec onduleur et batterie 25 KVA</t>
  </si>
  <si>
    <t>INFRASTRUCTURES</t>
  </si>
  <si>
    <t>Aérateur et humidificateur d'air</t>
  </si>
  <si>
    <t>EQUIPEMENTS &amp; INFRASTRUCTURES VOLET ELEVAGE</t>
  </si>
  <si>
    <t>Fauteuil direction</t>
  </si>
  <si>
    <t>MATERIELS DE BUREAU - UNITE AGRICOLE</t>
  </si>
  <si>
    <t>MATERIELS DE BUREAU - UNITE ELEVAGE</t>
  </si>
  <si>
    <t>MOYENS ROULANTS - UNITE AGRICOLE</t>
  </si>
  <si>
    <t>MOYENS ROULANTS - UNITE ELEVAGE</t>
  </si>
  <si>
    <t>INFORMATIQUE UNITE ELEVAGE</t>
  </si>
  <si>
    <t>INFORMATIQUE  UNITE AGRICOLE</t>
  </si>
  <si>
    <t xml:space="preserve">MATERIELS DE BUREAU - DIRECTION </t>
  </si>
  <si>
    <t>Porte - charge tricycle</t>
  </si>
  <si>
    <t xml:space="preserve">DIRECTION </t>
  </si>
  <si>
    <t>Conseiller Action Solidaire (partiel)</t>
  </si>
  <si>
    <t>Nettoyage ménage &amp; jardinier</t>
  </si>
  <si>
    <t>Chef d'unité (y compris activités administratives)</t>
  </si>
  <si>
    <t>Chef de zone d'exploitation (producteur agricole reconnu, responsable de groupe)</t>
  </si>
  <si>
    <t>Manœuvre (manutention sur site d'exploitation)</t>
  </si>
  <si>
    <t>Responsable de production agricole</t>
  </si>
  <si>
    <t>Technicien production / opérateur engin</t>
  </si>
  <si>
    <t>Manœuvre (bouvier)</t>
  </si>
  <si>
    <t>Constitution cooperative</t>
  </si>
  <si>
    <t>Charge  enregistrement au programme Baghara</t>
  </si>
  <si>
    <t>Missions et Etudes techniques sur site</t>
  </si>
  <si>
    <t>Logiciel de Gestion commerciale 1/10</t>
  </si>
  <si>
    <t>Site Internet / Intranet global 1/10</t>
  </si>
  <si>
    <t>Kompass 1/10</t>
  </si>
  <si>
    <t>Formations administration &amp; management 1/10</t>
  </si>
  <si>
    <t>CHARGE D'EXPLOITATION UNITE AGRICULTURE</t>
  </si>
  <si>
    <t>CHARGE D'EXPLOITATION UNITE ELEVAGE</t>
  </si>
  <si>
    <t>UNITE AGRICULTURE</t>
  </si>
  <si>
    <t>UNITE ELEVAGE</t>
  </si>
  <si>
    <t xml:space="preserve">CHARGE D'EXPLOITATION DIRECTION </t>
  </si>
  <si>
    <t>Vache laitiere (tete)</t>
  </si>
  <si>
    <t>alimentation journaliere (kg)</t>
  </si>
  <si>
    <t>Px Rv / tete</t>
  </si>
  <si>
    <t>Alimentation 5kg / tete / jour</t>
  </si>
  <si>
    <t>Transports par bouvier (coût /tete)</t>
  </si>
  <si>
    <t>Px Rv aliment tete/ an</t>
  </si>
  <si>
    <t>VACHE LAITIERE 2026</t>
  </si>
  <si>
    <t>VACHE LAITIERE 2027</t>
  </si>
  <si>
    <t>VACHE LAITIERE 2028</t>
  </si>
  <si>
    <t>VACHE LAITIERE 2029</t>
  </si>
  <si>
    <t>VACHE LAITIERE 2030</t>
  </si>
  <si>
    <t>VACHE LAITIERE</t>
  </si>
  <si>
    <t xml:space="preserve">VOLET ELEVAGE / ACHATS MATIERES PREMIERES / AUTRES FOURNITURES &amp; TRANSPORT  </t>
  </si>
  <si>
    <t>BOVIN D'AMBOUCHE</t>
  </si>
  <si>
    <t>Production tete / an</t>
  </si>
  <si>
    <t>POULE PONDEUSE</t>
  </si>
  <si>
    <t>POULET DE CHAIR</t>
  </si>
  <si>
    <t>BOVIN D'AMBOUCHE 2026</t>
  </si>
  <si>
    <t>BOVIN D'AMBOUCHE 2027</t>
  </si>
  <si>
    <t>BOVIN D'AMBOUCHE 2028</t>
  </si>
  <si>
    <t>BOVIN D'AMBOUCHE 2029</t>
  </si>
  <si>
    <t>BOVIN D'AMBOUCHE 2030</t>
  </si>
  <si>
    <t>Transports par vehicule (coût /tete)</t>
  </si>
  <si>
    <t>Bovin d'ambouche</t>
  </si>
  <si>
    <t xml:space="preserve">Vache laitiere </t>
  </si>
  <si>
    <t>BOvin d'ambouche</t>
  </si>
  <si>
    <t xml:space="preserve">POULE PONDEUSE </t>
  </si>
  <si>
    <t>Alimentation 15kg / 100 poules / jour</t>
  </si>
  <si>
    <t>Poule pondeuse (Poussin 1j)</t>
  </si>
  <si>
    <t>Alimentation 12kg / 100 poules / jour</t>
  </si>
  <si>
    <t>Px Rv / poule / an</t>
  </si>
  <si>
    <t>POULE PONDEUSE 	 2026</t>
  </si>
  <si>
    <t>POULE PONDEUSE 	 2027</t>
  </si>
  <si>
    <t>POULE PONDEUSE 	 2028</t>
  </si>
  <si>
    <t>POULE PONDEUSE 	 2029</t>
  </si>
  <si>
    <t>POULE PONDEUSE 	 2030</t>
  </si>
  <si>
    <t>POULET DE CHAIR 2026</t>
  </si>
  <si>
    <t>POULET DE CHAIR 2027</t>
  </si>
  <si>
    <t>POULET DE CHAIR 2028</t>
  </si>
  <si>
    <t>POULET DE CHAIR 2029</t>
  </si>
  <si>
    <t>POULET DE CHAIR 2030</t>
  </si>
  <si>
    <t>Poulet de CHAIR (poussin 1j)</t>
  </si>
  <si>
    <t xml:space="preserve">Coût Unitaire </t>
  </si>
  <si>
    <t>Total achat N-1</t>
  </si>
  <si>
    <t>EVOLUTION DES VENTES DU LAIT ET PRODUIT D'ELEVAGE</t>
  </si>
  <si>
    <t>Production de lait</t>
  </si>
  <si>
    <t xml:space="preserve">Production </t>
  </si>
  <si>
    <t>TOTAL CHIFFRE D'AFFAIRES ELEVAGE BOVIN</t>
  </si>
  <si>
    <t>ELEVAGE  LAITIER</t>
  </si>
  <si>
    <t xml:space="preserve">CHIFFRES D'AFFAIRES TOTAUX CONSOLIDES ELEVAGE LAITIER &amp; BOVIN </t>
  </si>
  <si>
    <t>TOTAL CHIFFRE D'AFFAIRES ELEVAGE LAITIER</t>
  </si>
  <si>
    <t xml:space="preserve">Produits à v. ajoutée </t>
  </si>
  <si>
    <t xml:space="preserve">EVOLUTION DES VENTES BOVIN D'AMBOUCHE </t>
  </si>
  <si>
    <t xml:space="preserve">BOVIN D'AMBOUCHE </t>
  </si>
  <si>
    <t>POULE PONDEUSE 2026</t>
  </si>
  <si>
    <t>POULE PONDEUSE 2027</t>
  </si>
  <si>
    <t>POULE PONDEUSE 2028</t>
  </si>
  <si>
    <t>POULE PONDEUSE 2029</t>
  </si>
  <si>
    <t>POULE PONDEUSE 2030</t>
  </si>
  <si>
    <t>Production d'oeuf (1000 oef/ jour)</t>
  </si>
  <si>
    <t xml:space="preserve">EVOLUTION DES VENTES DE POULET DE CHAIR </t>
  </si>
  <si>
    <t xml:space="preserve">POULET DE CHAIR </t>
  </si>
  <si>
    <t>EVOLUTION DES VENTES D'OEUFS</t>
  </si>
  <si>
    <t>Production poulette de 1,5 kg</t>
  </si>
  <si>
    <t>CHIFFRES D'AFFAIRES TOTAUX CONSOLIDES POULE PONDEUSE &amp; POULET DE CHAIR</t>
  </si>
  <si>
    <t>TOTAL CHIFFRE POULE PONDEUSE</t>
  </si>
  <si>
    <t>TOTAL CHIFFRE POULET DE CHAIR</t>
  </si>
  <si>
    <t>Commission commerciale POULE PONDEUSE</t>
  </si>
  <si>
    <t>Commission commerciale POULET DE CHAIR</t>
  </si>
  <si>
    <t xml:space="preserve">PRIME D'ENCOURAGEMENT  SUR RESULTAT ELEVAGE LAITIER &amp; BOVIN </t>
  </si>
  <si>
    <t xml:space="preserve">DEVELOPPEMENT - COMMUNICATION - MARKETING RELATIONS PUBLIQUES ELEVAGE LAITIER &amp; BOVIN </t>
  </si>
  <si>
    <t xml:space="preserve">ASSISTANCES &amp; SERVICES EXTERIEURS ELEVAGE LAITIER &amp; BOVIN </t>
  </si>
  <si>
    <t>Produits à valeur ajoutée  (coquelet)</t>
  </si>
  <si>
    <t>Poulet de chair de 2 kg</t>
  </si>
  <si>
    <t>Coût unitaire (2000 Fr kg)</t>
  </si>
  <si>
    <t>TOTAL CHIFFRE D'AFFAIRES POULET DE CHAIR</t>
  </si>
  <si>
    <t>Production coquelet de 1  kg</t>
  </si>
  <si>
    <t>ELEVAGE LAITIER</t>
  </si>
  <si>
    <t xml:space="preserve"> ELEVAGE BOVIN</t>
  </si>
  <si>
    <t>B = Chiffre d'affaires agriculture</t>
  </si>
  <si>
    <t>1 = Achats consommés agriculture</t>
  </si>
  <si>
    <t>2 = Autres Charges  + impôt et taxe agriculture</t>
  </si>
  <si>
    <t>A = Chiffre d'affaires élevage</t>
  </si>
  <si>
    <t>1 = Achats consommés élevage</t>
  </si>
  <si>
    <t>2 = Autres Charges  + impôt et taxe élevage</t>
  </si>
  <si>
    <t xml:space="preserve">5 = commission commerciale  </t>
  </si>
  <si>
    <t>7 = Apport en compte courant associé rémunéré (3% sur 7 ans)</t>
  </si>
  <si>
    <t>Foncier Terrain vierge de 100 ha</t>
  </si>
  <si>
    <t xml:space="preserve">Directeur  </t>
  </si>
  <si>
    <t>CAP agriculture &amp; elevage</t>
  </si>
  <si>
    <t xml:space="preserve">CAP agriculture </t>
  </si>
  <si>
    <t>Haraz agriculture &amp; elevate</t>
  </si>
  <si>
    <t>CAP agriculture &amp; élevage</t>
  </si>
  <si>
    <t>Etudes techniques approfondies unité  agriculture &amp; élevage</t>
  </si>
  <si>
    <t>Etudes techniques approfondies unité agriculture &amp; élevage</t>
  </si>
  <si>
    <t>Etudes financières approfondies unité CAP agriculture &amp; élevage</t>
  </si>
  <si>
    <t>Travaux d'aménagement eCAP agriculture &amp; élevage</t>
  </si>
  <si>
    <t>Travaux d'aménagement CAP agriculture &amp; élevage</t>
  </si>
  <si>
    <t>Unité CAP agriculture &amp; élevage</t>
  </si>
  <si>
    <t>CAP  élevage</t>
  </si>
  <si>
    <t>Travaux d'aménagement de la Direction Generale</t>
  </si>
  <si>
    <t>Achat local</t>
  </si>
  <si>
    <t xml:space="preserve">Autre matière première </t>
  </si>
  <si>
    <t>Direction générale</t>
  </si>
  <si>
    <t>Equipement informatique</t>
  </si>
  <si>
    <t>Autres équipements</t>
  </si>
  <si>
    <t>Equipement en crédit-bail</t>
  </si>
  <si>
    <t xml:space="preserve">Ensachage et autres frais &amp; fournitures </t>
  </si>
  <si>
    <t>Ensachage et autres frais &amp; fournitures</t>
  </si>
  <si>
    <t>Production brute (tonne)</t>
  </si>
  <si>
    <t>Transports mis en Fob  et SGS (coût /tonne)</t>
  </si>
  <si>
    <t>Ensachage et autres fournitures</t>
  </si>
  <si>
    <t>Produit brut non nettoyé  (tonnes)</t>
  </si>
  <si>
    <t>TOTAL CHIFFRE D'AFFAIRES SESAME</t>
  </si>
  <si>
    <t>TOTAL CHIFFRE D'AFFAIRES ARACHIDE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</si>
  <si>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</si>
  <si>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</si>
  <si>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</si>
  <si>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</si>
  <si>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</si>
  <si>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</si>
  <si>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</si>
  <si>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</si>
  <si>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</si>
  <si>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</si>
  <si>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Description</t>
  </si>
  <si>
    <t>Litre</t>
  </si>
  <si>
    <t>Diesel consumption per hour</t>
  </si>
  <si>
    <t xml:space="preserve">Diesel price </t>
  </si>
  <si>
    <t>Diese; cost /hour</t>
  </si>
  <si>
    <t>Diesel cost / Ha/ hour</t>
  </si>
  <si>
    <t>No. of irrigations / season</t>
  </si>
  <si>
    <t>Total diesel cost per season per Ha</t>
  </si>
  <si>
    <t>Fertiliser basal/ Ha</t>
  </si>
  <si>
    <t>QTY</t>
  </si>
  <si>
    <t>Price</t>
  </si>
  <si>
    <t>Val/ Ha</t>
  </si>
  <si>
    <t>DAP</t>
  </si>
  <si>
    <t>Urea in two doses</t>
  </si>
  <si>
    <t>Sesame</t>
  </si>
  <si>
    <t>Préparation du sol</t>
  </si>
  <si>
    <t>Coût des semences</t>
  </si>
  <si>
    <t>Coût du traitement des semences</t>
  </si>
  <si>
    <t>Coût du semis</t>
  </si>
  <si>
    <t>Pulvérisation d’herbicide de prélevée</t>
  </si>
  <si>
    <t>Pulvérisation de fongicide et d’insecticide</t>
  </si>
  <si>
    <t>Gazole pour l’irrigation</t>
  </si>
  <si>
    <t>Récolte (y compris la main-d’œuvre)</t>
  </si>
  <si>
    <t>Coût total</t>
  </si>
  <si>
    <t>Rendement</t>
  </si>
  <si>
    <t>Réalisation</t>
  </si>
  <si>
    <t>Marge opérationnelle</t>
  </si>
  <si>
    <t>Arachide (Groundnut)</t>
  </si>
  <si>
    <t>Niébé (Cowpea)</t>
  </si>
  <si>
    <t>Sorgho pour graine (Sorghum for Seed)</t>
  </si>
  <si>
    <t>Luzerne (Alfa Alfa)</t>
  </si>
  <si>
    <t>Engrais urée en 2 doses</t>
  </si>
  <si>
    <t>Coût/ Ha €</t>
  </si>
  <si>
    <t xml:space="preserve">Diesel’s price </t>
  </si>
  <si>
    <t>Diesel; cost /hour</t>
  </si>
  <si>
    <t>Prix / kg</t>
  </si>
  <si>
    <t>Céréale, blé, mais  (Wheat, corne, )</t>
  </si>
  <si>
    <t>Gombo - avec goutte-à-goutte (Okra - with drip)</t>
  </si>
  <si>
    <t xml:space="preserve">Oignon - avec goutte-à-goutte (Onion - with drip) </t>
  </si>
  <si>
    <t>Aubergine - avec goutte-à-goutte et paillage (Aubergine - with drip and mulching)</t>
  </si>
  <si>
    <t>Tomate - avec goutte-à-goutte et paillage (Tomato - with drip and mulching)</t>
  </si>
  <si>
    <t>Arachide (Groundnut) 2026</t>
  </si>
  <si>
    <t>Arachide (Groundnut) 2027</t>
  </si>
  <si>
    <t>Arachide (Groundnut) 2028</t>
  </si>
  <si>
    <t>Arachide (Groundnut) 2029</t>
  </si>
  <si>
    <t>Arachide (Groundnut) 2030</t>
  </si>
  <si>
    <t xml:space="preserve">ACHATS MATIERES PREMIERES / AUTRES FOURNITURES TRANSPORT </t>
  </si>
  <si>
    <t>Niébé (Cowpea) 2026</t>
  </si>
  <si>
    <t>Niébé (Cowpea) 2030</t>
  </si>
  <si>
    <t>Niébé (Cowpea) 2029</t>
  </si>
  <si>
    <t>Niébé (Cowpea) 2028</t>
  </si>
  <si>
    <t>Niébé (Cowpea) 2027</t>
  </si>
  <si>
    <t>Céréale, blé, mais  (Wheat, corne, ) 2026</t>
  </si>
  <si>
    <t xml:space="preserve">Céréale, blé, mais  (Wheat, corne, ) </t>
  </si>
  <si>
    <t>Céréale, blé, mais  (Wheat, corne, ) 2030</t>
  </si>
  <si>
    <t>Céréale, blé, mais  (Wheat, corne, ) 2029</t>
  </si>
  <si>
    <t>Céréale, blé, mais  (Wheat, corne, ) 2028</t>
  </si>
  <si>
    <t>Céréale, blé, mais  (Wheat, corne, ) 2027</t>
  </si>
  <si>
    <t>Sesame 2026</t>
  </si>
  <si>
    <t xml:space="preserve">Sesame </t>
  </si>
  <si>
    <t>Sesame 2030</t>
  </si>
  <si>
    <t>Sesame 2029</t>
  </si>
  <si>
    <t>Sesame 2028</t>
  </si>
  <si>
    <t>Sesame 2027</t>
  </si>
  <si>
    <t>Superficie cultivée en pluviale</t>
  </si>
  <si>
    <t>Coût unitaire par hectare (504€/H)</t>
  </si>
  <si>
    <t>Px Rv / hectare</t>
  </si>
  <si>
    <t>Transports, manutention, stock des intrants (coût /hectare)</t>
  </si>
  <si>
    <t>Charge hectare / an</t>
  </si>
  <si>
    <t xml:space="preserve">Coût unitaire par hectare </t>
  </si>
  <si>
    <t>Coût unitaire par hectare  (688€/H)</t>
  </si>
  <si>
    <t>Coût unitaire par hectare</t>
  </si>
  <si>
    <t>Coût unitaire par hectare (498€/H)</t>
  </si>
  <si>
    <t>Coût unitaire par hectare (233€/H)</t>
  </si>
  <si>
    <t>Chiffre d'affaires Agriculture &amp; Elevage</t>
  </si>
  <si>
    <t>Achats consommés Agriculture &amp; Elevage</t>
  </si>
  <si>
    <t>Arachide (Groundnut) Pluvial 20 ha</t>
  </si>
  <si>
    <t>Niébé (Cowpea) Pluvial 10 ha</t>
  </si>
  <si>
    <t>Céréale, blé, mais  (Wheat, corne, ) Pluvial 20 ha</t>
  </si>
  <si>
    <t>Sesame  Pluvial 10 ha</t>
  </si>
  <si>
    <t>Gombo - avec goutte-à-goutte (Okra - with drip) 2026</t>
  </si>
  <si>
    <t xml:space="preserve">Gombo - avec goutte-à-goutte (Okra - with drip) </t>
  </si>
  <si>
    <t>Sorgho pour graine (Sorghum for Seed) 2026</t>
  </si>
  <si>
    <t>Sorgho pour graine (Sorghum for Seed) 2027</t>
  </si>
  <si>
    <t xml:space="preserve">Sorgho pour graine (Sorghum for Seed) </t>
  </si>
  <si>
    <t>Sorgho pour graine (Sorghum for Seed) 2030</t>
  </si>
  <si>
    <t>Sorgho pour graine (Sorghum for Seed) 2029</t>
  </si>
  <si>
    <t>Sorgho pour graine (Sorghum for Seed) 2028</t>
  </si>
  <si>
    <t>Gombo - avec goutte-à-goutte (Okra - with drip) 2027</t>
  </si>
  <si>
    <t>Gombo - avec goutte-à-goutte (Okra - with drip) 2028</t>
  </si>
  <si>
    <t>Gombo - avec goutte-à-goutte (Okra - with drip) 2029</t>
  </si>
  <si>
    <t>Gombo - avec goutte-à-goutte (Okra - with drip) 2030</t>
  </si>
  <si>
    <t>Coût unitaire par hectare (2245€/H)</t>
  </si>
  <si>
    <t>Coût unitaire par hectare (309€/H)</t>
  </si>
  <si>
    <t>1 Arachide (Groundnut)</t>
  </si>
  <si>
    <t>2 Niébé (Cowpea)</t>
  </si>
  <si>
    <t>3 Céréale, blé, mais  (Wheat, corne)</t>
  </si>
  <si>
    <t>4 Sesame</t>
  </si>
  <si>
    <t xml:space="preserve">5 Gombo - avec goutte-à-goutte </t>
  </si>
  <si>
    <t>Sorgho pour graine</t>
  </si>
  <si>
    <t>6 Sorgho pour graine</t>
  </si>
  <si>
    <t>Oignon - avec goutte-à-goutte (Onion - with drip)</t>
  </si>
  <si>
    <t xml:space="preserve">7 Oignon - avec goutte-à-goutte </t>
  </si>
  <si>
    <t>Coût unitaire par hectare (1364€/H)</t>
  </si>
  <si>
    <t>Coût unitaire par hectare ((1364€/H)</t>
  </si>
  <si>
    <t>Oignon - avec goutte-à-goutte (Onion - with drip)  2026</t>
  </si>
  <si>
    <t>Oignon - avec goutte-à-goutte (Onion - with drip)  2030</t>
  </si>
  <si>
    <t>Oignon - avec goutte-à-goutte (Onion - with drip)  2029</t>
  </si>
  <si>
    <t>Oignon - avec goutte-à-goutte (Onion - with drip)  2028</t>
  </si>
  <si>
    <t>Oignon - avec goutte-à-goutte (Onion - with drip)  2027</t>
  </si>
  <si>
    <t>Aubergine - avec goutte-à-goutte et paillage</t>
  </si>
  <si>
    <t>8 Aubergine - avec goutte-à-goutte et paillage</t>
  </si>
  <si>
    <t>Coût unitaire par hectare (4398€/H)</t>
  </si>
  <si>
    <t>Coût unitaire par hectare ((4398€/H)</t>
  </si>
  <si>
    <t>Aubergine - avec goutte-à-goutte et paillage  2026</t>
  </si>
  <si>
    <t>Aubergine - avec goutte-à-goutte et paillage  2027</t>
  </si>
  <si>
    <t>Aubergine - avec goutte-à-goutte et paillage  2028</t>
  </si>
  <si>
    <t>Aubergine - avec goutte-à-goutte et paillage  2029</t>
  </si>
  <si>
    <t>Aubergine - avec goutte-à-goutte et paillage  2030</t>
  </si>
  <si>
    <t xml:space="preserve">Aubergine - avec goutte-à-goutte et paillage </t>
  </si>
  <si>
    <t xml:space="preserve">Tomate - avec goutte-à-goutte et paillage </t>
  </si>
  <si>
    <t xml:space="preserve">9 Tomate - avec goutte-à-goutte et paillage </t>
  </si>
  <si>
    <t>Tomate - avec goutte-à-goutte et paillage  2026</t>
  </si>
  <si>
    <t>Tomate - avec goutte-à-goutte et paillage</t>
  </si>
  <si>
    <t>Coût unitaire par hectare (4725€/H)</t>
  </si>
  <si>
    <t>Coût unitaire par hectare (1603€/H)</t>
  </si>
  <si>
    <t>Pomme de terre en hiver avec irrigation</t>
  </si>
  <si>
    <t xml:space="preserve">10 Pomme de terre en hiver avec irrigation </t>
  </si>
  <si>
    <t>Pomme de terre en hiver avec irrigation  2026</t>
  </si>
  <si>
    <t>Pomme de terre en hiver avec irrigation  2030</t>
  </si>
  <si>
    <t>Pomme de terre en hiver avec irrigation  2029</t>
  </si>
  <si>
    <t>Pomme de terre en hiver avec irrigation  2028</t>
  </si>
  <si>
    <t>Pomme de terre en hiver avec irrigation  2027</t>
  </si>
  <si>
    <t>Tomate - avec goutte-à-goutte et paillage  2030</t>
  </si>
  <si>
    <t>Tomate - avec goutte-à-goutte et paillage  2029</t>
  </si>
  <si>
    <t>Tomate - avec goutte-à-goutte et paillage  2028</t>
  </si>
  <si>
    <t>Tomate - avec goutte-à-goutte et paillage  2027</t>
  </si>
  <si>
    <t>Coût unitaire par hectare (834€/H)</t>
  </si>
  <si>
    <t>Luzerne (Alfa Alfa) en irrigation</t>
  </si>
  <si>
    <t>11 Luzerne (Alfa Alfa) en irrigation</t>
  </si>
  <si>
    <t>Luzerne (Alfa Alfa) en irrigation 2026</t>
  </si>
  <si>
    <t xml:space="preserve">Luzerne (Alfa Alfa) en irrigation </t>
  </si>
  <si>
    <t>12 Verget pour arbre fruitiers</t>
  </si>
  <si>
    <t>Verget pour arbre fruitiers</t>
  </si>
  <si>
    <t>Verget pour arbre fruitiers 2026</t>
  </si>
  <si>
    <t>Luzerne (Alfa Alfa) en irrigation 2027</t>
  </si>
  <si>
    <t>Luzerne (Alfa Alfa) en irrigation 2028</t>
  </si>
  <si>
    <t>Luzerne (Alfa Alfa) en irrigation 2029</t>
  </si>
  <si>
    <t>Luzerne (Alfa Alfa) en irrigation 2030</t>
  </si>
  <si>
    <t xml:space="preserve">Verget pour arbre fruitiers </t>
  </si>
  <si>
    <t>Verget pour arbre fruitiers irrigation 5 ha</t>
  </si>
  <si>
    <t>Luzerne (Alfa Alfa) en irrigation sur 10 ha</t>
  </si>
  <si>
    <t>Pomme de terre en hiver avec irrigation 5 ha</t>
  </si>
  <si>
    <t>Tomate - avec goutte-à-goutte et paillage 10 ha</t>
  </si>
  <si>
    <t>Aubergine - avec goutte-à-goutte et paillage 5ha</t>
  </si>
  <si>
    <t xml:space="preserve">Oignon - avec goutte-à-goutte 10 ha </t>
  </si>
  <si>
    <t xml:space="preserve">Sorgho pour graine 10 </t>
  </si>
  <si>
    <t>Gombo - avec goutte-à-goutte 5 ha</t>
  </si>
  <si>
    <t>Pluviale</t>
  </si>
  <si>
    <t>Prairie permanante</t>
  </si>
  <si>
    <t>2e trimestre</t>
  </si>
  <si>
    <t>3e trimestre</t>
  </si>
  <si>
    <t>4e trimestre</t>
  </si>
  <si>
    <t>Arachide (Groundnut) pluviale 20 ha</t>
  </si>
  <si>
    <t>Niébé (Cowpea) pluvial 10 ha</t>
  </si>
  <si>
    <t>Céréale, blé, mais  (Wheat, corne, ) pluvial 20 ha</t>
  </si>
  <si>
    <t>Sésame  pluvial 10 ha</t>
  </si>
  <si>
    <t>Gombo - avec goutte à goutte 5 ha</t>
  </si>
  <si>
    <t xml:space="preserve">Oignon - avec goutte à goutte 10 ha </t>
  </si>
  <si>
    <t>Contre-saison irriguée</t>
  </si>
  <si>
    <t>Prairie permanente</t>
  </si>
  <si>
    <t>Verger pour arbre fruitier irrigation 5 ha</t>
  </si>
  <si>
    <t>Alimentation naturelle</t>
  </si>
  <si>
    <t>Irriguée goutte à goutte</t>
  </si>
  <si>
    <t>Superficie ha</t>
  </si>
  <si>
    <t>Utilisation des 95 hectares d'espace agricole</t>
  </si>
  <si>
    <t>Agroforesterie &amp; haie vive 5 ha</t>
  </si>
  <si>
    <t>Agroforesterie &amp; haie vive</t>
  </si>
  <si>
    <t>Coût unitaire par hectare (1900€/H)</t>
  </si>
  <si>
    <t>500 pieds de fruitier à l'hectare</t>
  </si>
  <si>
    <t>Prix unitaire de la pepiniere 2500 Fr</t>
  </si>
  <si>
    <t>Superficie cultivée en irriguation</t>
  </si>
  <si>
    <t>charge d'arosage  et autres frais d'entretien</t>
  </si>
  <si>
    <t>2000 pieds d'acacia au kilometre</t>
  </si>
  <si>
    <t>Montant total (f)</t>
  </si>
  <si>
    <t>Verget pour arbre fruitiers 2027</t>
  </si>
  <si>
    <t>Verget pour arbre fruitiers 2028</t>
  </si>
  <si>
    <t>Verget pour arbre fruitiers 2029</t>
  </si>
  <si>
    <t>Verget pour arbre fruitiers 2030</t>
  </si>
  <si>
    <t>Transports, manutention et recolte Gome</t>
  </si>
  <si>
    <t>13 Agroforesterie &amp; haie vive</t>
  </si>
  <si>
    <t>Prix unitaire de la pepiniere 300 Fr</t>
  </si>
  <si>
    <t>Coût unitaire par hectare (914€/H)</t>
  </si>
  <si>
    <t xml:space="preserve">Arachide  </t>
  </si>
  <si>
    <t>Produit brut non nettoyé   T / ha (rendement)</t>
  </si>
  <si>
    <t>superficie brute en production</t>
  </si>
  <si>
    <t>Production brute en tonne</t>
  </si>
  <si>
    <t>Arachide  2027</t>
  </si>
  <si>
    <t>Arachide  2028</t>
  </si>
  <si>
    <t>Arachide  2030</t>
  </si>
  <si>
    <t>Arachide  2029</t>
  </si>
  <si>
    <t>Arachide 2026</t>
  </si>
  <si>
    <t>Produit brut nettoyé   T / ha (rendement)</t>
  </si>
  <si>
    <t>Produit brut nettoyé  (tonnes)</t>
  </si>
  <si>
    <t xml:space="preserve">1. Arachide </t>
  </si>
  <si>
    <t>2. Niébé</t>
  </si>
  <si>
    <t>Niébé 2026</t>
  </si>
  <si>
    <t>Niébé  2027</t>
  </si>
  <si>
    <t>Niébé  2028</t>
  </si>
  <si>
    <t>Niébé  2029</t>
  </si>
  <si>
    <t>Niébé  2030</t>
  </si>
  <si>
    <t>Niébé</t>
  </si>
  <si>
    <t xml:space="preserve">CHIFFRES D'AFFAIRES TOTAUX CONSOLIDES </t>
  </si>
  <si>
    <t>TOTAL CHIFFRE D'AFFAIRES  NIEBE</t>
  </si>
  <si>
    <t>TOTAL CHIFFRE D'AFFAIRES CEREALE</t>
  </si>
  <si>
    <t>TOTAL CHIFFRE D'AFFAIRES NIEBE</t>
  </si>
  <si>
    <t>N°</t>
  </si>
  <si>
    <t>4. Sesame</t>
  </si>
  <si>
    <t>Sesame  2027</t>
  </si>
  <si>
    <t>Sesame  2028</t>
  </si>
  <si>
    <t>Sesame  2029</t>
  </si>
  <si>
    <t>Sesame  2030</t>
  </si>
  <si>
    <t xml:space="preserve">5. Gombo </t>
  </si>
  <si>
    <t>Gombo 2026</t>
  </si>
  <si>
    <t>Gombo  2027</t>
  </si>
  <si>
    <t>Gombo   2028</t>
  </si>
  <si>
    <t>Gombo   2029</t>
  </si>
  <si>
    <t>Gombo   2030</t>
  </si>
  <si>
    <t xml:space="preserve">Gombo </t>
  </si>
  <si>
    <t>TOTAL CHIFFRE D'AFFAIRES GOMBO</t>
  </si>
  <si>
    <t>6. Sorgho pour graine</t>
  </si>
  <si>
    <t>Sorgho pour graine 2026</t>
  </si>
  <si>
    <t>Sorgho pour graine  2027</t>
  </si>
  <si>
    <t>Sorgho pour graine   2028</t>
  </si>
  <si>
    <t>Sorgho pour graine  2029</t>
  </si>
  <si>
    <t>Sorgho pour graine 2030</t>
  </si>
  <si>
    <t>TOTAL CHIFFRE D'AFFAIRES SORGHO</t>
  </si>
  <si>
    <t>7. Oignon</t>
  </si>
  <si>
    <t>Oignon 2026</t>
  </si>
  <si>
    <t>Oignon 2027</t>
  </si>
  <si>
    <t>Oignon  2028</t>
  </si>
  <si>
    <t>Oignon 2029</t>
  </si>
  <si>
    <t>Oignon 2030</t>
  </si>
  <si>
    <t>Oignon</t>
  </si>
  <si>
    <t>TOTAL CHIFFRE D'AFFAIRES OIGNON</t>
  </si>
  <si>
    <t>8. Aubergine</t>
  </si>
  <si>
    <t>Aubergine2027</t>
  </si>
  <si>
    <t>Aubergine 2026</t>
  </si>
  <si>
    <t>Aubergine  2028</t>
  </si>
  <si>
    <t>Aubergine 2029</t>
  </si>
  <si>
    <t>Aubergine 2030</t>
  </si>
  <si>
    <t>Aubergine</t>
  </si>
  <si>
    <t>TOTAL CHIFFRE D'AFFAIRES AUBERGINE</t>
  </si>
  <si>
    <t>9. Tomate</t>
  </si>
  <si>
    <t>Tomate 2027</t>
  </si>
  <si>
    <t>Tomate  2028</t>
  </si>
  <si>
    <t>Tomate 2029</t>
  </si>
  <si>
    <t>Tomate 2030</t>
  </si>
  <si>
    <t>Tomate</t>
  </si>
  <si>
    <t>TOTAL CHIFFRE D'AFFAIRES TOMATE</t>
  </si>
  <si>
    <t>Pomme de terre  avec irrigation (Potato in winter season with irrigation)</t>
  </si>
  <si>
    <t>10. Pomme de terre</t>
  </si>
  <si>
    <t>Tomate 2026</t>
  </si>
  <si>
    <t>Pomme de terre 2026</t>
  </si>
  <si>
    <t>Pomme de terre 2027</t>
  </si>
  <si>
    <t>Pomme de terre  2028</t>
  </si>
  <si>
    <t>Pomme de terre 2029</t>
  </si>
  <si>
    <t>Pomme de terre 2030</t>
  </si>
  <si>
    <t>Pomme de terre</t>
  </si>
  <si>
    <t>TOTAL CHIFFRE D'AFFAIRES POMME DE TERRE</t>
  </si>
  <si>
    <t>11. Luzerne</t>
  </si>
  <si>
    <t xml:space="preserve"> Luzerne 2026</t>
  </si>
  <si>
    <t xml:space="preserve"> Luzerne 2027</t>
  </si>
  <si>
    <t xml:space="preserve"> Luzerne  2028</t>
  </si>
  <si>
    <t xml:space="preserve"> Luzerne 2029</t>
  </si>
  <si>
    <t xml:space="preserve"> Luzerne 2030</t>
  </si>
  <si>
    <t xml:space="preserve"> Luzerne</t>
  </si>
  <si>
    <t>TOTAL CHIFFRE D'AFFAIRES LUZERNE</t>
  </si>
  <si>
    <t>3. Céréale</t>
  </si>
  <si>
    <t>Céréale 2026</t>
  </si>
  <si>
    <t>Céréale  2027</t>
  </si>
  <si>
    <t>Céréale  2028</t>
  </si>
  <si>
    <t>Céréale  2029</t>
  </si>
  <si>
    <t>Céréale  2030</t>
  </si>
  <si>
    <t>Céréale</t>
  </si>
  <si>
    <t>12. Verger fruitier</t>
  </si>
  <si>
    <t>Verger fruitiers 2030</t>
  </si>
  <si>
    <t>Verger fruitier 2026</t>
  </si>
  <si>
    <t>Coût unitaire (500€/T)</t>
  </si>
  <si>
    <t>Coût unitaire (1300€/T)</t>
  </si>
  <si>
    <t>Coût unitaire (280€/T)</t>
  </si>
  <si>
    <t>Coût unitaire (550€/T)</t>
  </si>
  <si>
    <t>Coût unitaire (350€/T)</t>
  </si>
  <si>
    <t>Coût unitaire (470€/T)</t>
  </si>
  <si>
    <t>Coût unitaire (400€/T)</t>
  </si>
  <si>
    <t>Coût unitaire (250€/T)</t>
  </si>
  <si>
    <t>Coût unitaire (200€/T)</t>
  </si>
  <si>
    <t>Coût unitaire (80€/T)</t>
  </si>
  <si>
    <t>Produits à valoriser les fanes agricoles</t>
  </si>
  <si>
    <t>CHIFFRES D'AFFAIRES CUMULES</t>
  </si>
  <si>
    <t>Verger fruitier 2027</t>
  </si>
  <si>
    <t>Verger fruitier  2028</t>
  </si>
  <si>
    <t>Verger fruitier 2029</t>
  </si>
  <si>
    <t>CHIFFRES D'AFFAIRES VERGER FRUITIER</t>
  </si>
  <si>
    <t>Verger fruitier</t>
  </si>
  <si>
    <t>Produits à valeur ajoutée sac de 50 kg</t>
  </si>
  <si>
    <t>Produit nombre de pied  arbre/ ha (rendement)</t>
  </si>
  <si>
    <t>Produit brut pied arbre / ha (rendement)</t>
  </si>
  <si>
    <t>Coût unitaire (15€/Arbre)</t>
  </si>
  <si>
    <t>TOTAL CHIFFRE D'AFFAIRES VERGER FRUITIER</t>
  </si>
  <si>
    <t>Coût unitaire (15€/Arbre) 1/2 rendement</t>
  </si>
  <si>
    <t>Coût unitaire (15€/Arbre)  3/4 rendement</t>
  </si>
  <si>
    <t>13. Agroforesterie Acacia Gum</t>
  </si>
  <si>
    <t>Agroforesterie Acacia Gum 2026</t>
  </si>
  <si>
    <t>Agroforesterie Acacia Gum 2027</t>
  </si>
  <si>
    <t>Agroforesterie Acacia Gum  2028</t>
  </si>
  <si>
    <t>Agroforesterie Acacia Gum 2029</t>
  </si>
  <si>
    <t>Agroforesterie Acacia Gum 2030</t>
  </si>
  <si>
    <t>Agroforesterie Acacia Gum</t>
  </si>
  <si>
    <t>TOTAL CHIFFRE D'AFFAIRES AGROFORESTERIE</t>
  </si>
  <si>
    <t>TOTAL CHIFFRE D'AFFAIRES  VERGER FRUITIER</t>
  </si>
  <si>
    <t>CHIFFRES D'AFFAIRES AGROFORESTERIE</t>
  </si>
  <si>
    <t xml:space="preserve">EQUIPEMENTS &amp; INFRASTRUCTURES COMMUNES POUR 10 UNITES DE 100 HA </t>
  </si>
  <si>
    <t>Aménagement</t>
  </si>
  <si>
    <t>VRD &amp; réseau Eau, Electricité</t>
  </si>
  <si>
    <t>Premier stockage</t>
  </si>
  <si>
    <t>valeur de prise en compte pour une unité coopérative 1/10 de la charge globale</t>
  </si>
  <si>
    <t xml:space="preserve">EQUIPEMENTS &amp; INFRASTRUCTURES POUR L'UNITE DE 100 HA </t>
  </si>
  <si>
    <t>Mise à disposition du site d'exploitation (5 ha par coopérateur / 20 personnes)</t>
  </si>
  <si>
    <t>Délimitation et levé topographique du terrain</t>
  </si>
  <si>
    <t>Tracteurs de petite taille 40 à 45 HP</t>
  </si>
  <si>
    <t>Clôture du site grillage et piquets métalliques</t>
  </si>
  <si>
    <t>Aménagement hydroagricole (agroforesterie &amp; haie vive)</t>
  </si>
  <si>
    <t>Recoltant cueilleur / moissonneurs mixte</t>
  </si>
  <si>
    <t>Aménagement hydroagricole (verger pour arbre fruitier)</t>
  </si>
  <si>
    <t>Semoir à céréale / semoir petit grain mixte</t>
  </si>
  <si>
    <t>Aménagement hydroagricole (irrigation pour culture de contre-saison)</t>
  </si>
  <si>
    <t>Aménagement hydroagricole (irrigation pour culture fourragère)</t>
  </si>
  <si>
    <t>Première préparation (hangar et aire de stockage)</t>
  </si>
  <si>
    <t>local et petit bureau</t>
  </si>
  <si>
    <t>AMENAGEMENTS &amp; CONSTRUCTIONS -  Volet élevage</t>
  </si>
  <si>
    <t>Equipements d'élevage pour bovin d'ambouche</t>
  </si>
  <si>
    <t>Equipements d'élevage pour poule pondeuse</t>
  </si>
  <si>
    <t>Site d'élevage sous 4 formes (laitière, ambouche, pondeuse et chaire)</t>
  </si>
  <si>
    <t>Equipements d'élevage pour vache laitière</t>
  </si>
  <si>
    <t>VRD &amp; réseau Eau, électricité</t>
  </si>
  <si>
    <t>Equipement réseau Eau &amp; électricité</t>
  </si>
  <si>
    <t>Bâtiment d'élevage pour vache laitière</t>
  </si>
  <si>
    <t>Bâtiment d'élevage pour bovin d'ambouche</t>
  </si>
  <si>
    <t>Bâtiment d'élevage pour poule pondeuse</t>
  </si>
  <si>
    <t>Bâtiment d'élevage pour poulet de chair</t>
  </si>
  <si>
    <t>Equipements d'élevage pour poulet de chair</t>
  </si>
  <si>
    <t>locale pour équipement d'élevage</t>
  </si>
  <si>
    <t>Divers équipement d'élevage</t>
  </si>
  <si>
    <t>EQUIPEMENTS &amp; INFRASTRUCTURES COMMUNES POUR 10 UNITES DE 100 HA</t>
  </si>
  <si>
    <t>Micro-ordinateurs</t>
  </si>
  <si>
    <t>Véhicule Pick Up (double cabine)</t>
  </si>
  <si>
    <t>Autre scanner/photocopieurs</t>
  </si>
  <si>
    <t>La coopérative 1/10 de la charge globale</t>
  </si>
  <si>
    <t>Autre bureau</t>
  </si>
  <si>
    <t xml:space="preserve">Camionnette de transport </t>
  </si>
  <si>
    <t>Camionnette de transport</t>
  </si>
  <si>
    <t>Chef département administration compta finances</t>
  </si>
  <si>
    <t>Responsable Maintenance technique</t>
  </si>
  <si>
    <t>TOTALES CHARGES SOCIALES</t>
  </si>
  <si>
    <t>TOTALES CHARGES SALARIALES</t>
  </si>
  <si>
    <t>Conducteur de porte-charge &amp; tractoriste</t>
  </si>
  <si>
    <t>Conducteur de porte-charge (Manitou)</t>
  </si>
  <si>
    <t>Ouvrier d'appoint de zone et unité (manutention, récolte, contrôle de tri)</t>
  </si>
  <si>
    <t>Ouvrier des zones de production (manutention, salubrité,  contrôle …...)</t>
  </si>
  <si>
    <t xml:space="preserve">Charges salariales </t>
  </si>
  <si>
    <t>TOTALES CHARGES PERSONNELLES</t>
  </si>
  <si>
    <t>Assistance contrats int, Assurances diverses</t>
  </si>
  <si>
    <t>Charge  enregistrement au projet 3Moissons</t>
  </si>
  <si>
    <t>Etudes &amp; montage du projet coopératif</t>
  </si>
  <si>
    <t>Suite de Gestion collaborative / ERP Formation 1/10</t>
  </si>
  <si>
    <t>manuel de procédures 1/10</t>
  </si>
  <si>
    <t>manuel technique de production industrie 1/10</t>
  </si>
  <si>
    <t>Autre formation HACCP &amp; Normes 1/10</t>
  </si>
  <si>
    <t>Aménagements et constructions</t>
  </si>
  <si>
    <t>Matériels et équipements industriels</t>
  </si>
  <si>
    <t>Coûts de production agricoles en €</t>
  </si>
  <si>
    <t>Produis nombre de pied  arbre/ ha (rendement)</t>
  </si>
  <si>
    <t>Coût unitaire (5000 Fr kg)</t>
  </si>
  <si>
    <t>Produits à v. ajoutée velle laitière inseminé</t>
  </si>
  <si>
    <t>Produits à v. ajoutée velle laitière inséminée</t>
  </si>
  <si>
    <t>Produits à v. ajoutée veau laitiers inséminés</t>
  </si>
  <si>
    <t>Produits à valeur ajoutée  poulet à bouillir</t>
  </si>
  <si>
    <t xml:space="preserve">Produits à valeur ajoutée </t>
  </si>
  <si>
    <t>TOTAL CHIFFRE D'AFFAIRES POULES PONDEUSES</t>
  </si>
  <si>
    <t>COMMISSIONS COMMERCIALES SUR RESULTAT POULE PONDEUSES &amp; POULET DE CHAIR</t>
  </si>
  <si>
    <t>Prime d'encouragement sur résultat laitier</t>
  </si>
  <si>
    <t>Prime d'encouragement sur résultat bovin</t>
  </si>
  <si>
    <t>DEVELOPPEMENT - COMMUNICATION - MARKETING RELATIONS PUBLIQUES POULE PONDEUSES &amp; POULET DE CHAIR</t>
  </si>
  <si>
    <t>ASSISTANCES &amp; SERVICES EXTERIEURS POULE PONDEUSE &amp; POULET DE CHAIR</t>
  </si>
  <si>
    <t>CHIFFRES D'AFFAIRES TOTALES CONSOLIDES de la CAP</t>
  </si>
  <si>
    <t xml:space="preserve">autres Charges </t>
  </si>
  <si>
    <t>8 =  Impôt global libératoire (IGL 4%). (non assujettie sur bénéfices 30%)</t>
  </si>
  <si>
    <t>Totales annuités</t>
  </si>
  <si>
    <t>E = Amortissement annuel + frais financier annuel</t>
  </si>
  <si>
    <t>Cout de production agricole</t>
  </si>
  <si>
    <t>Cout de production elevage</t>
  </si>
  <si>
    <t>4) TABLEAU REMBOURSEMENT compte courant</t>
  </si>
  <si>
    <t>COMPTE DE RESULTAT PREVISIONNEL  (une ferme 3Moissons)</t>
  </si>
  <si>
    <t>Projection à 10 ans</t>
  </si>
  <si>
    <t>10 fermes</t>
  </si>
  <si>
    <t>50 fermes</t>
  </si>
  <si>
    <t>500 fermes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</si>
</sst>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 * #,##0_)\ &quot;FCFA&quot;_ ;_ * \(#,##0\)\ &quot;FCFA&quot;_ ;_ * &quot;-&quot;_)\ &quot;FCFA&quot;_ ;_ @_ "/>
    <numFmt numFmtId="167" formatCode="_ * #,##0_)\ _F_C_F_A_ ;_ * \(#,##0\)\ _F_C_F_A_ ;_ * &quot;-&quot;_)\ _F_C_F_A_ ;_ @_ "/>
    <numFmt numFmtId="168" formatCode="_-* #,##0\ _€_-;\-* #,##0\ _€_-;_-* &quot;-&quot;??\ _€_-;_-@_-"/>
    <numFmt numFmtId="169" formatCode="0.0%"/>
    <numFmt numFmtId="170" formatCode="_-* #,##0\ &quot;€&quot;_-;\-* #,##0\ &quot;€&quot;_-;_-* &quot;-&quot;??\ &quot;€&quot;_-;_-@_-"/>
    <numFmt numFmtId="171" formatCode="_(* #,##0.00_);_(* \(#,##0.00\);_(* &quot;-&quot;??_);_(@_)"/>
    <numFmt numFmtId="172" formatCode="_(* #,##0_);_(* \(#,##0\);_(* &quot;-&quot;??_);_(@_)"/>
  </numFmts>
  <fonts count="7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62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.5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3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0"/>
      <color theme="1"/>
      <name val="Book Antiqua"/>
      <family val="2"/>
    </font>
    <font>
      <sz val="12"/>
      <color rgb="FF000000"/>
      <name val="Helvetica Neue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 (Corps)"/>
    </font>
    <font>
      <b/>
      <sz val="14"/>
      <color rgb="FF000000"/>
      <name val="Calibri"/>
      <family val="2"/>
      <scheme val="minor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Helvetica Neue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i/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1"/>
      <name val="Calibri (Corps)"/>
    </font>
    <font>
      <b/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49">
    <xf numFmtId="0" fontId="0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7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47" fillId="0" borderId="0"/>
    <xf numFmtId="171" fontId="47" fillId="0" borderId="0" applyFont="0" applyFill="0" applyBorder="0" applyAlignment="0" applyProtection="0"/>
    <xf numFmtId="0" fontId="51" fillId="0" borderId="0"/>
  </cellStyleXfs>
  <cellXfs count="896">
    <xf numFmtId="0" fontId="0" fillId="0" borderId="0" xfId="0"/>
    <xf numFmtId="165" fontId="0" fillId="0" borderId="0" xfId="1" applyFont="1"/>
    <xf numFmtId="165" fontId="0" fillId="0" borderId="0" xfId="0" applyNumberFormat="1"/>
    <xf numFmtId="0" fontId="13" fillId="0" borderId="0" xfId="0" applyFont="1" applyAlignment="1">
      <alignment horizontal="center"/>
    </xf>
    <xf numFmtId="13" fontId="0" fillId="0" borderId="0" xfId="0" applyNumberFormat="1"/>
    <xf numFmtId="0" fontId="13" fillId="0" borderId="5" xfId="0" applyFont="1" applyBorder="1" applyAlignment="1">
      <alignment horizontal="center"/>
    </xf>
    <xf numFmtId="0" fontId="13" fillId="0" borderId="8" xfId="0" applyFont="1" applyBorder="1"/>
    <xf numFmtId="0" fontId="0" fillId="0" borderId="8" xfId="0" applyBorder="1"/>
    <xf numFmtId="0" fontId="0" fillId="0" borderId="10" xfId="0" applyBorder="1"/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0" fontId="0" fillId="3" borderId="8" xfId="0" applyFill="1" applyBorder="1"/>
    <xf numFmtId="0" fontId="16" fillId="0" borderId="8" xfId="0" applyFont="1" applyBorder="1"/>
    <xf numFmtId="0" fontId="13" fillId="0" borderId="5" xfId="0" applyFont="1" applyBorder="1"/>
    <xf numFmtId="0" fontId="0" fillId="0" borderId="13" xfId="0" applyBorder="1"/>
    <xf numFmtId="0" fontId="13" fillId="3" borderId="8" xfId="0" applyFont="1" applyFill="1" applyBorder="1"/>
    <xf numFmtId="0" fontId="16" fillId="3" borderId="8" xfId="0" applyFont="1" applyFill="1" applyBorder="1"/>
    <xf numFmtId="0" fontId="17" fillId="0" borderId="8" xfId="0" applyFont="1" applyBorder="1"/>
    <xf numFmtId="0" fontId="17" fillId="0" borderId="12" xfId="0" applyFont="1" applyBorder="1"/>
    <xf numFmtId="0" fontId="18" fillId="0" borderId="4" xfId="0" applyFont="1" applyBorder="1"/>
    <xf numFmtId="168" fontId="14" fillId="0" borderId="12" xfId="1" applyNumberFormat="1" applyFont="1" applyBorder="1"/>
    <xf numFmtId="168" fontId="14" fillId="0" borderId="15" xfId="1" applyNumberFormat="1" applyFont="1" applyBorder="1"/>
    <xf numFmtId="168" fontId="14" fillId="3" borderId="8" xfId="1" applyNumberFormat="1" applyFont="1" applyFill="1" applyBorder="1"/>
    <xf numFmtId="168" fontId="14" fillId="3" borderId="13" xfId="1" applyNumberFormat="1" applyFont="1" applyFill="1" applyBorder="1"/>
    <xf numFmtId="168" fontId="14" fillId="0" borderId="8" xfId="1" applyNumberFormat="1" applyFont="1" applyBorder="1"/>
    <xf numFmtId="168" fontId="14" fillId="0" borderId="13" xfId="1" applyNumberFormat="1" applyFont="1" applyBorder="1"/>
    <xf numFmtId="168" fontId="14" fillId="0" borderId="8" xfId="0" applyNumberFormat="1" applyFont="1" applyBorder="1"/>
    <xf numFmtId="168" fontId="14" fillId="0" borderId="13" xfId="0" applyNumberFormat="1" applyFont="1" applyBorder="1"/>
    <xf numFmtId="168" fontId="14" fillId="0" borderId="8" xfId="1" applyNumberFormat="1" applyFont="1" applyFill="1" applyBorder="1"/>
    <xf numFmtId="168" fontId="14" fillId="0" borderId="13" xfId="1" applyNumberFormat="1" applyFont="1" applyFill="1" applyBorder="1"/>
    <xf numFmtId="168" fontId="19" fillId="3" borderId="8" xfId="1" applyNumberFormat="1" applyFont="1" applyFill="1" applyBorder="1"/>
    <xf numFmtId="168" fontId="19" fillId="3" borderId="13" xfId="1" applyNumberFormat="1" applyFont="1" applyFill="1" applyBorder="1"/>
    <xf numFmtId="168" fontId="19" fillId="0" borderId="8" xfId="1" applyNumberFormat="1" applyFont="1" applyBorder="1"/>
    <xf numFmtId="168" fontId="19" fillId="0" borderId="13" xfId="1" applyNumberFormat="1" applyFont="1" applyBorder="1"/>
    <xf numFmtId="168" fontId="14" fillId="0" borderId="10" xfId="0" applyNumberFormat="1" applyFont="1" applyBorder="1"/>
    <xf numFmtId="168" fontId="14" fillId="0" borderId="14" xfId="0" applyNumberFormat="1" applyFont="1" applyBorder="1"/>
    <xf numFmtId="168" fontId="14" fillId="0" borderId="4" xfId="0" applyNumberFormat="1" applyFont="1" applyBorder="1"/>
    <xf numFmtId="168" fontId="20" fillId="0" borderId="4" xfId="0" applyNumberFormat="1" applyFont="1" applyBorder="1"/>
    <xf numFmtId="168" fontId="0" fillId="0" borderId="13" xfId="0" applyNumberFormat="1" applyBorder="1"/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5" fillId="2" borderId="12" xfId="0" applyFont="1" applyFill="1" applyBorder="1"/>
    <xf numFmtId="168" fontId="15" fillId="2" borderId="16" xfId="0" applyNumberFormat="1" applyFont="1" applyFill="1" applyBorder="1"/>
    <xf numFmtId="168" fontId="16" fillId="3" borderId="0" xfId="0" applyNumberFormat="1" applyFont="1" applyFill="1"/>
    <xf numFmtId="168" fontId="16" fillId="0" borderId="0" xfId="0" applyNumberFormat="1" applyFont="1"/>
    <xf numFmtId="0" fontId="0" fillId="3" borderId="10" xfId="0" applyFill="1" applyBorder="1"/>
    <xf numFmtId="168" fontId="16" fillId="3" borderId="11" xfId="0" applyNumberFormat="1" applyFont="1" applyFill="1" applyBorder="1"/>
    <xf numFmtId="168" fontId="15" fillId="2" borderId="15" xfId="0" applyNumberFormat="1" applyFont="1" applyFill="1" applyBorder="1"/>
    <xf numFmtId="168" fontId="16" fillId="3" borderId="13" xfId="0" applyNumberFormat="1" applyFont="1" applyFill="1" applyBorder="1"/>
    <xf numFmtId="168" fontId="16" fillId="0" borderId="13" xfId="0" applyNumberFormat="1" applyFont="1" applyBorder="1"/>
    <xf numFmtId="0" fontId="16" fillId="3" borderId="14" xfId="0" applyFont="1" applyFill="1" applyBorder="1"/>
    <xf numFmtId="0" fontId="13" fillId="0" borderId="7" xfId="0" applyFont="1" applyBorder="1" applyAlignment="1">
      <alignment horizontal="right"/>
    </xf>
    <xf numFmtId="168" fontId="16" fillId="3" borderId="14" xfId="0" applyNumberFormat="1" applyFont="1" applyFill="1" applyBorder="1"/>
    <xf numFmtId="168" fontId="13" fillId="0" borderId="4" xfId="0" applyNumberFormat="1" applyFont="1" applyBorder="1"/>
    <xf numFmtId="0" fontId="13" fillId="0" borderId="12" xfId="0" applyFont="1" applyBorder="1"/>
    <xf numFmtId="168" fontId="14" fillId="0" borderId="15" xfId="0" applyNumberFormat="1" applyFont="1" applyBorder="1"/>
    <xf numFmtId="168" fontId="14" fillId="0" borderId="0" xfId="1" applyNumberFormat="1" applyFont="1" applyFill="1" applyBorder="1"/>
    <xf numFmtId="0" fontId="13" fillId="0" borderId="0" xfId="0" applyFont="1"/>
    <xf numFmtId="0" fontId="16" fillId="0" borderId="0" xfId="0" applyFont="1"/>
    <xf numFmtId="168" fontId="19" fillId="0" borderId="0" xfId="1" applyNumberFormat="1" applyFont="1" applyFill="1" applyBorder="1"/>
    <xf numFmtId="168" fontId="0" fillId="0" borderId="15" xfId="0" applyNumberFormat="1" applyBorder="1" applyAlignment="1">
      <alignment vertical="center"/>
    </xf>
    <xf numFmtId="168" fontId="0" fillId="0" borderId="14" xfId="0" applyNumberFormat="1" applyBorder="1" applyAlignment="1">
      <alignment vertical="center"/>
    </xf>
    <xf numFmtId="0" fontId="0" fillId="3" borderId="12" xfId="0" applyFill="1" applyBorder="1"/>
    <xf numFmtId="168" fontId="16" fillId="3" borderId="15" xfId="0" applyNumberFormat="1" applyFont="1" applyFill="1" applyBorder="1"/>
    <xf numFmtId="168" fontId="16" fillId="3" borderId="16" xfId="0" applyNumberFormat="1" applyFont="1" applyFill="1" applyBorder="1"/>
    <xf numFmtId="168" fontId="16" fillId="0" borderId="14" xfId="0" applyNumberFormat="1" applyFont="1" applyBorder="1"/>
    <xf numFmtId="168" fontId="16" fillId="0" borderId="11" xfId="0" applyNumberFormat="1" applyFont="1" applyBorder="1"/>
    <xf numFmtId="168" fontId="0" fillId="0" borderId="0" xfId="0" applyNumberFormat="1"/>
    <xf numFmtId="0" fontId="0" fillId="0" borderId="11" xfId="0" applyBorder="1"/>
    <xf numFmtId="0" fontId="0" fillId="0" borderId="18" xfId="0" applyBorder="1"/>
    <xf numFmtId="0" fontId="0" fillId="0" borderId="14" xfId="0" applyBorder="1"/>
    <xf numFmtId="0" fontId="0" fillId="3" borderId="13" xfId="0" applyFill="1" applyBorder="1"/>
    <xf numFmtId="0" fontId="24" fillId="0" borderId="0" xfId="0" applyFont="1" applyAlignment="1">
      <alignment horizontal="center"/>
    </xf>
    <xf numFmtId="168" fontId="24" fillId="0" borderId="0" xfId="1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0" fontId="25" fillId="0" borderId="4" xfId="0" applyFont="1" applyBorder="1" applyAlignment="1">
      <alignment horizontal="center"/>
    </xf>
    <xf numFmtId="0" fontId="24" fillId="0" borderId="0" xfId="0" applyFont="1"/>
    <xf numFmtId="168" fontId="24" fillId="0" borderId="0" xfId="1" applyNumberFormat="1" applyFont="1"/>
    <xf numFmtId="168" fontId="0" fillId="0" borderId="0" xfId="1" applyNumberFormat="1" applyFont="1"/>
    <xf numFmtId="168" fontId="24" fillId="0" borderId="0" xfId="0" applyNumberFormat="1" applyFont="1"/>
    <xf numFmtId="0" fontId="23" fillId="0" borderId="0" xfId="0" applyFont="1"/>
    <xf numFmtId="168" fontId="24" fillId="0" borderId="0" xfId="1" applyNumberFormat="1" applyFont="1" applyFill="1"/>
    <xf numFmtId="168" fontId="24" fillId="3" borderId="0" xfId="1" applyNumberFormat="1" applyFont="1" applyFill="1"/>
    <xf numFmtId="0" fontId="13" fillId="0" borderId="0" xfId="0" applyFont="1" applyAlignment="1">
      <alignment horizontal="right"/>
    </xf>
    <xf numFmtId="168" fontId="13" fillId="0" borderId="0" xfId="0" applyNumberFormat="1" applyFont="1"/>
    <xf numFmtId="168" fontId="25" fillId="0" borderId="0" xfId="0" applyNumberFormat="1" applyFont="1"/>
    <xf numFmtId="0" fontId="25" fillId="0" borderId="4" xfId="0" applyFont="1" applyBorder="1"/>
    <xf numFmtId="0" fontId="23" fillId="0" borderId="4" xfId="0" applyFont="1" applyBorder="1"/>
    <xf numFmtId="0" fontId="0" fillId="5" borderId="0" xfId="0" applyFill="1"/>
    <xf numFmtId="0" fontId="0" fillId="5" borderId="9" xfId="0" applyFill="1" applyBorder="1"/>
    <xf numFmtId="0" fontId="27" fillId="5" borderId="0" xfId="0" applyFont="1" applyFill="1"/>
    <xf numFmtId="0" fontId="0" fillId="5" borderId="0" xfId="0" applyFill="1" applyAlignment="1">
      <alignment wrapText="1"/>
    </xf>
    <xf numFmtId="0" fontId="25" fillId="0" borderId="8" xfId="0" applyFont="1" applyBorder="1"/>
    <xf numFmtId="0" fontId="24" fillId="0" borderId="8" xfId="0" applyFont="1" applyBorder="1" applyAlignment="1">
      <alignment horizontal="right"/>
    </xf>
    <xf numFmtId="0" fontId="24" fillId="0" borderId="8" xfId="0" applyFont="1" applyBorder="1"/>
    <xf numFmtId="0" fontId="25" fillId="0" borderId="8" xfId="0" applyFont="1" applyBorder="1" applyAlignment="1">
      <alignment horizontal="left"/>
    </xf>
    <xf numFmtId="0" fontId="24" fillId="0" borderId="10" xfId="0" applyFont="1" applyBorder="1"/>
    <xf numFmtId="168" fontId="13" fillId="0" borderId="0" xfId="1" applyNumberFormat="1" applyFont="1"/>
    <xf numFmtId="168" fontId="20" fillId="0" borderId="8" xfId="0" applyNumberFormat="1" applyFont="1" applyBorder="1"/>
    <xf numFmtId="168" fontId="20" fillId="0" borderId="13" xfId="0" applyNumberFormat="1" applyFont="1" applyBorder="1"/>
    <xf numFmtId="0" fontId="0" fillId="3" borderId="15" xfId="0" applyFill="1" applyBorder="1"/>
    <xf numFmtId="168" fontId="20" fillId="0" borderId="0" xfId="0" applyNumberFormat="1" applyFont="1"/>
    <xf numFmtId="0" fontId="24" fillId="0" borderId="15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168" fontId="24" fillId="0" borderId="0" xfId="1" applyNumberFormat="1" applyFont="1" applyFill="1" applyBorder="1"/>
    <xf numFmtId="0" fontId="28" fillId="0" borderId="0" xfId="0" applyFont="1" applyAlignment="1">
      <alignment horizontal="left" vertical="center"/>
    </xf>
    <xf numFmtId="168" fontId="28" fillId="0" borderId="0" xfId="1" applyNumberFormat="1" applyFont="1" applyFill="1" applyBorder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168" fontId="28" fillId="3" borderId="0" xfId="1" applyNumberFormat="1" applyFont="1" applyFill="1"/>
    <xf numFmtId="168" fontId="28" fillId="0" borderId="0" xfId="1" applyNumberFormat="1" applyFont="1"/>
    <xf numFmtId="168" fontId="24" fillId="0" borderId="15" xfId="1" applyNumberFormat="1" applyFont="1" applyFill="1" applyBorder="1" applyAlignment="1">
      <alignment horizontal="left" vertical="center"/>
    </xf>
    <xf numFmtId="168" fontId="24" fillId="0" borderId="13" xfId="1" applyNumberFormat="1" applyFont="1" applyFill="1" applyBorder="1" applyAlignment="1">
      <alignment horizontal="left" vertical="center"/>
    </xf>
    <xf numFmtId="168" fontId="28" fillId="0" borderId="13" xfId="1" applyNumberFormat="1" applyFont="1" applyFill="1" applyBorder="1" applyAlignment="1">
      <alignment horizontal="left" vertical="center"/>
    </xf>
    <xf numFmtId="168" fontId="24" fillId="3" borderId="13" xfId="1" applyNumberFormat="1" applyFont="1" applyFill="1" applyBorder="1"/>
    <xf numFmtId="168" fontId="28" fillId="3" borderId="13" xfId="1" applyNumberFormat="1" applyFont="1" applyFill="1" applyBorder="1"/>
    <xf numFmtId="168" fontId="24" fillId="0" borderId="13" xfId="1" applyNumberFormat="1" applyFont="1" applyBorder="1"/>
    <xf numFmtId="168" fontId="28" fillId="0" borderId="13" xfId="1" applyNumberFormat="1" applyFont="1" applyBorder="1"/>
    <xf numFmtId="168" fontId="24" fillId="0" borderId="15" xfId="1" applyNumberFormat="1" applyFont="1" applyFill="1" applyBorder="1"/>
    <xf numFmtId="168" fontId="24" fillId="0" borderId="13" xfId="1" applyNumberFormat="1" applyFont="1" applyFill="1" applyBorder="1"/>
    <xf numFmtId="168" fontId="28" fillId="0" borderId="13" xfId="1" applyNumberFormat="1" applyFont="1" applyFill="1" applyBorder="1"/>
    <xf numFmtId="168" fontId="24" fillId="0" borderId="4" xfId="1" applyNumberFormat="1" applyFont="1" applyBorder="1"/>
    <xf numFmtId="168" fontId="25" fillId="0" borderId="4" xfId="1" applyNumberFormat="1" applyFont="1" applyBorder="1"/>
    <xf numFmtId="168" fontId="28" fillId="0" borderId="4" xfId="1" applyNumberFormat="1" applyFont="1" applyBorder="1"/>
    <xf numFmtId="0" fontId="29" fillId="0" borderId="14" xfId="0" applyFont="1" applyBorder="1" applyAlignment="1">
      <alignment horizontal="right" vertical="center"/>
    </xf>
    <xf numFmtId="0" fontId="25" fillId="0" borderId="13" xfId="0" applyFont="1" applyBorder="1" applyAlignment="1">
      <alignment horizontal="center" vertical="center"/>
    </xf>
    <xf numFmtId="0" fontId="31" fillId="2" borderId="4" xfId="0" applyFont="1" applyFill="1" applyBorder="1"/>
    <xf numFmtId="168" fontId="30" fillId="2" borderId="4" xfId="0" applyNumberFormat="1" applyFont="1" applyFill="1" applyBorder="1"/>
    <xf numFmtId="168" fontId="28" fillId="0" borderId="0" xfId="1" applyNumberFormat="1" applyFont="1" applyFill="1"/>
    <xf numFmtId="0" fontId="24" fillId="0" borderId="13" xfId="0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24" fillId="0" borderId="15" xfId="0" applyFont="1" applyBorder="1"/>
    <xf numFmtId="0" fontId="24" fillId="0" borderId="14" xfId="0" applyFont="1" applyBorder="1"/>
    <xf numFmtId="0" fontId="25" fillId="0" borderId="0" xfId="0" applyFont="1"/>
    <xf numFmtId="168" fontId="24" fillId="3" borderId="0" xfId="1" applyNumberFormat="1" applyFont="1" applyFill="1" applyBorder="1"/>
    <xf numFmtId="168" fontId="24" fillId="6" borderId="0" xfId="1" applyNumberFormat="1" applyFont="1" applyFill="1" applyBorder="1"/>
    <xf numFmtId="168" fontId="25" fillId="0" borderId="0" xfId="1" applyNumberFormat="1" applyFont="1"/>
    <xf numFmtId="168" fontId="32" fillId="0" borderId="0" xfId="1" applyNumberFormat="1" applyFont="1"/>
    <xf numFmtId="0" fontId="25" fillId="0" borderId="4" xfId="0" applyFont="1" applyBorder="1" applyAlignment="1">
      <alignment horizontal="right" wrapText="1"/>
    </xf>
    <xf numFmtId="3" fontId="23" fillId="0" borderId="0" xfId="0" applyNumberFormat="1" applyFont="1" applyAlignment="1">
      <alignment horizontal="right"/>
    </xf>
    <xf numFmtId="0" fontId="23" fillId="0" borderId="4" xfId="0" applyFont="1" applyBorder="1" applyAlignment="1">
      <alignment horizontal="right"/>
    </xf>
    <xf numFmtId="0" fontId="35" fillId="0" borderId="0" xfId="0" applyFont="1" applyAlignment="1">
      <alignment horizontal="right"/>
    </xf>
    <xf numFmtId="3" fontId="35" fillId="12" borderId="0" xfId="0" applyNumberFormat="1" applyFont="1" applyFill="1" applyAlignment="1">
      <alignment horizontal="right"/>
    </xf>
    <xf numFmtId="3" fontId="23" fillId="16" borderId="0" xfId="0" applyNumberFormat="1" applyFont="1" applyFill="1" applyAlignment="1">
      <alignment horizontal="right"/>
    </xf>
    <xf numFmtId="0" fontId="30" fillId="9" borderId="0" xfId="0" applyFont="1" applyFill="1"/>
    <xf numFmtId="14" fontId="30" fillId="9" borderId="0" xfId="0" applyNumberFormat="1" applyFont="1" applyFill="1" applyAlignment="1">
      <alignment horizontal="center"/>
    </xf>
    <xf numFmtId="165" fontId="40" fillId="0" borderId="0" xfId="1" applyFont="1" applyFill="1" applyBorder="1" applyAlignment="1" applyProtection="1"/>
    <xf numFmtId="3" fontId="40" fillId="0" borderId="0" xfId="0" applyNumberFormat="1" applyFont="1"/>
    <xf numFmtId="0" fontId="40" fillId="0" borderId="0" xfId="0" applyFont="1"/>
    <xf numFmtId="0" fontId="26" fillId="0" borderId="15" xfId="0" applyFont="1" applyBorder="1"/>
    <xf numFmtId="0" fontId="39" fillId="0" borderId="13" xfId="0" applyFont="1" applyBorder="1"/>
    <xf numFmtId="0" fontId="40" fillId="0" borderId="13" xfId="0" applyFont="1" applyBorder="1"/>
    <xf numFmtId="0" fontId="40" fillId="13" borderId="13" xfId="0" applyFont="1" applyFill="1" applyBorder="1"/>
    <xf numFmtId="0" fontId="40" fillId="17" borderId="13" xfId="0" applyFont="1" applyFill="1" applyBorder="1"/>
    <xf numFmtId="0" fontId="30" fillId="7" borderId="13" xfId="0" applyFont="1" applyFill="1" applyBorder="1"/>
    <xf numFmtId="0" fontId="40" fillId="13" borderId="13" xfId="0" applyFont="1" applyFill="1" applyBorder="1" applyAlignment="1">
      <alignment horizontal="left"/>
    </xf>
    <xf numFmtId="0" fontId="30" fillId="11" borderId="13" xfId="0" applyFont="1" applyFill="1" applyBorder="1"/>
    <xf numFmtId="0" fontId="40" fillId="3" borderId="13" xfId="0" applyFont="1" applyFill="1" applyBorder="1"/>
    <xf numFmtId="0" fontId="30" fillId="18" borderId="13" xfId="0" applyFont="1" applyFill="1" applyBorder="1"/>
    <xf numFmtId="0" fontId="40" fillId="19" borderId="13" xfId="0" applyFont="1" applyFill="1" applyBorder="1"/>
    <xf numFmtId="0" fontId="39" fillId="20" borderId="13" xfId="0" applyFont="1" applyFill="1" applyBorder="1"/>
    <xf numFmtId="0" fontId="40" fillId="16" borderId="13" xfId="0" applyFont="1" applyFill="1" applyBorder="1"/>
    <xf numFmtId="0" fontId="30" fillId="15" borderId="13" xfId="0" applyFont="1" applyFill="1" applyBorder="1"/>
    <xf numFmtId="0" fontId="40" fillId="21" borderId="13" xfId="0" applyFont="1" applyFill="1" applyBorder="1"/>
    <xf numFmtId="0" fontId="30" fillId="14" borderId="13" xfId="0" applyFont="1" applyFill="1" applyBorder="1"/>
    <xf numFmtId="0" fontId="30" fillId="22" borderId="14" xfId="0" applyFont="1" applyFill="1" applyBorder="1"/>
    <xf numFmtId="0" fontId="24" fillId="0" borderId="6" xfId="0" applyFont="1" applyBorder="1"/>
    <xf numFmtId="0" fontId="24" fillId="0" borderId="7" xfId="0" applyFont="1" applyBorder="1"/>
    <xf numFmtId="168" fontId="24" fillId="0" borderId="0" xfId="1" applyNumberFormat="1" applyFont="1" applyBorder="1" applyAlignment="1">
      <alignment horizontal="right"/>
    </xf>
    <xf numFmtId="168" fontId="24" fillId="3" borderId="0" xfId="1" applyNumberFormat="1" applyFont="1" applyFill="1" applyBorder="1" applyAlignment="1">
      <alignment horizontal="right"/>
    </xf>
    <xf numFmtId="168" fontId="40" fillId="17" borderId="13" xfId="1" applyNumberFormat="1" applyFont="1" applyFill="1" applyBorder="1" applyAlignment="1" applyProtection="1"/>
    <xf numFmtId="168" fontId="26" fillId="0" borderId="15" xfId="1" applyNumberFormat="1" applyFont="1" applyFill="1" applyBorder="1" applyAlignment="1" applyProtection="1"/>
    <xf numFmtId="168" fontId="40" fillId="0" borderId="13" xfId="1" applyNumberFormat="1" applyFont="1" applyFill="1" applyBorder="1" applyAlignment="1" applyProtection="1"/>
    <xf numFmtId="168" fontId="30" fillId="7" borderId="13" xfId="1" applyNumberFormat="1" applyFont="1" applyFill="1" applyBorder="1" applyAlignment="1" applyProtection="1"/>
    <xf numFmtId="168" fontId="39" fillId="0" borderId="13" xfId="1" applyNumberFormat="1" applyFont="1" applyFill="1" applyBorder="1" applyAlignment="1" applyProtection="1"/>
    <xf numFmtId="168" fontId="40" fillId="13" borderId="13" xfId="1" applyNumberFormat="1" applyFont="1" applyFill="1" applyBorder="1" applyAlignment="1" applyProtection="1"/>
    <xf numFmtId="168" fontId="30" fillId="11" borderId="13" xfId="1" applyNumberFormat="1" applyFont="1" applyFill="1" applyBorder="1" applyAlignment="1" applyProtection="1"/>
    <xf numFmtId="168" fontId="40" fillId="3" borderId="13" xfId="1" applyNumberFormat="1" applyFont="1" applyFill="1" applyBorder="1" applyAlignment="1" applyProtection="1"/>
    <xf numFmtId="168" fontId="30" fillId="18" borderId="13" xfId="1" applyNumberFormat="1" applyFont="1" applyFill="1" applyBorder="1" applyAlignment="1" applyProtection="1"/>
    <xf numFmtId="168" fontId="40" fillId="19" borderId="13" xfId="1" applyNumberFormat="1" applyFont="1" applyFill="1" applyBorder="1" applyAlignment="1" applyProtection="1"/>
    <xf numFmtId="168" fontId="39" fillId="20" borderId="13" xfId="1" applyNumberFormat="1" applyFont="1" applyFill="1" applyBorder="1" applyAlignment="1" applyProtection="1"/>
    <xf numFmtId="168" fontId="40" fillId="16" borderId="13" xfId="1" applyNumberFormat="1" applyFont="1" applyFill="1" applyBorder="1" applyAlignment="1" applyProtection="1"/>
    <xf numFmtId="168" fontId="30" fillId="15" borderId="13" xfId="1" applyNumberFormat="1" applyFont="1" applyFill="1" applyBorder="1" applyAlignment="1" applyProtection="1"/>
    <xf numFmtId="168" fontId="40" fillId="21" borderId="13" xfId="1" applyNumberFormat="1" applyFont="1" applyFill="1" applyBorder="1" applyAlignment="1" applyProtection="1"/>
    <xf numFmtId="168" fontId="30" fillId="14" borderId="13" xfId="1" applyNumberFormat="1" applyFont="1" applyFill="1" applyBorder="1" applyAlignment="1" applyProtection="1"/>
    <xf numFmtId="168" fontId="30" fillId="22" borderId="14" xfId="1" applyNumberFormat="1" applyFont="1" applyFill="1" applyBorder="1" applyAlignment="1" applyProtection="1"/>
    <xf numFmtId="168" fontId="0" fillId="3" borderId="0" xfId="0" applyNumberFormat="1" applyFill="1"/>
    <xf numFmtId="0" fontId="24" fillId="3" borderId="0" xfId="0" applyFont="1" applyFill="1"/>
    <xf numFmtId="168" fontId="31" fillId="2" borderId="4" xfId="0" applyNumberFormat="1" applyFont="1" applyFill="1" applyBorder="1"/>
    <xf numFmtId="0" fontId="11" fillId="6" borderId="0" xfId="0" applyFont="1" applyFill="1" applyAlignment="1">
      <alignment horizontal="left"/>
    </xf>
    <xf numFmtId="0" fontId="24" fillId="6" borderId="0" xfId="0" applyFont="1" applyFill="1" applyAlignment="1">
      <alignment horizontal="right"/>
    </xf>
    <xf numFmtId="168" fontId="24" fillId="6" borderId="0" xfId="1" applyNumberFormat="1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9" fillId="6" borderId="0" xfId="0" applyFont="1" applyFill="1" applyAlignment="1">
      <alignment horizontal="right"/>
    </xf>
    <xf numFmtId="0" fontId="18" fillId="0" borderId="0" xfId="0" applyFont="1"/>
    <xf numFmtId="168" fontId="0" fillId="0" borderId="0" xfId="0" applyNumberFormat="1" applyAlignment="1">
      <alignment horizontal="center" vertical="center"/>
    </xf>
    <xf numFmtId="168" fontId="20" fillId="0" borderId="8" xfId="1" applyNumberFormat="1" applyFont="1" applyBorder="1"/>
    <xf numFmtId="168" fontId="20" fillId="0" borderId="13" xfId="1" applyNumberFormat="1" applyFont="1" applyBorder="1"/>
    <xf numFmtId="0" fontId="43" fillId="0" borderId="4" xfId="0" applyFont="1" applyBorder="1" applyAlignment="1">
      <alignment horizontal="center"/>
    </xf>
    <xf numFmtId="168" fontId="43" fillId="0" borderId="5" xfId="0" applyNumberFormat="1" applyFont="1" applyBorder="1" applyAlignment="1">
      <alignment horizontal="right"/>
    </xf>
    <xf numFmtId="168" fontId="43" fillId="0" borderId="4" xfId="0" applyNumberFormat="1" applyFont="1" applyBorder="1" applyAlignment="1">
      <alignment horizontal="right"/>
    </xf>
    <xf numFmtId="168" fontId="43" fillId="0" borderId="7" xfId="0" applyNumberFormat="1" applyFont="1" applyBorder="1" applyAlignment="1">
      <alignment horizontal="right"/>
    </xf>
    <xf numFmtId="0" fontId="13" fillId="0" borderId="0" xfId="0" applyFont="1" applyAlignment="1">
      <alignment vertical="center"/>
    </xf>
    <xf numFmtId="168" fontId="43" fillId="0" borderId="0" xfId="0" applyNumberFormat="1" applyFont="1" applyAlignment="1">
      <alignment horizontal="right"/>
    </xf>
    <xf numFmtId="0" fontId="0" fillId="0" borderId="19" xfId="0" applyBorder="1" applyAlignment="1">
      <alignment horizontal="center"/>
    </xf>
    <xf numFmtId="167" fontId="44" fillId="0" borderId="19" xfId="43" applyFont="1" applyBorder="1"/>
    <xf numFmtId="168" fontId="0" fillId="0" borderId="0" xfId="0" applyNumberFormat="1" applyAlignment="1">
      <alignment vertical="center"/>
    </xf>
    <xf numFmtId="0" fontId="8" fillId="0" borderId="8" xfId="0" applyFont="1" applyBorder="1" applyAlignment="1">
      <alignment horizontal="right"/>
    </xf>
    <xf numFmtId="167" fontId="24" fillId="0" borderId="0" xfId="43" applyFont="1"/>
    <xf numFmtId="167" fontId="24" fillId="0" borderId="0" xfId="43" applyFont="1" applyBorder="1" applyAlignment="1">
      <alignment horizontal="right"/>
    </xf>
    <xf numFmtId="167" fontId="24" fillId="0" borderId="0" xfId="43" applyFont="1" applyAlignment="1">
      <alignment horizontal="right" vertical="top"/>
    </xf>
    <xf numFmtId="3" fontId="24" fillId="0" borderId="0" xfId="0" applyNumberFormat="1" applyFont="1" applyAlignment="1">
      <alignment horizontal="right" vertical="top"/>
    </xf>
    <xf numFmtId="167" fontId="24" fillId="0" borderId="0" xfId="43" applyFont="1" applyBorder="1" applyAlignment="1">
      <alignment horizontal="right" vertical="top"/>
    </xf>
    <xf numFmtId="3" fontId="24" fillId="0" borderId="0" xfId="1" applyNumberFormat="1" applyFont="1" applyBorder="1" applyAlignment="1">
      <alignment horizontal="right" vertical="top"/>
    </xf>
    <xf numFmtId="167" fontId="24" fillId="3" borderId="0" xfId="43" applyFont="1" applyFill="1" applyBorder="1" applyAlignment="1">
      <alignment horizontal="right" vertical="top"/>
    </xf>
    <xf numFmtId="3" fontId="24" fillId="3" borderId="0" xfId="0" applyNumberFormat="1" applyFont="1" applyFill="1" applyAlignment="1">
      <alignment horizontal="right" vertical="top"/>
    </xf>
    <xf numFmtId="167" fontId="25" fillId="0" borderId="0" xfId="43" applyFont="1" applyBorder="1" applyAlignment="1">
      <alignment horizontal="right" vertical="top"/>
    </xf>
    <xf numFmtId="3" fontId="25" fillId="0" borderId="0" xfId="43" applyNumberFormat="1" applyFont="1" applyBorder="1" applyAlignment="1">
      <alignment horizontal="right" vertical="top"/>
    </xf>
    <xf numFmtId="0" fontId="46" fillId="0" borderId="0" xfId="0" applyFont="1"/>
    <xf numFmtId="0" fontId="25" fillId="0" borderId="5" xfId="0" applyFont="1" applyBorder="1" applyAlignment="1">
      <alignment horizontal="center"/>
    </xf>
    <xf numFmtId="0" fontId="24" fillId="0" borderId="16" xfId="0" applyFont="1" applyBorder="1"/>
    <xf numFmtId="168" fontId="24" fillId="0" borderId="16" xfId="1" applyNumberFormat="1" applyFont="1" applyBorder="1"/>
    <xf numFmtId="168" fontId="24" fillId="0" borderId="17" xfId="1" applyNumberFormat="1" applyFont="1" applyBorder="1"/>
    <xf numFmtId="168" fontId="24" fillId="3" borderId="9" xfId="1" applyNumberFormat="1" applyFont="1" applyFill="1" applyBorder="1"/>
    <xf numFmtId="0" fontId="9" fillId="0" borderId="8" xfId="0" applyFont="1" applyBorder="1"/>
    <xf numFmtId="168" fontId="24" fillId="0" borderId="0" xfId="1" applyNumberFormat="1" applyFont="1" applyBorder="1"/>
    <xf numFmtId="168" fontId="24" fillId="0" borderId="9" xfId="1" applyNumberFormat="1" applyFont="1" applyBorder="1"/>
    <xf numFmtId="0" fontId="24" fillId="3" borderId="8" xfId="0" applyFont="1" applyFill="1" applyBorder="1"/>
    <xf numFmtId="0" fontId="24" fillId="6" borderId="8" xfId="0" applyFont="1" applyFill="1" applyBorder="1"/>
    <xf numFmtId="0" fontId="24" fillId="6" borderId="0" xfId="0" applyFont="1" applyFill="1"/>
    <xf numFmtId="168" fontId="24" fillId="6" borderId="9" xfId="1" applyNumberFormat="1" applyFont="1" applyFill="1" applyBorder="1"/>
    <xf numFmtId="0" fontId="24" fillId="0" borderId="9" xfId="0" applyFont="1" applyBorder="1"/>
    <xf numFmtId="0" fontId="24" fillId="0" borderId="11" xfId="0" applyFont="1" applyBorder="1"/>
    <xf numFmtId="168" fontId="25" fillId="0" borderId="5" xfId="1" applyNumberFormat="1" applyFont="1" applyBorder="1"/>
    <xf numFmtId="168" fontId="25" fillId="0" borderId="7" xfId="0" applyNumberFormat="1" applyFont="1" applyBorder="1"/>
    <xf numFmtId="168" fontId="25" fillId="0" borderId="7" xfId="1" applyNumberFormat="1" applyFont="1" applyBorder="1"/>
    <xf numFmtId="0" fontId="24" fillId="6" borderId="12" xfId="0" applyFont="1" applyFill="1" applyBorder="1" applyAlignment="1">
      <alignment horizontal="left"/>
    </xf>
    <xf numFmtId="168" fontId="24" fillId="6" borderId="16" xfId="1" applyNumberFormat="1" applyFont="1" applyFill="1" applyBorder="1" applyAlignment="1">
      <alignment horizontal="center"/>
    </xf>
    <xf numFmtId="0" fontId="24" fillId="6" borderId="16" xfId="0" applyFont="1" applyFill="1" applyBorder="1" applyAlignment="1">
      <alignment horizontal="center"/>
    </xf>
    <xf numFmtId="168" fontId="24" fillId="6" borderId="17" xfId="0" applyNumberFormat="1" applyFont="1" applyFill="1" applyBorder="1" applyAlignment="1">
      <alignment horizontal="center"/>
    </xf>
    <xf numFmtId="0" fontId="24" fillId="6" borderId="8" xfId="0" applyFont="1" applyFill="1" applyBorder="1" applyAlignment="1">
      <alignment horizontal="left"/>
    </xf>
    <xf numFmtId="168" fontId="24" fillId="6" borderId="9" xfId="0" applyNumberFormat="1" applyFont="1" applyFill="1" applyBorder="1" applyAlignment="1">
      <alignment horizontal="center"/>
    </xf>
    <xf numFmtId="0" fontId="11" fillId="6" borderId="8" xfId="0" applyFont="1" applyFill="1" applyBorder="1" applyAlignment="1">
      <alignment horizontal="left"/>
    </xf>
    <xf numFmtId="0" fontId="24" fillId="6" borderId="8" xfId="0" applyFont="1" applyFill="1" applyBorder="1" applyAlignment="1">
      <alignment horizontal="center"/>
    </xf>
    <xf numFmtId="0" fontId="24" fillId="6" borderId="10" xfId="0" applyFont="1" applyFill="1" applyBorder="1" applyAlignment="1">
      <alignment horizontal="center"/>
    </xf>
    <xf numFmtId="0" fontId="25" fillId="6" borderId="5" xfId="0" applyFont="1" applyFill="1" applyBorder="1" applyAlignment="1">
      <alignment horizontal="center"/>
    </xf>
    <xf numFmtId="168" fontId="25" fillId="6" borderId="7" xfId="0" applyNumberFormat="1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right"/>
    </xf>
    <xf numFmtId="168" fontId="24" fillId="0" borderId="11" xfId="1" applyNumberFormat="1" applyFont="1" applyBorder="1" applyAlignment="1">
      <alignment horizontal="center"/>
    </xf>
    <xf numFmtId="168" fontId="25" fillId="0" borderId="7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168" fontId="24" fillId="0" borderId="9" xfId="0" applyNumberFormat="1" applyFont="1" applyBorder="1" applyAlignment="1">
      <alignment horizontal="center"/>
    </xf>
    <xf numFmtId="0" fontId="25" fillId="0" borderId="22" xfId="0" applyFont="1" applyBorder="1"/>
    <xf numFmtId="168" fontId="25" fillId="0" borderId="23" xfId="0" applyNumberFormat="1" applyFont="1" applyBorder="1" applyAlignment="1">
      <alignment horizontal="right"/>
    </xf>
    <xf numFmtId="168" fontId="24" fillId="4" borderId="25" xfId="0" applyNumberFormat="1" applyFont="1" applyFill="1" applyBorder="1"/>
    <xf numFmtId="168" fontId="24" fillId="0" borderId="25" xfId="0" applyNumberFormat="1" applyFont="1" applyBorder="1"/>
    <xf numFmtId="0" fontId="24" fillId="4" borderId="24" xfId="0" applyFont="1" applyFill="1" applyBorder="1"/>
    <xf numFmtId="0" fontId="24" fillId="0" borderId="24" xfId="0" applyFont="1" applyBorder="1"/>
    <xf numFmtId="0" fontId="24" fillId="0" borderId="25" xfId="0" applyFont="1" applyBorder="1"/>
    <xf numFmtId="0" fontId="25" fillId="0" borderId="26" xfId="0" applyFont="1" applyBorder="1" applyAlignment="1">
      <alignment horizontal="right"/>
    </xf>
    <xf numFmtId="168" fontId="25" fillId="0" borderId="27" xfId="0" applyNumberFormat="1" applyFont="1" applyBorder="1"/>
    <xf numFmtId="168" fontId="25" fillId="4" borderId="27" xfId="0" applyNumberFormat="1" applyFont="1" applyFill="1" applyBorder="1"/>
    <xf numFmtId="168" fontId="0" fillId="0" borderId="11" xfId="1" applyNumberFormat="1" applyFont="1" applyBorder="1"/>
    <xf numFmtId="168" fontId="24" fillId="0" borderId="9" xfId="0" applyNumberFormat="1" applyFont="1" applyBorder="1"/>
    <xf numFmtId="0" fontId="24" fillId="4" borderId="8" xfId="0" applyFont="1" applyFill="1" applyBorder="1"/>
    <xf numFmtId="0" fontId="24" fillId="4" borderId="0" xfId="0" applyFont="1" applyFill="1"/>
    <xf numFmtId="168" fontId="24" fillId="4" borderId="0" xfId="1" applyNumberFormat="1" applyFont="1" applyFill="1" applyBorder="1"/>
    <xf numFmtId="168" fontId="24" fillId="4" borderId="9" xfId="0" applyNumberFormat="1" applyFont="1" applyFill="1" applyBorder="1"/>
    <xf numFmtId="0" fontId="9" fillId="0" borderId="24" xfId="0" applyFont="1" applyBorder="1"/>
    <xf numFmtId="0" fontId="25" fillId="0" borderId="5" xfId="0" applyFont="1" applyBorder="1" applyAlignment="1">
      <alignment horizontal="right"/>
    </xf>
    <xf numFmtId="0" fontId="24" fillId="0" borderId="31" xfId="0" applyFont="1" applyBorder="1"/>
    <xf numFmtId="0" fontId="24" fillId="0" borderId="23" xfId="0" applyFont="1" applyBorder="1" applyAlignment="1">
      <alignment horizontal="right"/>
    </xf>
    <xf numFmtId="0" fontId="24" fillId="3" borderId="24" xfId="0" applyFont="1" applyFill="1" applyBorder="1"/>
    <xf numFmtId="168" fontId="24" fillId="3" borderId="25" xfId="0" applyNumberFormat="1" applyFont="1" applyFill="1" applyBorder="1"/>
    <xf numFmtId="0" fontId="24" fillId="0" borderId="26" xfId="0" applyFont="1" applyBorder="1"/>
    <xf numFmtId="0" fontId="24" fillId="0" borderId="32" xfId="0" applyFont="1" applyBorder="1"/>
    <xf numFmtId="168" fontId="25" fillId="0" borderId="3" xfId="0" applyNumberFormat="1" applyFont="1" applyBorder="1"/>
    <xf numFmtId="0" fontId="25" fillId="4" borderId="1" xfId="0" applyFont="1" applyFill="1" applyBorder="1" applyAlignment="1">
      <alignment horizontal="right"/>
    </xf>
    <xf numFmtId="168" fontId="25" fillId="4" borderId="3" xfId="0" applyNumberFormat="1" applyFont="1" applyFill="1" applyBorder="1"/>
    <xf numFmtId="0" fontId="9" fillId="3" borderId="24" xfId="0" applyFont="1" applyFill="1" applyBorder="1"/>
    <xf numFmtId="0" fontId="10" fillId="0" borderId="8" xfId="0" applyFont="1" applyBorder="1"/>
    <xf numFmtId="0" fontId="10" fillId="3" borderId="8" xfId="0" applyFont="1" applyFill="1" applyBorder="1"/>
    <xf numFmtId="0" fontId="25" fillId="0" borderId="23" xfId="0" applyFont="1" applyBorder="1"/>
    <xf numFmtId="168" fontId="24" fillId="0" borderId="25" xfId="1" applyNumberFormat="1" applyFont="1" applyBorder="1"/>
    <xf numFmtId="168" fontId="24" fillId="3" borderId="25" xfId="1" applyNumberFormat="1" applyFont="1" applyFill="1" applyBorder="1"/>
    <xf numFmtId="0" fontId="25" fillId="0" borderId="35" xfId="0" applyFont="1" applyBorder="1"/>
    <xf numFmtId="168" fontId="25" fillId="4" borderId="1" xfId="1" applyNumberFormat="1" applyFont="1" applyFill="1" applyBorder="1"/>
    <xf numFmtId="0" fontId="25" fillId="0" borderId="36" xfId="0" applyFont="1" applyBorder="1"/>
    <xf numFmtId="0" fontId="25" fillId="0" borderId="37" xfId="0" applyFont="1" applyBorder="1"/>
    <xf numFmtId="168" fontId="24" fillId="0" borderId="32" xfId="0" applyNumberFormat="1" applyFont="1" applyBorder="1"/>
    <xf numFmtId="0" fontId="25" fillId="0" borderId="32" xfId="0" applyFont="1" applyBorder="1"/>
    <xf numFmtId="168" fontId="25" fillId="0" borderId="32" xfId="0" applyNumberFormat="1" applyFont="1" applyBorder="1"/>
    <xf numFmtId="0" fontId="48" fillId="0" borderId="4" xfId="0" applyFont="1" applyBorder="1"/>
    <xf numFmtId="168" fontId="49" fillId="0" borderId="4" xfId="0" applyNumberFormat="1" applyFont="1" applyBorder="1"/>
    <xf numFmtId="0" fontId="50" fillId="0" borderId="0" xfId="0" applyFont="1"/>
    <xf numFmtId="0" fontId="48" fillId="0" borderId="0" xfId="0" applyFont="1"/>
    <xf numFmtId="168" fontId="49" fillId="0" borderId="0" xfId="0" applyNumberFormat="1" applyFont="1"/>
    <xf numFmtId="168" fontId="50" fillId="0" borderId="0" xfId="0" applyNumberFormat="1" applyFont="1" applyAlignment="1">
      <alignment vertical="center"/>
    </xf>
    <xf numFmtId="0" fontId="13" fillId="0" borderId="22" xfId="0" applyFont="1" applyBorder="1" applyAlignment="1">
      <alignment horizontal="center"/>
    </xf>
    <xf numFmtId="0" fontId="0" fillId="0" borderId="24" xfId="0" applyBorder="1"/>
    <xf numFmtId="168" fontId="16" fillId="0" borderId="38" xfId="0" applyNumberFormat="1" applyFont="1" applyBorder="1"/>
    <xf numFmtId="0" fontId="13" fillId="4" borderId="39" xfId="0" applyFont="1" applyFill="1" applyBorder="1"/>
    <xf numFmtId="168" fontId="13" fillId="4" borderId="40" xfId="0" applyNumberFormat="1" applyFont="1" applyFill="1" applyBorder="1"/>
    <xf numFmtId="168" fontId="13" fillId="4" borderId="41" xfId="0" applyNumberFormat="1" applyFont="1" applyFill="1" applyBorder="1"/>
    <xf numFmtId="168" fontId="50" fillId="0" borderId="14" xfId="0" applyNumberFormat="1" applyFont="1" applyBorder="1" applyAlignment="1">
      <alignment vertical="center"/>
    </xf>
    <xf numFmtId="0" fontId="13" fillId="0" borderId="42" xfId="0" applyFont="1" applyBorder="1" applyAlignment="1">
      <alignment horizontal="center"/>
    </xf>
    <xf numFmtId="0" fontId="13" fillId="4" borderId="43" xfId="0" applyFont="1" applyFill="1" applyBorder="1"/>
    <xf numFmtId="168" fontId="13" fillId="4" borderId="44" xfId="0" applyNumberFormat="1" applyFont="1" applyFill="1" applyBorder="1"/>
    <xf numFmtId="168" fontId="13" fillId="4" borderId="45" xfId="0" applyNumberFormat="1" applyFont="1" applyFill="1" applyBorder="1"/>
    <xf numFmtId="0" fontId="0" fillId="0" borderId="15" xfId="0" applyBorder="1" applyAlignment="1">
      <alignment horizontal="center"/>
    </xf>
    <xf numFmtId="167" fontId="44" fillId="0" borderId="4" xfId="43" applyFont="1" applyBorder="1"/>
    <xf numFmtId="0" fontId="0" fillId="0" borderId="4" xfId="0" applyBorder="1" applyAlignment="1">
      <alignment horizontal="center"/>
    </xf>
    <xf numFmtId="168" fontId="0" fillId="0" borderId="25" xfId="0" applyNumberFormat="1" applyBorder="1"/>
    <xf numFmtId="0" fontId="0" fillId="3" borderId="24" xfId="0" applyFill="1" applyBorder="1"/>
    <xf numFmtId="168" fontId="0" fillId="3" borderId="25" xfId="0" applyNumberFormat="1" applyFill="1" applyBorder="1"/>
    <xf numFmtId="0" fontId="0" fillId="3" borderId="26" xfId="0" applyFill="1" applyBorder="1"/>
    <xf numFmtId="168" fontId="0" fillId="3" borderId="32" xfId="0" applyNumberFormat="1" applyFill="1" applyBorder="1"/>
    <xf numFmtId="168" fontId="0" fillId="3" borderId="27" xfId="0" applyNumberFormat="1" applyFill="1" applyBorder="1"/>
    <xf numFmtId="0" fontId="24" fillId="3" borderId="8" xfId="0" applyFont="1" applyFill="1" applyBorder="1" applyAlignment="1">
      <alignment vertical="center" wrapText="1"/>
    </xf>
    <xf numFmtId="168" fontId="24" fillId="3" borderId="9" xfId="1" applyNumberFormat="1" applyFont="1" applyFill="1" applyBorder="1" applyAlignment="1">
      <alignment horizontal="right"/>
    </xf>
    <xf numFmtId="168" fontId="24" fillId="0" borderId="9" xfId="1" applyNumberFormat="1" applyFont="1" applyBorder="1" applyAlignment="1">
      <alignment horizontal="right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168" fontId="25" fillId="0" borderId="6" xfId="1" applyNumberFormat="1" applyFont="1" applyBorder="1" applyAlignment="1">
      <alignment horizontal="right"/>
    </xf>
    <xf numFmtId="168" fontId="25" fillId="0" borderId="7" xfId="1" applyNumberFormat="1" applyFont="1" applyBorder="1" applyAlignment="1">
      <alignment horizontal="right"/>
    </xf>
    <xf numFmtId="0" fontId="25" fillId="0" borderId="23" xfId="0" applyFont="1" applyBorder="1" applyAlignment="1">
      <alignment horizontal="right" wrapText="1"/>
    </xf>
    <xf numFmtId="0" fontId="31" fillId="7" borderId="0" xfId="0" applyFont="1" applyFill="1"/>
    <xf numFmtId="168" fontId="31" fillId="7" borderId="0" xfId="0" applyNumberFormat="1" applyFont="1" applyFill="1"/>
    <xf numFmtId="168" fontId="31" fillId="7" borderId="25" xfId="0" applyNumberFormat="1" applyFont="1" applyFill="1" applyBorder="1"/>
    <xf numFmtId="168" fontId="24" fillId="8" borderId="0" xfId="0" applyNumberFormat="1" applyFont="1" applyFill="1"/>
    <xf numFmtId="168" fontId="24" fillId="8" borderId="25" xfId="0" applyNumberFormat="1" applyFont="1" applyFill="1" applyBorder="1"/>
    <xf numFmtId="0" fontId="30" fillId="2" borderId="39" xfId="0" applyFont="1" applyFill="1" applyBorder="1" applyAlignment="1">
      <alignment horizontal="right" vertical="center"/>
    </xf>
    <xf numFmtId="0" fontId="30" fillId="2" borderId="40" xfId="0" applyFont="1" applyFill="1" applyBorder="1" applyAlignment="1">
      <alignment vertical="center"/>
    </xf>
    <xf numFmtId="168" fontId="30" fillId="2" borderId="32" xfId="0" applyNumberFormat="1" applyFont="1" applyFill="1" applyBorder="1"/>
    <xf numFmtId="168" fontId="30" fillId="2" borderId="27" xfId="0" applyNumberFormat="1" applyFont="1" applyFill="1" applyBorder="1"/>
    <xf numFmtId="0" fontId="36" fillId="0" borderId="28" xfId="0" applyFont="1" applyBorder="1"/>
    <xf numFmtId="0" fontId="36" fillId="0" borderId="30" xfId="0" applyFont="1" applyBorder="1" applyAlignment="1">
      <alignment horizontal="right"/>
    </xf>
    <xf numFmtId="0" fontId="37" fillId="0" borderId="24" xfId="0" applyFont="1" applyBorder="1"/>
    <xf numFmtId="3" fontId="37" fillId="0" borderId="25" xfId="0" applyNumberFormat="1" applyFont="1" applyBorder="1" applyAlignment="1">
      <alignment horizontal="right"/>
    </xf>
    <xf numFmtId="0" fontId="37" fillId="3" borderId="24" xfId="0" applyFont="1" applyFill="1" applyBorder="1"/>
    <xf numFmtId="3" fontId="37" fillId="3" borderId="25" xfId="0" applyNumberFormat="1" applyFont="1" applyFill="1" applyBorder="1" applyAlignment="1">
      <alignment horizontal="right"/>
    </xf>
    <xf numFmtId="0" fontId="36" fillId="3" borderId="24" xfId="0" applyFont="1" applyFill="1" applyBorder="1"/>
    <xf numFmtId="3" fontId="36" fillId="3" borderId="25" xfId="0" applyNumberFormat="1" applyFont="1" applyFill="1" applyBorder="1" applyAlignment="1">
      <alignment horizontal="right"/>
    </xf>
    <xf numFmtId="0" fontId="38" fillId="0" borderId="24" xfId="0" applyFont="1" applyBorder="1"/>
    <xf numFmtId="3" fontId="38" fillId="0" borderId="25" xfId="0" applyNumberFormat="1" applyFont="1" applyBorder="1" applyAlignment="1">
      <alignment horizontal="right"/>
    </xf>
    <xf numFmtId="0" fontId="37" fillId="0" borderId="25" xfId="0" applyFont="1" applyBorder="1"/>
    <xf numFmtId="0" fontId="36" fillId="4" borderId="1" xfId="0" applyFont="1" applyFill="1" applyBorder="1"/>
    <xf numFmtId="3" fontId="36" fillId="4" borderId="3" xfId="0" applyNumberFormat="1" applyFont="1" applyFill="1" applyBorder="1" applyAlignment="1">
      <alignment horizontal="right"/>
    </xf>
    <xf numFmtId="0" fontId="23" fillId="0" borderId="22" xfId="0" applyFont="1" applyBorder="1" applyAlignment="1">
      <alignment horizontal="left"/>
    </xf>
    <xf numFmtId="0" fontId="23" fillId="0" borderId="23" xfId="0" applyFont="1" applyBorder="1" applyAlignment="1">
      <alignment horizontal="right"/>
    </xf>
    <xf numFmtId="0" fontId="23" fillId="0" borderId="24" xfId="0" applyFont="1" applyBorder="1" applyAlignment="1">
      <alignment horizontal="left"/>
    </xf>
    <xf numFmtId="9" fontId="23" fillId="0" borderId="25" xfId="2" applyFont="1" applyBorder="1" applyAlignment="1">
      <alignment horizontal="right"/>
    </xf>
    <xf numFmtId="0" fontId="35" fillId="12" borderId="24" xfId="0" applyFont="1" applyFill="1" applyBorder="1" applyAlignment="1">
      <alignment horizontal="left"/>
    </xf>
    <xf numFmtId="9" fontId="35" fillId="12" borderId="25" xfId="2" applyFont="1" applyFill="1" applyBorder="1" applyAlignment="1">
      <alignment horizontal="right"/>
    </xf>
    <xf numFmtId="0" fontId="35" fillId="16" borderId="24" xfId="0" applyFont="1" applyFill="1" applyBorder="1" applyAlignment="1">
      <alignment horizontal="left"/>
    </xf>
    <xf numFmtId="9" fontId="35" fillId="16" borderId="25" xfId="2" applyFont="1" applyFill="1" applyBorder="1" applyAlignment="1">
      <alignment horizontal="right"/>
    </xf>
    <xf numFmtId="0" fontId="35" fillId="0" borderId="24" xfId="0" applyFont="1" applyBorder="1" applyAlignment="1">
      <alignment horizontal="left"/>
    </xf>
    <xf numFmtId="169" fontId="35" fillId="0" borderId="25" xfId="2" applyNumberFormat="1" applyFont="1" applyBorder="1" applyAlignment="1">
      <alignment horizontal="right"/>
    </xf>
    <xf numFmtId="0" fontId="23" fillId="10" borderId="1" xfId="0" applyFont="1" applyFill="1" applyBorder="1" applyAlignment="1">
      <alignment horizontal="left"/>
    </xf>
    <xf numFmtId="3" fontId="23" fillId="10" borderId="2" xfId="0" applyNumberFormat="1" applyFont="1" applyFill="1" applyBorder="1" applyAlignment="1">
      <alignment horizontal="right"/>
    </xf>
    <xf numFmtId="10" fontId="23" fillId="10" borderId="3" xfId="2" applyNumberFormat="1" applyFont="1" applyFill="1" applyBorder="1" applyAlignment="1">
      <alignment horizontal="right"/>
    </xf>
    <xf numFmtId="0" fontId="23" fillId="4" borderId="4" xfId="0" applyFont="1" applyFill="1" applyBorder="1"/>
    <xf numFmtId="0" fontId="23" fillId="4" borderId="4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right"/>
    </xf>
    <xf numFmtId="0" fontId="6" fillId="6" borderId="0" xfId="0" applyFont="1" applyFill="1" applyAlignment="1">
      <alignment horizontal="right"/>
    </xf>
    <xf numFmtId="0" fontId="52" fillId="0" borderId="0" xfId="0" applyFont="1"/>
    <xf numFmtId="0" fontId="6" fillId="6" borderId="0" xfId="0" applyFont="1" applyFill="1" applyAlignment="1">
      <alignment horizontal="left"/>
    </xf>
    <xf numFmtId="0" fontId="6" fillId="6" borderId="8" xfId="0" applyFont="1" applyFill="1" applyBorder="1" applyAlignment="1">
      <alignment horizontal="left"/>
    </xf>
    <xf numFmtId="0" fontId="53" fillId="0" borderId="0" xfId="0" applyFont="1"/>
    <xf numFmtId="0" fontId="6" fillId="4" borderId="24" xfId="0" applyFont="1" applyFill="1" applyBorder="1"/>
    <xf numFmtId="0" fontId="6" fillId="0" borderId="24" xfId="0" applyFont="1" applyBorder="1"/>
    <xf numFmtId="0" fontId="6" fillId="6" borderId="8" xfId="0" applyFont="1" applyFill="1" applyBorder="1"/>
    <xf numFmtId="168" fontId="6" fillId="6" borderId="0" xfId="1" applyNumberFormat="1" applyFont="1" applyFill="1" applyBorder="1"/>
    <xf numFmtId="0" fontId="6" fillId="6" borderId="0" xfId="0" applyFont="1" applyFill="1"/>
    <xf numFmtId="168" fontId="6" fillId="6" borderId="9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168" fontId="6" fillId="0" borderId="9" xfId="0" applyNumberFormat="1" applyFont="1" applyBorder="1" applyAlignment="1">
      <alignment horizontal="center"/>
    </xf>
    <xf numFmtId="0" fontId="6" fillId="0" borderId="0" xfId="0" applyFont="1"/>
    <xf numFmtId="168" fontId="24" fillId="6" borderId="9" xfId="0" applyNumberFormat="1" applyFont="1" applyFill="1" applyBorder="1"/>
    <xf numFmtId="0" fontId="6" fillId="3" borderId="8" xfId="0" applyFont="1" applyFill="1" applyBorder="1"/>
    <xf numFmtId="0" fontId="6" fillId="0" borderId="8" xfId="0" applyFont="1" applyBorder="1"/>
    <xf numFmtId="168" fontId="23" fillId="0" borderId="0" xfId="0" applyNumberFormat="1" applyFont="1"/>
    <xf numFmtId="0" fontId="6" fillId="0" borderId="12" xfId="0" applyFont="1" applyBorder="1"/>
    <xf numFmtId="0" fontId="25" fillId="0" borderId="12" xfId="0" applyFont="1" applyBorder="1" applyAlignment="1">
      <alignment vertical="center"/>
    </xf>
    <xf numFmtId="168" fontId="25" fillId="0" borderId="16" xfId="1" applyNumberFormat="1" applyFont="1" applyBorder="1" applyAlignment="1">
      <alignment horizontal="right"/>
    </xf>
    <xf numFmtId="168" fontId="25" fillId="0" borderId="17" xfId="1" applyNumberFormat="1" applyFont="1" applyBorder="1" applyAlignment="1">
      <alignment horizontal="right"/>
    </xf>
    <xf numFmtId="168" fontId="25" fillId="0" borderId="4" xfId="0" applyNumberFormat="1" applyFont="1" applyBorder="1"/>
    <xf numFmtId="168" fontId="24" fillId="3" borderId="24" xfId="1" applyNumberFormat="1" applyFont="1" applyFill="1" applyBorder="1"/>
    <xf numFmtId="168" fontId="7" fillId="0" borderId="24" xfId="1" applyNumberFormat="1" applyFont="1" applyBorder="1"/>
    <xf numFmtId="168" fontId="24" fillId="0" borderId="24" xfId="1" applyNumberFormat="1" applyFont="1" applyBorder="1"/>
    <xf numFmtId="168" fontId="24" fillId="4" borderId="2" xfId="1" applyNumberFormat="1" applyFont="1" applyFill="1" applyBorder="1"/>
    <xf numFmtId="168" fontId="24" fillId="4" borderId="3" xfId="1" applyNumberFormat="1" applyFont="1" applyFill="1" applyBorder="1"/>
    <xf numFmtId="168" fontId="6" fillId="3" borderId="24" xfId="1" applyNumberFormat="1" applyFont="1" applyFill="1" applyBorder="1"/>
    <xf numFmtId="0" fontId="13" fillId="0" borderId="8" xfId="0" applyFont="1" applyBorder="1" applyAlignment="1">
      <alignment horizontal="center"/>
    </xf>
    <xf numFmtId="0" fontId="16" fillId="0" borderId="12" xfId="0" applyFont="1" applyBorder="1"/>
    <xf numFmtId="0" fontId="56" fillId="0" borderId="0" xfId="0" applyFont="1"/>
    <xf numFmtId="0" fontId="57" fillId="0" borderId="0" xfId="0" applyFont="1"/>
    <xf numFmtId="0" fontId="58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56" fillId="0" borderId="4" xfId="0" applyFont="1" applyBorder="1"/>
    <xf numFmtId="0" fontId="56" fillId="0" borderId="4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shrinkToFit="1"/>
    </xf>
    <xf numFmtId="0" fontId="56" fillId="0" borderId="0" xfId="0" applyFont="1" applyAlignment="1">
      <alignment horizontal="center" vertical="center" wrapText="1"/>
    </xf>
    <xf numFmtId="164" fontId="56" fillId="23" borderId="4" xfId="45" applyFont="1" applyFill="1" applyBorder="1"/>
    <xf numFmtId="166" fontId="56" fillId="0" borderId="4" xfId="44" applyFont="1" applyBorder="1"/>
    <xf numFmtId="170" fontId="56" fillId="0" borderId="4" xfId="0" applyNumberFormat="1" applyFont="1" applyBorder="1"/>
    <xf numFmtId="166" fontId="56" fillId="0" borderId="4" xfId="45" applyNumberFormat="1" applyFont="1" applyBorder="1"/>
    <xf numFmtId="164" fontId="56" fillId="0" borderId="4" xfId="0" applyNumberFormat="1" applyFont="1" applyBorder="1"/>
    <xf numFmtId="0" fontId="58" fillId="24" borderId="4" xfId="0" applyFont="1" applyFill="1" applyBorder="1"/>
    <xf numFmtId="164" fontId="58" fillId="24" borderId="4" xfId="45" applyFont="1" applyFill="1" applyBorder="1"/>
    <xf numFmtId="166" fontId="56" fillId="24" borderId="4" xfId="44" applyFont="1" applyFill="1" applyBorder="1"/>
    <xf numFmtId="164" fontId="58" fillId="24" borderId="4" xfId="0" applyNumberFormat="1" applyFont="1" applyFill="1" applyBorder="1"/>
    <xf numFmtId="164" fontId="58" fillId="0" borderId="0" xfId="0" applyNumberFormat="1" applyFont="1"/>
    <xf numFmtId="164" fontId="58" fillId="0" borderId="0" xfId="45" applyFont="1" applyBorder="1"/>
    <xf numFmtId="164" fontId="56" fillId="0" borderId="0" xfId="0" applyNumberFormat="1" applyFont="1"/>
    <xf numFmtId="0" fontId="58" fillId="0" borderId="0" xfId="0" applyFont="1"/>
    <xf numFmtId="0" fontId="56" fillId="0" borderId="4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wrapText="1"/>
    </xf>
    <xf numFmtId="167" fontId="56" fillId="0" borderId="4" xfId="45" applyNumberFormat="1" applyFont="1" applyBorder="1"/>
    <xf numFmtId="0" fontId="56" fillId="0" borderId="4" xfId="0" applyFont="1" applyBorder="1" applyAlignment="1">
      <alignment horizontal="center"/>
    </xf>
    <xf numFmtId="167" fontId="56" fillId="0" borderId="4" xfId="0" applyNumberFormat="1" applyFont="1" applyBorder="1"/>
    <xf numFmtId="0" fontId="56" fillId="24" borderId="4" xfId="0" applyFont="1" applyFill="1" applyBorder="1"/>
    <xf numFmtId="167" fontId="58" fillId="24" borderId="4" xfId="0" applyNumberFormat="1" applyFont="1" applyFill="1" applyBorder="1"/>
    <xf numFmtId="0" fontId="16" fillId="0" borderId="4" xfId="0" applyFont="1" applyBorder="1"/>
    <xf numFmtId="0" fontId="16" fillId="0" borderId="15" xfId="0" applyFont="1" applyBorder="1"/>
    <xf numFmtId="0" fontId="0" fillId="3" borderId="14" xfId="0" applyFill="1" applyBorder="1"/>
    <xf numFmtId="0" fontId="13" fillId="0" borderId="29" xfId="0" applyFont="1" applyBorder="1" applyAlignment="1">
      <alignment horizontal="right"/>
    </xf>
    <xf numFmtId="0" fontId="16" fillId="0" borderId="13" xfId="0" applyFont="1" applyBorder="1"/>
    <xf numFmtId="0" fontId="16" fillId="0" borderId="14" xfId="0" applyFont="1" applyBorder="1"/>
    <xf numFmtId="0" fontId="26" fillId="0" borderId="13" xfId="0" applyFont="1" applyBorder="1"/>
    <xf numFmtId="168" fontId="26" fillId="0" borderId="13" xfId="1" applyNumberFormat="1" applyFont="1" applyFill="1" applyBorder="1" applyAlignment="1" applyProtection="1"/>
    <xf numFmtId="0" fontId="39" fillId="26" borderId="50" xfId="0" applyFont="1" applyFill="1" applyBorder="1"/>
    <xf numFmtId="168" fontId="26" fillId="26" borderId="51" xfId="1" applyNumberFormat="1" applyFont="1" applyFill="1" applyBorder="1" applyAlignment="1" applyProtection="1"/>
    <xf numFmtId="0" fontId="39" fillId="26" borderId="52" xfId="0" applyFont="1" applyFill="1" applyBorder="1"/>
    <xf numFmtId="168" fontId="26" fillId="26" borderId="53" xfId="1" applyNumberFormat="1" applyFont="1" applyFill="1" applyBorder="1" applyAlignment="1" applyProtection="1"/>
    <xf numFmtId="168" fontId="5" fillId="13" borderId="0" xfId="0" applyNumberFormat="1" applyFont="1" applyFill="1"/>
    <xf numFmtId="168" fontId="5" fillId="13" borderId="25" xfId="0" applyNumberFormat="1" applyFont="1" applyFill="1" applyBorder="1"/>
    <xf numFmtId="0" fontId="5" fillId="0" borderId="8" xfId="0" applyFont="1" applyBorder="1" applyAlignment="1">
      <alignment horizontal="right"/>
    </xf>
    <xf numFmtId="0" fontId="47" fillId="0" borderId="0" xfId="46"/>
    <xf numFmtId="0" fontId="61" fillId="0" borderId="0" xfId="46" applyFont="1"/>
    <xf numFmtId="0" fontId="47" fillId="0" borderId="0" xfId="46" applyAlignment="1">
      <alignment horizontal="right"/>
    </xf>
    <xf numFmtId="2" fontId="47" fillId="0" borderId="0" xfId="46" applyNumberFormat="1"/>
    <xf numFmtId="2" fontId="61" fillId="0" borderId="0" xfId="46" applyNumberFormat="1" applyFont="1"/>
    <xf numFmtId="0" fontId="62" fillId="27" borderId="19" xfId="46" applyFont="1" applyFill="1" applyBorder="1"/>
    <xf numFmtId="0" fontId="62" fillId="27" borderId="19" xfId="46" applyFont="1" applyFill="1" applyBorder="1" applyAlignment="1">
      <alignment horizontal="center" vertical="center"/>
    </xf>
    <xf numFmtId="0" fontId="63" fillId="0" borderId="19" xfId="46" applyFont="1" applyBorder="1"/>
    <xf numFmtId="0" fontId="63" fillId="0" borderId="19" xfId="46" applyFont="1" applyBorder="1" applyAlignment="1">
      <alignment horizontal="right"/>
    </xf>
    <xf numFmtId="1" fontId="63" fillId="0" borderId="19" xfId="46" applyNumberFormat="1" applyFont="1" applyBorder="1" applyAlignment="1">
      <alignment horizontal="right"/>
    </xf>
    <xf numFmtId="0" fontId="65" fillId="12" borderId="19" xfId="46" applyFont="1" applyFill="1" applyBorder="1" applyAlignment="1">
      <alignment horizontal="right"/>
    </xf>
    <xf numFmtId="172" fontId="63" fillId="12" borderId="19" xfId="47" applyNumberFormat="1" applyFont="1" applyFill="1" applyBorder="1" applyAlignment="1">
      <alignment horizontal="right"/>
    </xf>
    <xf numFmtId="172" fontId="65" fillId="12" borderId="19" xfId="47" applyNumberFormat="1" applyFont="1" applyFill="1" applyBorder="1" applyAlignment="1">
      <alignment horizontal="right"/>
    </xf>
    <xf numFmtId="1" fontId="65" fillId="12" borderId="19" xfId="46" applyNumberFormat="1" applyFont="1" applyFill="1" applyBorder="1" applyAlignment="1">
      <alignment horizontal="right"/>
    </xf>
    <xf numFmtId="1" fontId="63" fillId="12" borderId="19" xfId="46" applyNumberFormat="1" applyFont="1" applyFill="1" applyBorder="1" applyAlignment="1">
      <alignment horizontal="right"/>
    </xf>
    <xf numFmtId="1" fontId="63" fillId="28" borderId="19" xfId="46" applyNumberFormat="1" applyFont="1" applyFill="1" applyBorder="1" applyAlignment="1">
      <alignment horizontal="right"/>
    </xf>
    <xf numFmtId="172" fontId="63" fillId="28" borderId="19" xfId="47" applyNumberFormat="1" applyFont="1" applyFill="1" applyBorder="1" applyAlignment="1">
      <alignment horizontal="right"/>
    </xf>
    <xf numFmtId="0" fontId="63" fillId="0" borderId="19" xfId="46" applyFont="1" applyBorder="1" applyAlignment="1">
      <alignment horizontal="left" indent="1"/>
    </xf>
    <xf numFmtId="0" fontId="65" fillId="20" borderId="19" xfId="46" applyFont="1" applyFill="1" applyBorder="1" applyAlignment="1">
      <alignment horizontal="right"/>
    </xf>
    <xf numFmtId="0" fontId="63" fillId="20" borderId="19" xfId="46" applyFont="1" applyFill="1" applyBorder="1" applyAlignment="1">
      <alignment horizontal="right"/>
    </xf>
    <xf numFmtId="1" fontId="63" fillId="20" borderId="19" xfId="46" applyNumberFormat="1" applyFont="1" applyFill="1" applyBorder="1" applyAlignment="1">
      <alignment horizontal="right"/>
    </xf>
    <xf numFmtId="172" fontId="63" fillId="20" borderId="19" xfId="47" applyNumberFormat="1" applyFont="1" applyFill="1" applyBorder="1" applyAlignment="1">
      <alignment horizontal="right"/>
    </xf>
    <xf numFmtId="2" fontId="63" fillId="0" borderId="19" xfId="46" applyNumberFormat="1" applyFont="1" applyBorder="1" applyAlignment="1">
      <alignment horizontal="right"/>
    </xf>
    <xf numFmtId="0" fontId="62" fillId="28" borderId="19" xfId="46" applyFont="1" applyFill="1" applyBorder="1" applyAlignment="1">
      <alignment horizontal="center"/>
    </xf>
    <xf numFmtId="0" fontId="62" fillId="20" borderId="19" xfId="46" applyFont="1" applyFill="1" applyBorder="1" applyAlignment="1">
      <alignment horizontal="right"/>
    </xf>
    <xf numFmtId="172" fontId="65" fillId="28" borderId="19" xfId="47" applyNumberFormat="1" applyFont="1" applyFill="1" applyBorder="1" applyAlignment="1">
      <alignment horizontal="right"/>
    </xf>
    <xf numFmtId="0" fontId="65" fillId="28" borderId="19" xfId="46" applyFont="1" applyFill="1" applyBorder="1" applyAlignment="1">
      <alignment horizontal="right"/>
    </xf>
    <xf numFmtId="1" fontId="65" fillId="28" borderId="19" xfId="46" applyNumberFormat="1" applyFont="1" applyFill="1" applyBorder="1" applyAlignment="1">
      <alignment horizontal="right"/>
    </xf>
    <xf numFmtId="1" fontId="65" fillId="0" borderId="19" xfId="46" applyNumberFormat="1" applyFont="1" applyBorder="1" applyAlignment="1">
      <alignment horizontal="right"/>
    </xf>
    <xf numFmtId="172" fontId="64" fillId="20" borderId="19" xfId="47" applyNumberFormat="1" applyFont="1" applyFill="1" applyBorder="1" applyAlignment="1">
      <alignment horizontal="right"/>
    </xf>
    <xf numFmtId="172" fontId="65" fillId="20" borderId="19" xfId="47" applyNumberFormat="1" applyFont="1" applyFill="1" applyBorder="1" applyAlignment="1">
      <alignment horizontal="right"/>
    </xf>
    <xf numFmtId="2" fontId="65" fillId="20" borderId="19" xfId="46" applyNumberFormat="1" applyFont="1" applyFill="1" applyBorder="1" applyAlignment="1">
      <alignment horizontal="right"/>
    </xf>
    <xf numFmtId="172" fontId="65" fillId="20" borderId="54" xfId="47" applyNumberFormat="1" applyFont="1" applyFill="1" applyBorder="1"/>
    <xf numFmtId="172" fontId="65" fillId="20" borderId="54" xfId="47" applyNumberFormat="1" applyFont="1" applyFill="1" applyBorder="1" applyAlignment="1">
      <alignment horizontal="right"/>
    </xf>
    <xf numFmtId="0" fontId="63" fillId="0" borderId="0" xfId="46" applyFont="1" applyAlignment="1">
      <alignment horizontal="left" indent="1"/>
    </xf>
    <xf numFmtId="0" fontId="63" fillId="0" borderId="0" xfId="46" applyFont="1" applyAlignment="1">
      <alignment horizontal="right"/>
    </xf>
    <xf numFmtId="1" fontId="63" fillId="0" borderId="0" xfId="46" applyNumberFormat="1" applyFont="1" applyAlignment="1">
      <alignment horizontal="right"/>
    </xf>
    <xf numFmtId="0" fontId="63" fillId="0" borderId="0" xfId="46" applyFont="1"/>
    <xf numFmtId="0" fontId="66" fillId="0" borderId="0" xfId="0" applyFont="1"/>
    <xf numFmtId="2" fontId="62" fillId="12" borderId="19" xfId="46" applyNumberFormat="1" applyFont="1" applyFill="1" applyBorder="1" applyAlignment="1">
      <alignment horizontal="right"/>
    </xf>
    <xf numFmtId="172" fontId="62" fillId="12" borderId="19" xfId="47" applyNumberFormat="1" applyFont="1" applyFill="1" applyBorder="1" applyAlignment="1">
      <alignment horizontal="right"/>
    </xf>
    <xf numFmtId="171" fontId="65" fillId="12" borderId="19" xfId="47" applyFont="1" applyFill="1" applyBorder="1" applyAlignment="1">
      <alignment horizontal="right"/>
    </xf>
    <xf numFmtId="0" fontId="62" fillId="26" borderId="19" xfId="46" applyFont="1" applyFill="1" applyBorder="1"/>
    <xf numFmtId="0" fontId="63" fillId="26" borderId="19" xfId="46" applyFont="1" applyFill="1" applyBorder="1" applyAlignment="1">
      <alignment horizontal="left" indent="1"/>
    </xf>
    <xf numFmtId="0" fontId="63" fillId="0" borderId="55" xfId="46" applyFont="1" applyBorder="1"/>
    <xf numFmtId="0" fontId="62" fillId="26" borderId="56" xfId="46" applyFont="1" applyFill="1" applyBorder="1"/>
    <xf numFmtId="0" fontId="52" fillId="26" borderId="57" xfId="0" applyFont="1" applyFill="1" applyBorder="1"/>
    <xf numFmtId="0" fontId="66" fillId="26" borderId="57" xfId="0" applyFont="1" applyFill="1" applyBorder="1"/>
    <xf numFmtId="0" fontId="65" fillId="26" borderId="57" xfId="46" applyFont="1" applyFill="1" applyBorder="1" applyAlignment="1">
      <alignment horizontal="left"/>
    </xf>
    <xf numFmtId="0" fontId="66" fillId="26" borderId="58" xfId="0" applyFont="1" applyFill="1" applyBorder="1"/>
    <xf numFmtId="0" fontId="52" fillId="26" borderId="59" xfId="0" applyFont="1" applyFill="1" applyBorder="1"/>
    <xf numFmtId="172" fontId="62" fillId="20" borderId="19" xfId="47" applyNumberFormat="1" applyFont="1" applyFill="1" applyBorder="1" applyAlignment="1">
      <alignment horizontal="right"/>
    </xf>
    <xf numFmtId="2" fontId="62" fillId="20" borderId="19" xfId="46" applyNumberFormat="1" applyFont="1" applyFill="1" applyBorder="1" applyAlignment="1">
      <alignment horizontal="right"/>
    </xf>
    <xf numFmtId="2" fontId="62" fillId="28" borderId="19" xfId="46" applyNumberFormat="1" applyFont="1" applyFill="1" applyBorder="1" applyAlignment="1">
      <alignment horizontal="right"/>
    </xf>
    <xf numFmtId="172" fontId="62" fillId="28" borderId="19" xfId="47" applyNumberFormat="1" applyFont="1" applyFill="1" applyBorder="1" applyAlignment="1">
      <alignment horizontal="right"/>
    </xf>
    <xf numFmtId="0" fontId="62" fillId="12" borderId="19" xfId="46" applyFont="1" applyFill="1" applyBorder="1" applyAlignment="1">
      <alignment horizontal="right"/>
    </xf>
    <xf numFmtId="1" fontId="62" fillId="12" borderId="19" xfId="46" applyNumberFormat="1" applyFont="1" applyFill="1" applyBorder="1" applyAlignment="1">
      <alignment horizontal="right"/>
    </xf>
    <xf numFmtId="1" fontId="62" fillId="20" borderId="19" xfId="46" applyNumberFormat="1" applyFont="1" applyFill="1" applyBorder="1" applyAlignment="1">
      <alignment horizontal="right"/>
    </xf>
    <xf numFmtId="1" fontId="62" fillId="28" borderId="19" xfId="46" applyNumberFormat="1" applyFont="1" applyFill="1" applyBorder="1" applyAlignment="1">
      <alignment horizontal="right"/>
    </xf>
    <xf numFmtId="0" fontId="62" fillId="28" borderId="19" xfId="46" applyFont="1" applyFill="1" applyBorder="1" applyAlignment="1">
      <alignment horizontal="right"/>
    </xf>
    <xf numFmtId="1" fontId="65" fillId="20" borderId="19" xfId="46" applyNumberFormat="1" applyFont="1" applyFill="1" applyBorder="1" applyAlignment="1">
      <alignment horizontal="right"/>
    </xf>
    <xf numFmtId="165" fontId="47" fillId="0" borderId="0" xfId="1" applyFont="1" applyAlignment="1">
      <alignment horizontal="right" vertical="center"/>
    </xf>
    <xf numFmtId="165" fontId="62" fillId="27" borderId="19" xfId="1" applyFont="1" applyFill="1" applyBorder="1" applyAlignment="1">
      <alignment horizontal="right" vertical="center"/>
    </xf>
    <xf numFmtId="165" fontId="63" fillId="0" borderId="19" xfId="1" applyFont="1" applyBorder="1" applyAlignment="1">
      <alignment horizontal="right" vertical="center"/>
    </xf>
    <xf numFmtId="165" fontId="63" fillId="12" borderId="3" xfId="1" applyFont="1" applyFill="1" applyBorder="1" applyAlignment="1">
      <alignment horizontal="right" vertical="center"/>
    </xf>
    <xf numFmtId="165" fontId="62" fillId="12" borderId="3" xfId="1" applyFont="1" applyFill="1" applyBorder="1" applyAlignment="1">
      <alignment horizontal="right" vertical="center"/>
    </xf>
    <xf numFmtId="165" fontId="63" fillId="12" borderId="19" xfId="1" applyFont="1" applyFill="1" applyBorder="1" applyAlignment="1">
      <alignment horizontal="right" vertical="center"/>
    </xf>
    <xf numFmtId="165" fontId="62" fillId="12" borderId="19" xfId="1" applyFont="1" applyFill="1" applyBorder="1" applyAlignment="1">
      <alignment horizontal="right" vertical="center"/>
    </xf>
    <xf numFmtId="165" fontId="63" fillId="28" borderId="19" xfId="1" applyFont="1" applyFill="1" applyBorder="1" applyAlignment="1">
      <alignment horizontal="right" vertical="center"/>
    </xf>
    <xf numFmtId="165" fontId="62" fillId="28" borderId="19" xfId="1" applyFont="1" applyFill="1" applyBorder="1" applyAlignment="1">
      <alignment horizontal="right" vertical="center"/>
    </xf>
    <xf numFmtId="165" fontId="64" fillId="20" borderId="19" xfId="1" applyFont="1" applyFill="1" applyBorder="1" applyAlignment="1">
      <alignment horizontal="right" vertical="center"/>
    </xf>
    <xf numFmtId="165" fontId="63" fillId="20" borderId="19" xfId="1" applyFont="1" applyFill="1" applyBorder="1" applyAlignment="1">
      <alignment horizontal="right" vertical="center"/>
    </xf>
    <xf numFmtId="165" fontId="62" fillId="20" borderId="19" xfId="1" applyFont="1" applyFill="1" applyBorder="1" applyAlignment="1">
      <alignment horizontal="right" vertical="center"/>
    </xf>
    <xf numFmtId="165" fontId="65" fillId="28" borderId="19" xfId="1" applyFont="1" applyFill="1" applyBorder="1" applyAlignment="1">
      <alignment horizontal="right" vertical="center"/>
    </xf>
    <xf numFmtId="165" fontId="65" fillId="0" borderId="19" xfId="1" applyFont="1" applyBorder="1" applyAlignment="1">
      <alignment horizontal="right" vertical="center"/>
    </xf>
    <xf numFmtId="165" fontId="65" fillId="20" borderId="19" xfId="1" applyFont="1" applyFill="1" applyBorder="1" applyAlignment="1">
      <alignment horizontal="right" vertical="center"/>
    </xf>
    <xf numFmtId="165" fontId="65" fillId="20" borderId="54" xfId="1" applyFont="1" applyFill="1" applyBorder="1" applyAlignment="1">
      <alignment horizontal="right" vertical="center"/>
    </xf>
    <xf numFmtId="165" fontId="63" fillId="0" borderId="0" xfId="1" applyFont="1" applyAlignment="1">
      <alignment horizontal="right" vertical="center"/>
    </xf>
    <xf numFmtId="0" fontId="60" fillId="0" borderId="0" xfId="46" applyFont="1"/>
    <xf numFmtId="165" fontId="65" fillId="12" borderId="19" xfId="1" applyFont="1" applyFill="1" applyBorder="1" applyAlignment="1">
      <alignment horizontal="right" vertical="center"/>
    </xf>
    <xf numFmtId="165" fontId="66" fillId="12" borderId="0" xfId="1" applyFont="1" applyFill="1" applyAlignment="1">
      <alignment horizontal="right" vertical="center"/>
    </xf>
    <xf numFmtId="168" fontId="67" fillId="0" borderId="0" xfId="1" applyNumberFormat="1" applyFont="1" applyAlignment="1">
      <alignment horizontal="center"/>
    </xf>
    <xf numFmtId="168" fontId="68" fillId="0" borderId="0" xfId="1" applyNumberFormat="1" applyFont="1" applyAlignment="1">
      <alignment horizontal="center"/>
    </xf>
    <xf numFmtId="168" fontId="4" fillId="0" borderId="8" xfId="1" applyNumberFormat="1" applyFont="1" applyBorder="1"/>
    <xf numFmtId="0" fontId="4" fillId="0" borderId="0" xfId="0" applyFont="1"/>
    <xf numFmtId="0" fontId="25" fillId="0" borderId="7" xfId="0" applyFont="1" applyBorder="1" applyAlignment="1">
      <alignment horizontal="center"/>
    </xf>
    <xf numFmtId="0" fontId="25" fillId="0" borderId="4" xfId="0" applyFont="1" applyBorder="1" applyAlignment="1">
      <alignment vertical="center"/>
    </xf>
    <xf numFmtId="0" fontId="69" fillId="0" borderId="12" xfId="0" applyFont="1" applyBorder="1"/>
    <xf numFmtId="168" fontId="4" fillId="0" borderId="12" xfId="1" applyNumberFormat="1" applyFont="1" applyBorder="1"/>
    <xf numFmtId="168" fontId="4" fillId="0" borderId="13" xfId="0" applyNumberFormat="1" applyFont="1" applyBorder="1"/>
    <xf numFmtId="0" fontId="4" fillId="3" borderId="8" xfId="0" applyFont="1" applyFill="1" applyBorder="1"/>
    <xf numFmtId="168" fontId="4" fillId="3" borderId="8" xfId="1" applyNumberFormat="1" applyFont="1" applyFill="1" applyBorder="1"/>
    <xf numFmtId="168" fontId="4" fillId="3" borderId="13" xfId="1" applyNumberFormat="1" applyFont="1" applyFill="1" applyBorder="1"/>
    <xf numFmtId="0" fontId="4" fillId="0" borderId="13" xfId="0" applyFont="1" applyBorder="1"/>
    <xf numFmtId="168" fontId="4" fillId="0" borderId="13" xfId="1" applyNumberFormat="1" applyFont="1" applyBorder="1"/>
    <xf numFmtId="0" fontId="29" fillId="3" borderId="8" xfId="0" applyFont="1" applyFill="1" applyBorder="1"/>
    <xf numFmtId="0" fontId="4" fillId="0" borderId="8" xfId="0" applyFont="1" applyBorder="1"/>
    <xf numFmtId="168" fontId="4" fillId="0" borderId="8" xfId="0" applyNumberFormat="1" applyFont="1" applyBorder="1"/>
    <xf numFmtId="0" fontId="69" fillId="0" borderId="8" xfId="0" applyFont="1" applyBorder="1"/>
    <xf numFmtId="0" fontId="25" fillId="3" borderId="8" xfId="0" applyFont="1" applyFill="1" applyBorder="1"/>
    <xf numFmtId="0" fontId="29" fillId="0" borderId="8" xfId="0" applyFont="1" applyBorder="1"/>
    <xf numFmtId="168" fontId="4" fillId="0" borderId="8" xfId="1" applyNumberFormat="1" applyFont="1" applyFill="1" applyBorder="1"/>
    <xf numFmtId="168" fontId="4" fillId="0" borderId="13" xfId="1" applyNumberFormat="1" applyFont="1" applyFill="1" applyBorder="1"/>
    <xf numFmtId="168" fontId="25" fillId="3" borderId="8" xfId="1" applyNumberFormat="1" applyFont="1" applyFill="1" applyBorder="1"/>
    <xf numFmtId="168" fontId="25" fillId="3" borderId="13" xfId="1" applyNumberFormat="1" applyFont="1" applyFill="1" applyBorder="1"/>
    <xf numFmtId="168" fontId="25" fillId="0" borderId="8" xfId="1" applyNumberFormat="1" applyFont="1" applyBorder="1"/>
    <xf numFmtId="168" fontId="25" fillId="0" borderId="13" xfId="1" applyNumberFormat="1" applyFont="1" applyBorder="1"/>
    <xf numFmtId="0" fontId="4" fillId="0" borderId="10" xfId="0" applyFont="1" applyBorder="1"/>
    <xf numFmtId="168" fontId="4" fillId="0" borderId="10" xfId="0" applyNumberFormat="1" applyFont="1" applyBorder="1"/>
    <xf numFmtId="168" fontId="4" fillId="0" borderId="14" xfId="0" applyNumberFormat="1" applyFont="1" applyBorder="1"/>
    <xf numFmtId="0" fontId="25" fillId="0" borderId="5" xfId="0" applyFont="1" applyBorder="1"/>
    <xf numFmtId="168" fontId="4" fillId="0" borderId="4" xfId="0" applyNumberFormat="1" applyFont="1" applyBorder="1"/>
    <xf numFmtId="0" fontId="70" fillId="0" borderId="4" xfId="0" applyFont="1" applyBorder="1"/>
    <xf numFmtId="168" fontId="71" fillId="0" borderId="4" xfId="0" applyNumberFormat="1" applyFont="1" applyBorder="1"/>
    <xf numFmtId="165" fontId="4" fillId="0" borderId="0" xfId="0" applyNumberFormat="1" applyFont="1"/>
    <xf numFmtId="13" fontId="4" fillId="0" borderId="0" xfId="0" applyNumberFormat="1" applyFont="1"/>
    <xf numFmtId="165" fontId="4" fillId="0" borderId="0" xfId="1" applyFont="1"/>
    <xf numFmtId="0" fontId="25" fillId="0" borderId="0" xfId="0" applyFont="1" applyAlignment="1">
      <alignment vertical="center"/>
    </xf>
    <xf numFmtId="168" fontId="4" fillId="0" borderId="0" xfId="0" applyNumberFormat="1" applyFont="1"/>
    <xf numFmtId="168" fontId="71" fillId="0" borderId="8" xfId="0" applyNumberFormat="1" applyFont="1" applyBorder="1"/>
    <xf numFmtId="168" fontId="71" fillId="0" borderId="8" xfId="1" applyNumberFormat="1" applyFont="1" applyBorder="1"/>
    <xf numFmtId="168" fontId="71" fillId="0" borderId="13" xfId="1" applyNumberFormat="1" applyFont="1" applyBorder="1"/>
    <xf numFmtId="168" fontId="71" fillId="0" borderId="13" xfId="0" applyNumberFormat="1" applyFont="1" applyBorder="1"/>
    <xf numFmtId="0" fontId="4" fillId="0" borderId="15" xfId="0" applyFont="1" applyBorder="1" applyAlignment="1">
      <alignment horizontal="center"/>
    </xf>
    <xf numFmtId="167" fontId="72" fillId="0" borderId="4" xfId="43" applyFont="1" applyBorder="1"/>
    <xf numFmtId="168" fontId="4" fillId="0" borderId="0" xfId="0" applyNumberFormat="1" applyFont="1" applyAlignment="1">
      <alignment horizontal="center" vertical="center"/>
    </xf>
    <xf numFmtId="0" fontId="73" fillId="0" borderId="4" xfId="0" applyFont="1" applyBorder="1"/>
    <xf numFmtId="168" fontId="74" fillId="0" borderId="4" xfId="0" applyNumberFormat="1" applyFont="1" applyBorder="1"/>
    <xf numFmtId="167" fontId="72" fillId="0" borderId="19" xfId="43" applyFont="1" applyBorder="1"/>
    <xf numFmtId="0" fontId="70" fillId="0" borderId="0" xfId="0" applyFont="1"/>
    <xf numFmtId="168" fontId="71" fillId="0" borderId="0" xfId="0" applyNumberFormat="1" applyFont="1"/>
    <xf numFmtId="0" fontId="25" fillId="0" borderId="0" xfId="0" applyFont="1" applyAlignment="1">
      <alignment horizontal="right"/>
    </xf>
    <xf numFmtId="0" fontId="75" fillId="0" borderId="4" xfId="0" applyFont="1" applyBorder="1" applyAlignment="1">
      <alignment horizontal="center"/>
    </xf>
    <xf numFmtId="168" fontId="75" fillId="0" borderId="5" xfId="0" applyNumberFormat="1" applyFont="1" applyBorder="1" applyAlignment="1">
      <alignment horizontal="right"/>
    </xf>
    <xf numFmtId="168" fontId="75" fillId="0" borderId="4" xfId="0" applyNumberFormat="1" applyFont="1" applyBorder="1" applyAlignment="1">
      <alignment horizontal="right"/>
    </xf>
    <xf numFmtId="168" fontId="75" fillId="0" borderId="7" xfId="0" applyNumberFormat="1" applyFont="1" applyBorder="1" applyAlignment="1">
      <alignment horizontal="right"/>
    </xf>
    <xf numFmtId="168" fontId="75" fillId="0" borderId="0" xfId="0" applyNumberFormat="1" applyFont="1" applyAlignment="1">
      <alignment horizontal="right"/>
    </xf>
    <xf numFmtId="0" fontId="4" fillId="3" borderId="15" xfId="0" applyFont="1" applyFill="1" applyBorder="1"/>
    <xf numFmtId="168" fontId="29" fillId="3" borderId="0" xfId="0" applyNumberFormat="1" applyFont="1" applyFill="1"/>
    <xf numFmtId="168" fontId="29" fillId="3" borderId="15" xfId="0" applyNumberFormat="1" applyFont="1" applyFill="1" applyBorder="1"/>
    <xf numFmtId="168" fontId="29" fillId="0" borderId="13" xfId="0" applyNumberFormat="1" applyFont="1" applyBorder="1"/>
    <xf numFmtId="168" fontId="29" fillId="0" borderId="0" xfId="0" applyNumberFormat="1" applyFont="1"/>
    <xf numFmtId="0" fontId="29" fillId="0" borderId="13" xfId="0" applyFont="1" applyBorder="1"/>
    <xf numFmtId="0" fontId="4" fillId="3" borderId="13" xfId="0" applyFont="1" applyFill="1" applyBorder="1"/>
    <xf numFmtId="168" fontId="29" fillId="3" borderId="13" xfId="0" applyNumberFormat="1" applyFont="1" applyFill="1" applyBorder="1"/>
    <xf numFmtId="0" fontId="4" fillId="0" borderId="14" xfId="0" applyFont="1" applyBorder="1"/>
    <xf numFmtId="168" fontId="4" fillId="0" borderId="25" xfId="0" applyNumberFormat="1" applyFont="1" applyBorder="1"/>
    <xf numFmtId="168" fontId="4" fillId="3" borderId="0" xfId="0" applyNumberFormat="1" applyFont="1" applyFill="1"/>
    <xf numFmtId="168" fontId="4" fillId="3" borderId="25" xfId="0" applyNumberFormat="1" applyFont="1" applyFill="1" applyBorder="1"/>
    <xf numFmtId="168" fontId="4" fillId="0" borderId="0" xfId="1" applyNumberFormat="1" applyFont="1"/>
    <xf numFmtId="0" fontId="3" fillId="0" borderId="24" xfId="0" applyFont="1" applyBorder="1"/>
    <xf numFmtId="0" fontId="3" fillId="3" borderId="24" xfId="0" applyFont="1" applyFill="1" applyBorder="1"/>
    <xf numFmtId="0" fontId="3" fillId="3" borderId="8" xfId="0" applyFont="1" applyFill="1" applyBorder="1"/>
    <xf numFmtId="0" fontId="3" fillId="0" borderId="0" xfId="0" applyFont="1"/>
    <xf numFmtId="0" fontId="76" fillId="0" borderId="0" xfId="0" applyFont="1"/>
    <xf numFmtId="0" fontId="4" fillId="0" borderId="54" xfId="0" applyFont="1" applyBorder="1"/>
    <xf numFmtId="0" fontId="3" fillId="0" borderId="60" xfId="0" applyFont="1" applyBorder="1"/>
    <xf numFmtId="0" fontId="4" fillId="0" borderId="60" xfId="0" applyFont="1" applyBorder="1"/>
    <xf numFmtId="0" fontId="4" fillId="0" borderId="55" xfId="0" applyFont="1" applyBorder="1"/>
    <xf numFmtId="0" fontId="25" fillId="0" borderId="52" xfId="0" applyFont="1" applyBorder="1"/>
    <xf numFmtId="168" fontId="25" fillId="0" borderId="53" xfId="0" applyNumberFormat="1" applyFont="1" applyBorder="1"/>
    <xf numFmtId="0" fontId="25" fillId="0" borderId="46" xfId="0" applyFont="1" applyBorder="1" applyAlignment="1">
      <alignment horizontal="center"/>
    </xf>
    <xf numFmtId="0" fontId="25" fillId="0" borderId="12" xfId="0" applyFont="1" applyBorder="1" applyAlignment="1">
      <alignment horizontal="right"/>
    </xf>
    <xf numFmtId="0" fontId="25" fillId="0" borderId="15" xfId="0" applyFont="1" applyBorder="1" applyAlignment="1">
      <alignment horizontal="center"/>
    </xf>
    <xf numFmtId="0" fontId="25" fillId="0" borderId="61" xfId="0" applyFont="1" applyBorder="1" applyAlignment="1">
      <alignment horizontal="center"/>
    </xf>
    <xf numFmtId="168" fontId="4" fillId="3" borderId="4" xfId="0" applyNumberFormat="1" applyFont="1" applyFill="1" applyBorder="1"/>
    <xf numFmtId="168" fontId="4" fillId="0" borderId="23" xfId="0" applyNumberFormat="1" applyFont="1" applyBorder="1"/>
    <xf numFmtId="168" fontId="4" fillId="3" borderId="23" xfId="0" applyNumberFormat="1" applyFont="1" applyFill="1" applyBorder="1"/>
    <xf numFmtId="168" fontId="25" fillId="0" borderId="62" xfId="0" applyNumberFormat="1" applyFont="1" applyBorder="1"/>
    <xf numFmtId="0" fontId="4" fillId="0" borderId="31" xfId="0" applyFont="1" applyBorder="1"/>
    <xf numFmtId="0" fontId="4" fillId="0" borderId="63" xfId="0" applyFont="1" applyBorder="1"/>
    <xf numFmtId="0" fontId="3" fillId="0" borderId="28" xfId="0" applyFont="1" applyBorder="1"/>
    <xf numFmtId="168" fontId="4" fillId="0" borderId="29" xfId="0" applyNumberFormat="1" applyFont="1" applyBorder="1"/>
    <xf numFmtId="168" fontId="4" fillId="0" borderId="30" xfId="0" applyNumberFormat="1" applyFont="1" applyBorder="1"/>
    <xf numFmtId="0" fontId="3" fillId="0" borderId="22" xfId="0" applyFont="1" applyBorder="1"/>
    <xf numFmtId="0" fontId="3" fillId="3" borderId="22" xfId="0" applyFont="1" applyFill="1" applyBorder="1"/>
    <xf numFmtId="168" fontId="3" fillId="12" borderId="51" xfId="0" applyNumberFormat="1" applyFont="1" applyFill="1" applyBorder="1" applyAlignment="1">
      <alignment horizontal="center"/>
    </xf>
    <xf numFmtId="168" fontId="3" fillId="12" borderId="4" xfId="0" applyNumberFormat="1" applyFont="1" applyFill="1" applyBorder="1" applyAlignment="1">
      <alignment horizontal="center"/>
    </xf>
    <xf numFmtId="168" fontId="3" fillId="10" borderId="5" xfId="0" applyNumberFormat="1" applyFont="1" applyFill="1" applyBorder="1"/>
    <xf numFmtId="168" fontId="3" fillId="29" borderId="23" xfId="0" applyNumberFormat="1" applyFont="1" applyFill="1" applyBorder="1"/>
    <xf numFmtId="168" fontId="3" fillId="30" borderId="23" xfId="0" applyNumberFormat="1" applyFont="1" applyFill="1" applyBorder="1"/>
    <xf numFmtId="0" fontId="4" fillId="4" borderId="40" xfId="0" applyFont="1" applyFill="1" applyBorder="1"/>
    <xf numFmtId="0" fontId="4" fillId="4" borderId="41" xfId="0" applyFont="1" applyFill="1" applyBorder="1"/>
    <xf numFmtId="168" fontId="3" fillId="20" borderId="4" xfId="0" applyNumberFormat="1" applyFont="1" applyFill="1" applyBorder="1"/>
    <xf numFmtId="168" fontId="3" fillId="31" borderId="4" xfId="0" applyNumberFormat="1" applyFont="1" applyFill="1" applyBorder="1"/>
    <xf numFmtId="0" fontId="3" fillId="4" borderId="40" xfId="0" applyFont="1" applyFill="1" applyBorder="1"/>
    <xf numFmtId="0" fontId="25" fillId="0" borderId="12" xfId="0" applyFont="1" applyBorder="1" applyAlignment="1">
      <alignment horizontal="center"/>
    </xf>
    <xf numFmtId="168" fontId="4" fillId="4" borderId="40" xfId="1" applyNumberFormat="1" applyFont="1" applyFill="1" applyBorder="1" applyAlignment="1"/>
    <xf numFmtId="168" fontId="25" fillId="0" borderId="53" xfId="0" applyNumberFormat="1" applyFont="1" applyBorder="1" applyAlignment="1">
      <alignment horizontal="center"/>
    </xf>
    <xf numFmtId="168" fontId="4" fillId="12" borderId="29" xfId="1" applyNumberFormat="1" applyFont="1" applyFill="1" applyBorder="1" applyAlignment="1"/>
    <xf numFmtId="168" fontId="4" fillId="12" borderId="4" xfId="1" applyNumberFormat="1" applyFont="1" applyFill="1" applyBorder="1" applyAlignment="1"/>
    <xf numFmtId="168" fontId="4" fillId="29" borderId="4" xfId="1" applyNumberFormat="1" applyFont="1" applyFill="1" applyBorder="1" applyAlignment="1"/>
    <xf numFmtId="168" fontId="4" fillId="10" borderId="4" xfId="1" applyNumberFormat="1" applyFont="1" applyFill="1" applyBorder="1" applyAlignment="1"/>
    <xf numFmtId="168" fontId="3" fillId="30" borderId="4" xfId="1" applyNumberFormat="1" applyFont="1" applyFill="1" applyBorder="1" applyAlignment="1"/>
    <xf numFmtId="168" fontId="4" fillId="20" borderId="4" xfId="1" applyNumberFormat="1" applyFont="1" applyFill="1" applyBorder="1" applyAlignment="1"/>
    <xf numFmtId="168" fontId="4" fillId="31" borderId="4" xfId="1" applyNumberFormat="1" applyFont="1" applyFill="1" applyBorder="1" applyAlignment="1"/>
    <xf numFmtId="0" fontId="3" fillId="0" borderId="39" xfId="0" applyFont="1" applyBorder="1"/>
    <xf numFmtId="0" fontId="3" fillId="0" borderId="8" xfId="0" applyFont="1" applyBorder="1"/>
    <xf numFmtId="168" fontId="4" fillId="0" borderId="32" xfId="0" applyNumberFormat="1" applyFont="1" applyBorder="1"/>
    <xf numFmtId="0" fontId="25" fillId="0" borderId="15" xfId="0" applyFont="1" applyBorder="1" applyAlignment="1">
      <alignment horizontal="right"/>
    </xf>
    <xf numFmtId="0" fontId="25" fillId="0" borderId="17" xfId="0" applyFont="1" applyBorder="1" applyAlignment="1">
      <alignment horizontal="right"/>
    </xf>
    <xf numFmtId="0" fontId="25" fillId="0" borderId="61" xfId="0" applyFont="1" applyBorder="1" applyAlignment="1">
      <alignment horizontal="right"/>
    </xf>
    <xf numFmtId="0" fontId="3" fillId="0" borderId="36" xfId="0" applyFont="1" applyBorder="1"/>
    <xf numFmtId="168" fontId="4" fillId="0" borderId="37" xfId="0" applyNumberFormat="1" applyFont="1" applyBorder="1"/>
    <xf numFmtId="168" fontId="4" fillId="0" borderId="64" xfId="0" applyNumberFormat="1" applyFont="1" applyBorder="1"/>
    <xf numFmtId="168" fontId="4" fillId="0" borderId="27" xfId="0" applyNumberFormat="1" applyFont="1" applyBorder="1"/>
    <xf numFmtId="165" fontId="13" fillId="0" borderId="5" xfId="1" applyFont="1" applyBorder="1" applyAlignment="1">
      <alignment horizontal="center"/>
    </xf>
    <xf numFmtId="165" fontId="14" fillId="0" borderId="12" xfId="1" applyFont="1" applyBorder="1"/>
    <xf numFmtId="165" fontId="14" fillId="3" borderId="8" xfId="1" applyFont="1" applyFill="1" applyBorder="1"/>
    <xf numFmtId="165" fontId="14" fillId="0" borderId="8" xfId="1" applyFont="1" applyBorder="1"/>
    <xf numFmtId="165" fontId="14" fillId="0" borderId="8" xfId="1" applyFont="1" applyFill="1" applyBorder="1"/>
    <xf numFmtId="165" fontId="19" fillId="3" borderId="8" xfId="1" applyFont="1" applyFill="1" applyBorder="1"/>
    <xf numFmtId="165" fontId="19" fillId="0" borderId="8" xfId="1" applyFont="1" applyBorder="1"/>
    <xf numFmtId="165" fontId="14" fillId="0" borderId="10" xfId="1" applyFont="1" applyBorder="1"/>
    <xf numFmtId="165" fontId="14" fillId="0" borderId="4" xfId="1" applyFont="1" applyBorder="1"/>
    <xf numFmtId="165" fontId="49" fillId="0" borderId="4" xfId="1" applyFont="1" applyBorder="1"/>
    <xf numFmtId="165" fontId="13" fillId="0" borderId="0" xfId="1" applyFont="1" applyAlignment="1">
      <alignment horizontal="center"/>
    </xf>
    <xf numFmtId="165" fontId="16" fillId="3" borderId="13" xfId="1" applyFont="1" applyFill="1" applyBorder="1"/>
    <xf numFmtId="165" fontId="16" fillId="0" borderId="13" xfId="1" applyFont="1" applyBorder="1"/>
    <xf numFmtId="165" fontId="16" fillId="3" borderId="14" xfId="1" applyFont="1" applyFill="1" applyBorder="1"/>
    <xf numFmtId="165" fontId="13" fillId="0" borderId="4" xfId="1" applyFont="1" applyBorder="1"/>
    <xf numFmtId="165" fontId="13" fillId="4" borderId="44" xfId="1" applyFont="1" applyFill="1" applyBorder="1"/>
    <xf numFmtId="165" fontId="20" fillId="3" borderId="8" xfId="1" applyFont="1" applyFill="1" applyBorder="1"/>
    <xf numFmtId="168" fontId="13" fillId="0" borderId="5" xfId="1" applyNumberFormat="1" applyFont="1" applyBorder="1" applyAlignment="1">
      <alignment horizontal="right"/>
    </xf>
    <xf numFmtId="165" fontId="20" fillId="0" borderId="8" xfId="1" applyFont="1" applyBorder="1"/>
    <xf numFmtId="0" fontId="78" fillId="0" borderId="13" xfId="0" applyFont="1" applyBorder="1"/>
    <xf numFmtId="172" fontId="65" fillId="3" borderId="0" xfId="47" applyNumberFormat="1" applyFont="1" applyFill="1" applyBorder="1" applyAlignment="1">
      <alignment horizontal="right"/>
    </xf>
    <xf numFmtId="0" fontId="0" fillId="0" borderId="54" xfId="0" applyBorder="1"/>
    <xf numFmtId="165" fontId="16" fillId="0" borderId="4" xfId="1" applyFont="1" applyBorder="1"/>
    <xf numFmtId="168" fontId="16" fillId="0" borderId="4" xfId="0" applyNumberFormat="1" applyFont="1" applyBorder="1"/>
    <xf numFmtId="0" fontId="13" fillId="0" borderId="17" xfId="0" applyFont="1" applyBorder="1" applyAlignment="1">
      <alignment horizontal="center"/>
    </xf>
    <xf numFmtId="0" fontId="0" fillId="0" borderId="7" xfId="0" applyBorder="1"/>
    <xf numFmtId="0" fontId="0" fillId="0" borderId="57" xfId="0" applyBorder="1"/>
    <xf numFmtId="0" fontId="0" fillId="0" borderId="56" xfId="0" applyBorder="1"/>
    <xf numFmtId="0" fontId="0" fillId="0" borderId="65" xfId="0" applyBorder="1"/>
    <xf numFmtId="165" fontId="16" fillId="0" borderId="29" xfId="1" applyFont="1" applyBorder="1"/>
    <xf numFmtId="168" fontId="16" fillId="0" borderId="29" xfId="0" applyNumberFormat="1" applyFont="1" applyBorder="1"/>
    <xf numFmtId="168" fontId="16" fillId="0" borderId="30" xfId="0" applyNumberFormat="1" applyFont="1" applyBorder="1"/>
    <xf numFmtId="165" fontId="16" fillId="0" borderId="23" xfId="1" applyFont="1" applyBorder="1"/>
    <xf numFmtId="0" fontId="0" fillId="0" borderId="66" xfId="0" applyBorder="1"/>
    <xf numFmtId="0" fontId="0" fillId="0" borderId="17" xfId="0" applyBorder="1"/>
    <xf numFmtId="165" fontId="16" fillId="0" borderId="15" xfId="1" applyFont="1" applyBorder="1"/>
    <xf numFmtId="168" fontId="16" fillId="0" borderId="15" xfId="0" applyNumberFormat="1" applyFont="1" applyBorder="1"/>
    <xf numFmtId="168" fontId="16" fillId="0" borderId="61" xfId="0" applyNumberFormat="1" applyFont="1" applyBorder="1"/>
    <xf numFmtId="0" fontId="0" fillId="0" borderId="19" xfId="0" applyBorder="1"/>
    <xf numFmtId="0" fontId="13" fillId="4" borderId="67" xfId="0" applyFont="1" applyFill="1" applyBorder="1"/>
    <xf numFmtId="0" fontId="2" fillId="3" borderId="24" xfId="0" applyFont="1" applyFill="1" applyBorder="1"/>
    <xf numFmtId="0" fontId="2" fillId="0" borderId="26" xfId="0" applyFont="1" applyBorder="1"/>
    <xf numFmtId="168" fontId="2" fillId="0" borderId="0" xfId="1" applyNumberFormat="1" applyFont="1"/>
    <xf numFmtId="168" fontId="25" fillId="0" borderId="22" xfId="1" applyNumberFormat="1" applyFont="1" applyBorder="1"/>
    <xf numFmtId="168" fontId="13" fillId="0" borderId="4" xfId="1" applyNumberFormat="1" applyFont="1" applyBorder="1" applyAlignment="1">
      <alignment horizontal="right"/>
    </xf>
    <xf numFmtId="168" fontId="25" fillId="0" borderId="24" xfId="1" applyNumberFormat="1" applyFont="1" applyBorder="1" applyAlignment="1">
      <alignment horizontal="right"/>
    </xf>
    <xf numFmtId="168" fontId="24" fillId="3" borderId="25" xfId="1" applyNumberFormat="1" applyFont="1" applyFill="1" applyBorder="1" applyAlignment="1">
      <alignment horizontal="right"/>
    </xf>
    <xf numFmtId="168" fontId="25" fillId="0" borderId="0" xfId="1" applyNumberFormat="1" applyFont="1" applyBorder="1" applyAlignment="1">
      <alignment horizontal="right"/>
    </xf>
    <xf numFmtId="168" fontId="25" fillId="0" borderId="25" xfId="1" applyNumberFormat="1" applyFont="1" applyBorder="1" applyAlignment="1">
      <alignment horizontal="right"/>
    </xf>
    <xf numFmtId="168" fontId="24" fillId="0" borderId="25" xfId="1" applyNumberFormat="1" applyFont="1" applyBorder="1" applyAlignment="1">
      <alignment horizontal="right"/>
    </xf>
    <xf numFmtId="168" fontId="24" fillId="3" borderId="24" xfId="1" applyNumberFormat="1" applyFont="1" applyFill="1" applyBorder="1" applyAlignment="1">
      <alignment wrapText="1"/>
    </xf>
    <xf numFmtId="168" fontId="25" fillId="10" borderId="24" xfId="1" applyNumberFormat="1" applyFont="1" applyFill="1" applyBorder="1" applyAlignment="1">
      <alignment horizontal="right"/>
    </xf>
    <xf numFmtId="168" fontId="25" fillId="10" borderId="0" xfId="1" applyNumberFormat="1" applyFont="1" applyFill="1" applyBorder="1" applyAlignment="1">
      <alignment horizontal="right"/>
    </xf>
    <xf numFmtId="168" fontId="24" fillId="10" borderId="25" xfId="1" applyNumberFormat="1" applyFont="1" applyFill="1" applyBorder="1" applyAlignment="1">
      <alignment horizontal="right"/>
    </xf>
    <xf numFmtId="168" fontId="25" fillId="0" borderId="26" xfId="1" applyNumberFormat="1" applyFont="1" applyBorder="1" applyAlignment="1">
      <alignment horizontal="right"/>
    </xf>
    <xf numFmtId="168" fontId="25" fillId="0" borderId="32" xfId="1" applyNumberFormat="1" applyFont="1" applyBorder="1" applyAlignment="1">
      <alignment horizontal="right"/>
    </xf>
    <xf numFmtId="168" fontId="24" fillId="0" borderId="32" xfId="1" applyNumberFormat="1" applyFont="1" applyBorder="1" applyAlignment="1">
      <alignment horizontal="right"/>
    </xf>
    <xf numFmtId="168" fontId="24" fillId="0" borderId="27" xfId="1" applyNumberFormat="1" applyFont="1" applyBorder="1" applyAlignment="1">
      <alignment horizontal="right"/>
    </xf>
    <xf numFmtId="168" fontId="13" fillId="0" borderId="23" xfId="1" applyNumberFormat="1" applyFont="1" applyBorder="1" applyAlignment="1">
      <alignment horizontal="right"/>
    </xf>
    <xf numFmtId="168" fontId="24" fillId="10" borderId="0" xfId="1" applyNumberFormat="1" applyFont="1" applyFill="1" applyBorder="1" applyAlignment="1">
      <alignment horizontal="right"/>
    </xf>
    <xf numFmtId="0" fontId="0" fillId="0" borderId="60" xfId="0" applyBorder="1" applyAlignment="1">
      <alignment horizontal="center"/>
    </xf>
    <xf numFmtId="168" fontId="13" fillId="0" borderId="12" xfId="1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6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Font="1" applyAlignment="1">
      <alignment horizontal="center"/>
    </xf>
    <xf numFmtId="0" fontId="23" fillId="6" borderId="0" xfId="0" applyFont="1" applyFill="1" applyAlignment="1">
      <alignment horizontal="center"/>
    </xf>
    <xf numFmtId="14" fontId="30" fillId="9" borderId="8" xfId="0" applyNumberFormat="1" applyFont="1" applyFill="1" applyBorder="1" applyAlignment="1">
      <alignment horizontal="center"/>
    </xf>
    <xf numFmtId="168" fontId="26" fillId="0" borderId="9" xfId="1" applyNumberFormat="1" applyFont="1" applyFill="1" applyBorder="1" applyAlignment="1" applyProtection="1"/>
    <xf numFmtId="168" fontId="26" fillId="26" borderId="8" xfId="1" applyNumberFormat="1" applyFont="1" applyFill="1" applyBorder="1" applyAlignment="1" applyProtection="1"/>
    <xf numFmtId="168" fontId="26" fillId="26" borderId="9" xfId="1" applyNumberFormat="1" applyFont="1" applyFill="1" applyBorder="1" applyAlignment="1" applyProtection="1"/>
    <xf numFmtId="168" fontId="26" fillId="6" borderId="8" xfId="1" applyNumberFormat="1" applyFont="1" applyFill="1" applyBorder="1" applyAlignment="1" applyProtection="1"/>
    <xf numFmtId="168" fontId="40" fillId="0" borderId="9" xfId="1" applyNumberFormat="1" applyFont="1" applyFill="1" applyBorder="1" applyAlignment="1" applyProtection="1"/>
    <xf numFmtId="168" fontId="40" fillId="17" borderId="8" xfId="1" applyNumberFormat="1" applyFont="1" applyFill="1" applyBorder="1" applyAlignment="1" applyProtection="1"/>
    <xf numFmtId="168" fontId="40" fillId="17" borderId="9" xfId="1" applyNumberFormat="1" applyFont="1" applyFill="1" applyBorder="1" applyAlignment="1" applyProtection="1"/>
    <xf numFmtId="168" fontId="30" fillId="7" borderId="8" xfId="1" applyNumberFormat="1" applyFont="1" applyFill="1" applyBorder="1" applyAlignment="1" applyProtection="1"/>
    <xf numFmtId="168" fontId="30" fillId="7" borderId="9" xfId="1" applyNumberFormat="1" applyFont="1" applyFill="1" applyBorder="1" applyAlignment="1" applyProtection="1"/>
    <xf numFmtId="168" fontId="39" fillId="0" borderId="8" xfId="1" applyNumberFormat="1" applyFont="1" applyFill="1" applyBorder="1" applyAlignment="1" applyProtection="1"/>
    <xf numFmtId="168" fontId="39" fillId="0" borderId="9" xfId="1" applyNumberFormat="1" applyFont="1" applyFill="1" applyBorder="1" applyAlignment="1" applyProtection="1"/>
    <xf numFmtId="168" fontId="40" fillId="13" borderId="8" xfId="1" applyNumberFormat="1" applyFont="1" applyFill="1" applyBorder="1" applyAlignment="1" applyProtection="1"/>
    <xf numFmtId="168" fontId="40" fillId="13" borderId="9" xfId="1" applyNumberFormat="1" applyFont="1" applyFill="1" applyBorder="1" applyAlignment="1" applyProtection="1"/>
    <xf numFmtId="168" fontId="40" fillId="0" borderId="8" xfId="1" applyNumberFormat="1" applyFont="1" applyFill="1" applyBorder="1" applyAlignment="1" applyProtection="1"/>
    <xf numFmtId="168" fontId="30" fillId="11" borderId="8" xfId="1" applyNumberFormat="1" applyFont="1" applyFill="1" applyBorder="1" applyAlignment="1" applyProtection="1"/>
    <xf numFmtId="168" fontId="30" fillId="11" borderId="9" xfId="1" applyNumberFormat="1" applyFont="1" applyFill="1" applyBorder="1" applyAlignment="1" applyProtection="1"/>
    <xf numFmtId="168" fontId="40" fillId="3" borderId="8" xfId="1" applyNumberFormat="1" applyFont="1" applyFill="1" applyBorder="1" applyAlignment="1" applyProtection="1"/>
    <xf numFmtId="168" fontId="40" fillId="3" borderId="9" xfId="1" applyNumberFormat="1" applyFont="1" applyFill="1" applyBorder="1" applyAlignment="1" applyProtection="1"/>
    <xf numFmtId="168" fontId="30" fillId="18" borderId="8" xfId="1" applyNumberFormat="1" applyFont="1" applyFill="1" applyBorder="1" applyAlignment="1" applyProtection="1"/>
    <xf numFmtId="168" fontId="30" fillId="18" borderId="9" xfId="1" applyNumberFormat="1" applyFont="1" applyFill="1" applyBorder="1" applyAlignment="1" applyProtection="1"/>
    <xf numFmtId="168" fontId="40" fillId="19" borderId="8" xfId="1" applyNumberFormat="1" applyFont="1" applyFill="1" applyBorder="1" applyAlignment="1" applyProtection="1"/>
    <xf numFmtId="168" fontId="40" fillId="19" borderId="9" xfId="1" applyNumberFormat="1" applyFont="1" applyFill="1" applyBorder="1" applyAlignment="1" applyProtection="1"/>
    <xf numFmtId="168" fontId="39" fillId="20" borderId="8" xfId="1" applyNumberFormat="1" applyFont="1" applyFill="1" applyBorder="1" applyAlignment="1" applyProtection="1"/>
    <xf numFmtId="168" fontId="39" fillId="20" borderId="9" xfId="1" applyNumberFormat="1" applyFont="1" applyFill="1" applyBorder="1" applyAlignment="1" applyProtection="1"/>
    <xf numFmtId="168" fontId="40" fillId="16" borderId="8" xfId="1" applyNumberFormat="1" applyFont="1" applyFill="1" applyBorder="1" applyAlignment="1" applyProtection="1"/>
    <xf numFmtId="168" fontId="40" fillId="16" borderId="9" xfId="1" applyNumberFormat="1" applyFont="1" applyFill="1" applyBorder="1" applyAlignment="1" applyProtection="1"/>
    <xf numFmtId="168" fontId="30" fillId="15" borderId="8" xfId="1" applyNumberFormat="1" applyFont="1" applyFill="1" applyBorder="1" applyAlignment="1" applyProtection="1"/>
    <xf numFmtId="168" fontId="30" fillId="15" borderId="9" xfId="1" applyNumberFormat="1" applyFont="1" applyFill="1" applyBorder="1" applyAlignment="1" applyProtection="1"/>
    <xf numFmtId="168" fontId="40" fillId="21" borderId="8" xfId="1" applyNumberFormat="1" applyFont="1" applyFill="1" applyBorder="1" applyAlignment="1" applyProtection="1"/>
    <xf numFmtId="168" fontId="40" fillId="21" borderId="9" xfId="1" applyNumberFormat="1" applyFont="1" applyFill="1" applyBorder="1" applyAlignment="1" applyProtection="1"/>
    <xf numFmtId="168" fontId="30" fillId="14" borderId="8" xfId="1" applyNumberFormat="1" applyFont="1" applyFill="1" applyBorder="1" applyAlignment="1" applyProtection="1"/>
    <xf numFmtId="168" fontId="30" fillId="14" borderId="9" xfId="1" applyNumberFormat="1" applyFont="1" applyFill="1" applyBorder="1" applyAlignment="1" applyProtection="1"/>
    <xf numFmtId="168" fontId="30" fillId="22" borderId="10" xfId="1" applyNumberFormat="1" applyFont="1" applyFill="1" applyBorder="1" applyAlignment="1" applyProtection="1"/>
    <xf numFmtId="168" fontId="30" fillId="22" borderId="18" xfId="1" applyNumberFormat="1" applyFont="1" applyFill="1" applyBorder="1" applyAlignment="1" applyProtection="1"/>
    <xf numFmtId="168" fontId="26" fillId="26" borderId="13" xfId="1" applyNumberFormat="1" applyFont="1" applyFill="1" applyBorder="1" applyAlignment="1" applyProtection="1"/>
    <xf numFmtId="168" fontId="26" fillId="26" borderId="68" xfId="1" applyNumberFormat="1" applyFont="1" applyFill="1" applyBorder="1" applyAlignment="1" applyProtection="1"/>
    <xf numFmtId="168" fontId="26" fillId="26" borderId="69" xfId="1" applyNumberFormat="1" applyFont="1" applyFill="1" applyBorder="1" applyAlignment="1" applyProtection="1"/>
    <xf numFmtId="168" fontId="26" fillId="0" borderId="68" xfId="1" applyNumberFormat="1" applyFont="1" applyFill="1" applyBorder="1" applyAlignment="1" applyProtection="1"/>
    <xf numFmtId="168" fontId="26" fillId="0" borderId="53" xfId="1" applyNumberFormat="1" applyFont="1" applyFill="1" applyBorder="1" applyAlignment="1" applyProtection="1"/>
    <xf numFmtId="168" fontId="26" fillId="0" borderId="69" xfId="1" applyNumberFormat="1" applyFont="1" applyFill="1" applyBorder="1" applyAlignment="1" applyProtection="1"/>
    <xf numFmtId="0" fontId="54" fillId="6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/>
    </xf>
    <xf numFmtId="0" fontId="23" fillId="4" borderId="21" xfId="0" applyFont="1" applyFill="1" applyBorder="1" applyAlignment="1">
      <alignment horizontal="center"/>
    </xf>
    <xf numFmtId="0" fontId="55" fillId="25" borderId="5" xfId="0" applyFont="1" applyFill="1" applyBorder="1" applyAlignment="1">
      <alignment horizontal="center"/>
    </xf>
    <xf numFmtId="0" fontId="55" fillId="25" borderId="6" xfId="0" applyFont="1" applyFill="1" applyBorder="1" applyAlignment="1">
      <alignment horizontal="center"/>
    </xf>
    <xf numFmtId="0" fontId="55" fillId="25" borderId="49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6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168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5" fillId="4" borderId="28" xfId="0" applyFont="1" applyFill="1" applyBorder="1" applyAlignment="1">
      <alignment horizontal="center"/>
    </xf>
    <xf numFmtId="0" fontId="25" fillId="4" borderId="29" xfId="0" applyFont="1" applyFill="1" applyBorder="1" applyAlignment="1">
      <alignment horizontal="center"/>
    </xf>
    <xf numFmtId="0" fontId="25" fillId="4" borderId="30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54" fillId="6" borderId="10" xfId="0" applyFont="1" applyFill="1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54" fillId="6" borderId="4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5" fillId="0" borderId="15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4" xfId="0" applyFont="1" applyBorder="1" applyAlignment="1">
      <alignment horizontal="center"/>
    </xf>
    <xf numFmtId="0" fontId="24" fillId="3" borderId="13" xfId="0" applyFont="1" applyFill="1" applyBorder="1" applyAlignment="1">
      <alignment horizontal="left" vertical="center"/>
    </xf>
    <xf numFmtId="0" fontId="33" fillId="4" borderId="5" xfId="0" applyFont="1" applyFill="1" applyBorder="1" applyAlignment="1">
      <alignment horizontal="center"/>
    </xf>
    <xf numFmtId="0" fontId="33" fillId="4" borderId="6" xfId="0" applyFont="1" applyFill="1" applyBorder="1" applyAlignment="1">
      <alignment horizontal="center"/>
    </xf>
    <xf numFmtId="0" fontId="33" fillId="4" borderId="7" xfId="0" applyFont="1" applyFill="1" applyBorder="1" applyAlignment="1">
      <alignment horizontal="center"/>
    </xf>
    <xf numFmtId="0" fontId="30" fillId="2" borderId="47" xfId="0" applyFont="1" applyFill="1" applyBorder="1" applyAlignment="1">
      <alignment horizontal="right"/>
    </xf>
    <xf numFmtId="0" fontId="30" fillId="2" borderId="48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left" vertical="center"/>
    </xf>
    <xf numFmtId="0" fontId="30" fillId="2" borderId="5" xfId="0" applyFont="1" applyFill="1" applyBorder="1" applyAlignment="1">
      <alignment horizontal="right" vertical="center"/>
    </xf>
    <xf numFmtId="0" fontId="30" fillId="2" borderId="6" xfId="0" applyFont="1" applyFill="1" applyBorder="1" applyAlignment="1">
      <alignment horizontal="right" vertical="center"/>
    </xf>
    <xf numFmtId="0" fontId="30" fillId="2" borderId="7" xfId="0" applyFont="1" applyFill="1" applyBorder="1" applyAlignment="1">
      <alignment horizontal="right" vertical="center"/>
    </xf>
    <xf numFmtId="0" fontId="24" fillId="0" borderId="5" xfId="0" applyFont="1" applyBorder="1" applyAlignment="1">
      <alignment horizontal="right" vertical="center"/>
    </xf>
    <xf numFmtId="0" fontId="24" fillId="0" borderId="6" xfId="0" applyFont="1" applyBorder="1" applyAlignment="1">
      <alignment horizontal="right" vertical="center"/>
    </xf>
    <xf numFmtId="0" fontId="24" fillId="0" borderId="7" xfId="0" applyFont="1" applyBorder="1" applyAlignment="1">
      <alignment horizontal="right" vertical="center"/>
    </xf>
    <xf numFmtId="0" fontId="28" fillId="0" borderId="5" xfId="0" applyFont="1" applyBorder="1" applyAlignment="1">
      <alignment horizontal="right" vertical="center"/>
    </xf>
    <xf numFmtId="0" fontId="28" fillId="0" borderId="6" xfId="0" applyFont="1" applyBorder="1" applyAlignment="1">
      <alignment horizontal="right" vertical="center"/>
    </xf>
    <xf numFmtId="0" fontId="28" fillId="0" borderId="7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24" fillId="3" borderId="13" xfId="0" applyFont="1" applyFill="1" applyBorder="1" applyAlignment="1">
      <alignment horizontal="left" vertical="center" wrapText="1"/>
    </xf>
    <xf numFmtId="0" fontId="24" fillId="8" borderId="31" xfId="0" applyFont="1" applyFill="1" applyBorder="1" applyAlignment="1">
      <alignment horizontal="right" vertical="center"/>
    </xf>
    <xf numFmtId="0" fontId="24" fillId="8" borderId="6" xfId="0" applyFont="1" applyFill="1" applyBorder="1" applyAlignment="1">
      <alignment horizontal="right" vertical="center"/>
    </xf>
    <xf numFmtId="0" fontId="24" fillId="8" borderId="7" xfId="0" applyFont="1" applyFill="1" applyBorder="1" applyAlignment="1">
      <alignment horizontal="right" vertical="center"/>
    </xf>
    <xf numFmtId="0" fontId="5" fillId="13" borderId="22" xfId="0" applyFont="1" applyFill="1" applyBorder="1" applyAlignment="1">
      <alignment horizontal="right" vertical="center"/>
    </xf>
    <xf numFmtId="0" fontId="5" fillId="13" borderId="4" xfId="0" applyFont="1" applyFill="1" applyBorder="1" applyAlignment="1">
      <alignment horizontal="right" vertical="center"/>
    </xf>
    <xf numFmtId="0" fontId="33" fillId="4" borderId="20" xfId="0" applyFont="1" applyFill="1" applyBorder="1" applyAlignment="1">
      <alignment horizontal="center"/>
    </xf>
    <xf numFmtId="0" fontId="33" fillId="4" borderId="33" xfId="0" applyFont="1" applyFill="1" applyBorder="1" applyAlignment="1">
      <alignment horizontal="center"/>
    </xf>
    <xf numFmtId="0" fontId="33" fillId="4" borderId="21" xfId="0" applyFont="1" applyFill="1" applyBorder="1" applyAlignment="1">
      <alignment horizontal="center"/>
    </xf>
    <xf numFmtId="0" fontId="5" fillId="0" borderId="46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5" fillId="4" borderId="5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4" borderId="33" xfId="0" applyFont="1" applyFill="1" applyBorder="1" applyAlignment="1">
      <alignment horizontal="center"/>
    </xf>
    <xf numFmtId="0" fontId="25" fillId="4" borderId="21" xfId="0" applyFont="1" applyFill="1" applyBorder="1" applyAlignment="1">
      <alignment horizontal="center"/>
    </xf>
    <xf numFmtId="0" fontId="25" fillId="0" borderId="31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0" borderId="7" xfId="0" applyFont="1" applyBorder="1" applyAlignment="1">
      <alignment horizontal="left"/>
    </xf>
    <xf numFmtId="0" fontId="25" fillId="4" borderId="1" xfId="0" applyFont="1" applyFill="1" applyBorder="1" applyAlignment="1">
      <alignment horizontal="center"/>
    </xf>
    <xf numFmtId="0" fontId="25" fillId="4" borderId="2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5" fillId="0" borderId="34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18" xfId="0" applyFont="1" applyBorder="1" applyAlignment="1">
      <alignment horizontal="left"/>
    </xf>
    <xf numFmtId="0" fontId="36" fillId="4" borderId="1" xfId="0" applyFont="1" applyFill="1" applyBorder="1" applyAlignment="1">
      <alignment horizontal="center"/>
    </xf>
    <xf numFmtId="0" fontId="36" fillId="4" borderId="2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/>
    </xf>
    <xf numFmtId="0" fontId="67" fillId="28" borderId="1" xfId="46" applyFont="1" applyFill="1" applyBorder="1" applyAlignment="1">
      <alignment horizontal="center"/>
    </xf>
    <xf numFmtId="0" fontId="67" fillId="28" borderId="2" xfId="46" applyFont="1" applyFill="1" applyBorder="1" applyAlignment="1">
      <alignment horizontal="center"/>
    </xf>
    <xf numFmtId="0" fontId="67" fillId="28" borderId="3" xfId="46" applyFont="1" applyFill="1" applyBorder="1" applyAlignment="1">
      <alignment horizontal="center"/>
    </xf>
    <xf numFmtId="0" fontId="67" fillId="12" borderId="1" xfId="46" applyFont="1" applyFill="1" applyBorder="1" applyAlignment="1">
      <alignment horizontal="center"/>
    </xf>
    <xf numFmtId="0" fontId="67" fillId="12" borderId="2" xfId="46" applyFont="1" applyFill="1" applyBorder="1" applyAlignment="1">
      <alignment horizontal="center"/>
    </xf>
    <xf numFmtId="0" fontId="67" fillId="12" borderId="3" xfId="46" applyFont="1" applyFill="1" applyBorder="1" applyAlignment="1">
      <alignment horizontal="center"/>
    </xf>
    <xf numFmtId="0" fontId="67" fillId="20" borderId="1" xfId="46" applyFont="1" applyFill="1" applyBorder="1" applyAlignment="1">
      <alignment horizontal="center"/>
    </xf>
    <xf numFmtId="0" fontId="67" fillId="20" borderId="2" xfId="46" applyFont="1" applyFill="1" applyBorder="1" applyAlignment="1">
      <alignment horizontal="center"/>
    </xf>
    <xf numFmtId="0" fontId="67" fillId="20" borderId="3" xfId="46" applyFont="1" applyFill="1" applyBorder="1" applyAlignment="1">
      <alignment horizontal="center"/>
    </xf>
    <xf numFmtId="0" fontId="67" fillId="0" borderId="0" xfId="46" applyFont="1" applyAlignment="1">
      <alignment horizontal="center"/>
    </xf>
    <xf numFmtId="0" fontId="60" fillId="0" borderId="0" xfId="46" applyFont="1" applyAlignment="1">
      <alignment horizontal="center"/>
    </xf>
    <xf numFmtId="0" fontId="67" fillId="12" borderId="54" xfId="46" applyFont="1" applyFill="1" applyBorder="1" applyAlignment="1">
      <alignment horizontal="center"/>
    </xf>
    <xf numFmtId="0" fontId="67" fillId="12" borderId="19" xfId="46" applyFont="1" applyFill="1" applyBorder="1" applyAlignment="1">
      <alignment horizontal="center"/>
    </xf>
    <xf numFmtId="0" fontId="67" fillId="20" borderId="19" xfId="46" applyFont="1" applyFill="1" applyBorder="1" applyAlignment="1">
      <alignment horizontal="center"/>
    </xf>
    <xf numFmtId="168" fontId="4" fillId="0" borderId="13" xfId="0" applyNumberFormat="1" applyFont="1" applyBorder="1" applyAlignment="1">
      <alignment horizontal="center" vertical="center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0" fontId="77" fillId="25" borderId="5" xfId="0" applyFont="1" applyFill="1" applyBorder="1" applyAlignment="1">
      <alignment horizontal="center"/>
    </xf>
    <xf numFmtId="0" fontId="77" fillId="25" borderId="6" xfId="0" applyFont="1" applyFill="1" applyBorder="1" applyAlignment="1">
      <alignment horizontal="center"/>
    </xf>
    <xf numFmtId="0" fontId="77" fillId="25" borderId="49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3" fillId="4" borderId="33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168" fontId="0" fillId="0" borderId="13" xfId="0" applyNumberForma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4" borderId="12" xfId="0" applyFont="1" applyFill="1" applyBorder="1" applyAlignment="1">
      <alignment horizontal="center"/>
    </xf>
    <xf numFmtId="0" fontId="23" fillId="4" borderId="16" xfId="0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0" fontId="36" fillId="4" borderId="20" xfId="0" applyFont="1" applyFill="1" applyBorder="1" applyAlignment="1">
      <alignment horizontal="center"/>
    </xf>
    <xf numFmtId="0" fontId="36" fillId="4" borderId="33" xfId="0" applyFont="1" applyFill="1" applyBorder="1" applyAlignment="1">
      <alignment horizontal="center"/>
    </xf>
    <xf numFmtId="0" fontId="36" fillId="4" borderId="21" xfId="0" applyFont="1" applyFill="1" applyBorder="1" applyAlignment="1">
      <alignment horizontal="center"/>
    </xf>
    <xf numFmtId="168" fontId="25" fillId="4" borderId="20" xfId="1" applyNumberFormat="1" applyFont="1" applyFill="1" applyBorder="1" applyAlignment="1">
      <alignment horizontal="center"/>
    </xf>
    <xf numFmtId="168" fontId="25" fillId="4" borderId="33" xfId="1" applyNumberFormat="1" applyFont="1" applyFill="1" applyBorder="1" applyAlignment="1">
      <alignment horizontal="center"/>
    </xf>
    <xf numFmtId="168" fontId="25" fillId="4" borderId="21" xfId="1" applyNumberFormat="1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</cellXfs>
  <cellStyles count="49">
    <cellStyle name="Euro" xfId="45" xr:uid="{00000000-0005-0000-0000-000000000000}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Milliers" xfId="1" builtinId="3"/>
    <cellStyle name="Milliers [0]" xfId="43" builtinId="6"/>
    <cellStyle name="Milliers 2" xfId="47" xr:uid="{4E039A07-47C4-BC4C-8CD1-90D71DAA53A5}"/>
    <cellStyle name="Monétaire [0]" xfId="44" builtinId="7"/>
    <cellStyle name="Normal" xfId="0" builtinId="0"/>
    <cellStyle name="Normal 2" xfId="46" xr:uid="{EF258B21-DB6C-D741-8A85-32A53B8394E7}"/>
    <cellStyle name="Normal 2 2" xfId="48" xr:uid="{0E9D0439-C9B3-EF4A-8C3C-971DD8EFCB2F}"/>
    <cellStyle name="Pourcentage" xfId="2" builtinId="5"/>
  </cellStyles>
  <dxfs count="0"/>
  <tableStyles count="0" defaultTableStyle="TableStyleMedium9" defaultPivotStyle="PivotStyleLight16"/>
  <colors>
    <mruColors>
      <color rgb="FFFFFF99"/>
      <color rgb="FFFFFFCC"/>
      <color rgb="FF666699"/>
      <color rgb="FF926C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des ventes de la gomme arabique et de sa ftransformation sur 5 ans</a:t>
            </a:r>
          </a:p>
        </c:rich>
      </c:tx>
      <c:layout>
        <c:manualLayout>
          <c:xMode val="edge"/>
          <c:yMode val="edge"/>
          <c:x val="0.3709512248468940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 Elevage'!$Q$124</c:f>
              <c:strCache>
                <c:ptCount val="1"/>
                <c:pt idx="0">
                  <c:v>Total des ventes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 Elevage'!$R$124:$V$124</c:f>
              <c:numCache>
                <c:formatCode>_-* #,##0\ _€_-;\-* #,##0\ _€_-;_-* "-"??\ _€_-;_-@_-</c:formatCode>
                <c:ptCount val="5"/>
                <c:pt idx="0">
                  <c:v>90000</c:v>
                </c:pt>
                <c:pt idx="1">
                  <c:v>360000</c:v>
                </c:pt>
                <c:pt idx="2">
                  <c:v>361000</c:v>
                </c:pt>
                <c:pt idx="3">
                  <c:v>361000</c:v>
                </c:pt>
                <c:pt idx="4">
                  <c:v>361000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E-4CFE-B91F-91B0DE2748EF}"/>
            </c:ext>
          </c:extLst>
        </c:ser>
        <c:ser>
          <c:idx val="1"/>
          <c:order val="1"/>
          <c:tx>
            <c:strRef>
              <c:f>'CA Elevage'!$Q$125</c:f>
              <c:strCache>
                <c:ptCount val="1"/>
                <c:pt idx="0">
                  <c:v>Production d'oeuf (1000 oef/ jour)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'CA Elevage'!$R$125:$V$125</c:f>
              <c:numCache>
                <c:formatCode>_-* #,##0\ _€_-;\-* #,##0\ _€_-;_-* "-"??\ _€_-;_-@_-</c:formatCode>
                <c:ptCount val="5"/>
                <c:pt idx="0">
                  <c:v>90000</c:v>
                </c:pt>
                <c:pt idx="1">
                  <c:v>360000</c:v>
                </c:pt>
                <c:pt idx="2">
                  <c:v>360000</c:v>
                </c:pt>
                <c:pt idx="3">
                  <c:v>360000</c:v>
                </c:pt>
                <c:pt idx="4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E-4CFE-B91F-91B0DE2748EF}"/>
            </c:ext>
          </c:extLst>
        </c:ser>
        <c:ser>
          <c:idx val="2"/>
          <c:order val="2"/>
          <c:tx>
            <c:strRef>
              <c:f>'CA Elevage'!$Q$126</c:f>
              <c:strCache>
                <c:ptCount val="1"/>
                <c:pt idx="0">
                  <c:v>Produits à valeur ajoutée  poulet à bouillir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 Elevage'!$R$126:$V$126</c:f>
              <c:numCache>
                <c:formatCode>_-* #,##0\ _€_-;\-* #,##0\ _€_-;_-* "-"??\ _€_-;_-@_-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E-4CFE-B91F-91B0DE27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27520"/>
        <c:axId val="61703296"/>
      </c:barChart>
      <c:catAx>
        <c:axId val="5922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03296"/>
        <c:crosses val="autoZero"/>
        <c:auto val="1"/>
        <c:lblAlgn val="ctr"/>
        <c:lblOffset val="100"/>
        <c:noMultiLvlLbl val="0"/>
      </c:catAx>
      <c:valAx>
        <c:axId val="617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2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Diagramme de l'évolution des ventes sur cinq</a:t>
            </a:r>
            <a:r>
              <a:rPr lang="fr-FR" baseline="0"/>
              <a:t> ans </a:t>
            </a:r>
            <a:r>
              <a:rPr lang="fr-FR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02497963616616"/>
          <c:y val="0.16267543859649122"/>
          <c:w val="0.84134177700404078"/>
          <c:h val="0.63524830777731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 Elevage'!$B$124</c:f>
              <c:strCache>
                <c:ptCount val="1"/>
                <c:pt idx="0">
                  <c:v>Total des ventes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 Elevage'!$C$124:$G$124</c:f>
              <c:numCache>
                <c:formatCode>_-* #,##0\ _€_-;\-* #,##0\ _€_-;_-* "-"??\ _€_-;_-@_-</c:formatCode>
                <c:ptCount val="5"/>
                <c:pt idx="0">
                  <c:v>9000</c:v>
                </c:pt>
                <c:pt idx="1">
                  <c:v>36000</c:v>
                </c:pt>
                <c:pt idx="2">
                  <c:v>36030</c:v>
                </c:pt>
                <c:pt idx="3">
                  <c:v>86430</c:v>
                </c:pt>
                <c:pt idx="4">
                  <c:v>100030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3-4DAD-8446-FF748F113F39}"/>
            </c:ext>
          </c:extLst>
        </c:ser>
        <c:ser>
          <c:idx val="1"/>
          <c:order val="1"/>
          <c:tx>
            <c:strRef>
              <c:f>'CA Elevage'!$B$125</c:f>
              <c:strCache>
                <c:ptCount val="1"/>
                <c:pt idx="0">
                  <c:v>Production de lait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 Elevage'!$C$125:$G$125</c:f>
              <c:numCache>
                <c:formatCode>_-* #,##0\ _€_-;\-* #,##0\ _€_-;_-* "-"??\ _€_-;_-@_-</c:formatCode>
                <c:ptCount val="5"/>
                <c:pt idx="0">
                  <c:v>9000</c:v>
                </c:pt>
                <c:pt idx="1">
                  <c:v>36000</c:v>
                </c:pt>
                <c:pt idx="2">
                  <c:v>36000</c:v>
                </c:pt>
                <c:pt idx="3">
                  <c:v>86400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3-4DAD-8446-FF748F113F39}"/>
            </c:ext>
          </c:extLst>
        </c:ser>
        <c:ser>
          <c:idx val="2"/>
          <c:order val="2"/>
          <c:tx>
            <c:strRef>
              <c:f>'CA Elevage'!$B$126</c:f>
              <c:strCache>
                <c:ptCount val="1"/>
                <c:pt idx="0">
                  <c:v>Produits à v. ajoutée velle laitière inséminée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 Elevage'!$C$126:$G$126</c:f>
              <c:numCache>
                <c:formatCode>_-* #,##0\ _€_-;\-* #,##0\ _€_-;_-* "-"??\ _€_-;_-@_-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03-4DAD-8446-FF748F113F39}"/>
            </c:ext>
          </c:extLst>
        </c:ser>
        <c:ser>
          <c:idx val="3"/>
          <c:order val="3"/>
          <c:tx>
            <c:strRef>
              <c:f>'CA Elevage'!$B$127</c:f>
              <c:strCache>
                <c:ptCount val="1"/>
                <c:pt idx="0">
                  <c:v>Produits à v. ajoutée veau laitiers inséminés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'CA Elevage'!$C$127:$G$127</c:f>
              <c:numCache>
                <c:formatCode>_-* #,##0\ _€_-;\-* #,##0\ _€_-;_-* "-"??\ _€_-;_-@_-</c:formatCode>
                <c:ptCount val="5"/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03-4DAD-8446-FF748F113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67680"/>
        <c:axId val="61769216"/>
      </c:barChart>
      <c:catAx>
        <c:axId val="61767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69216"/>
        <c:crosses val="autoZero"/>
        <c:auto val="1"/>
        <c:lblAlgn val="ctr"/>
        <c:lblOffset val="100"/>
        <c:noMultiLvlLbl val="0"/>
      </c:catAx>
      <c:valAx>
        <c:axId val="617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6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des ventes de la gomme arabique et de sa ftransformation sur 5 ans</a:t>
            </a:r>
          </a:p>
        </c:rich>
      </c:tx>
      <c:layout>
        <c:manualLayout>
          <c:xMode val="edge"/>
          <c:yMode val="edge"/>
          <c:x val="0.3709512248468940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 Elevage'!$Q$124</c:f>
              <c:strCache>
                <c:ptCount val="1"/>
                <c:pt idx="0">
                  <c:v>Total des ventes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 Elevage'!$R$124:$V$124</c:f>
              <c:numCache>
                <c:formatCode>_-* #,##0\ _€_-;\-* #,##0\ _€_-;_-* "-"??\ _€_-;_-@_-</c:formatCode>
                <c:ptCount val="5"/>
                <c:pt idx="0">
                  <c:v>90000</c:v>
                </c:pt>
                <c:pt idx="1">
                  <c:v>360000</c:v>
                </c:pt>
                <c:pt idx="2">
                  <c:v>361000</c:v>
                </c:pt>
                <c:pt idx="3">
                  <c:v>361000</c:v>
                </c:pt>
                <c:pt idx="4">
                  <c:v>361000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E-4C0B-A751-B3D9F28ED9DE}"/>
            </c:ext>
          </c:extLst>
        </c:ser>
        <c:ser>
          <c:idx val="1"/>
          <c:order val="1"/>
          <c:tx>
            <c:strRef>
              <c:f>'CA Elevage'!$Q$125</c:f>
              <c:strCache>
                <c:ptCount val="1"/>
                <c:pt idx="0">
                  <c:v>Production d'oeuf (1000 oef/ jour)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'CA Elevage'!$R$125:$V$125</c:f>
              <c:numCache>
                <c:formatCode>_-* #,##0\ _€_-;\-* #,##0\ _€_-;_-* "-"??\ _€_-;_-@_-</c:formatCode>
                <c:ptCount val="5"/>
                <c:pt idx="0">
                  <c:v>90000</c:v>
                </c:pt>
                <c:pt idx="1">
                  <c:v>360000</c:v>
                </c:pt>
                <c:pt idx="2">
                  <c:v>360000</c:v>
                </c:pt>
                <c:pt idx="3">
                  <c:v>360000</c:v>
                </c:pt>
                <c:pt idx="4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E-4C0B-A751-B3D9F28ED9DE}"/>
            </c:ext>
          </c:extLst>
        </c:ser>
        <c:ser>
          <c:idx val="2"/>
          <c:order val="2"/>
          <c:tx>
            <c:strRef>
              <c:f>'CA Elevage'!$Q$126</c:f>
              <c:strCache>
                <c:ptCount val="1"/>
                <c:pt idx="0">
                  <c:v>Produits à valeur ajoutée  poulet à bouillir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 Elevage'!$R$126:$V$126</c:f>
              <c:numCache>
                <c:formatCode>_-* #,##0\ _€_-;\-* #,##0\ _€_-;_-* "-"??\ _€_-;_-@_-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E-4C0B-A751-B3D9F28ED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11936"/>
        <c:axId val="67117824"/>
      </c:barChart>
      <c:catAx>
        <c:axId val="67111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117824"/>
        <c:crosses val="autoZero"/>
        <c:auto val="1"/>
        <c:lblAlgn val="ctr"/>
        <c:lblOffset val="100"/>
        <c:noMultiLvlLbl val="0"/>
      </c:catAx>
      <c:valAx>
        <c:axId val="671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11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Diagramme de l'évolution des ventes sur cinq</a:t>
            </a:r>
            <a:r>
              <a:rPr lang="fr-FR" baseline="0"/>
              <a:t> ans </a:t>
            </a:r>
            <a:r>
              <a:rPr lang="fr-FR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 Elevage'!$B$124</c:f>
              <c:strCache>
                <c:ptCount val="1"/>
                <c:pt idx="0">
                  <c:v>Total des ventes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 Elevage'!$C$124:$G$124</c:f>
              <c:numCache>
                <c:formatCode>_-* #,##0\ _€_-;\-* #,##0\ _€_-;_-* "-"??\ _€_-;_-@_-</c:formatCode>
                <c:ptCount val="5"/>
                <c:pt idx="0">
                  <c:v>9000</c:v>
                </c:pt>
                <c:pt idx="1">
                  <c:v>36000</c:v>
                </c:pt>
                <c:pt idx="2">
                  <c:v>36030</c:v>
                </c:pt>
                <c:pt idx="3">
                  <c:v>86430</c:v>
                </c:pt>
                <c:pt idx="4">
                  <c:v>100030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C-4D3F-97AF-017C5104CEDF}"/>
            </c:ext>
          </c:extLst>
        </c:ser>
        <c:ser>
          <c:idx val="1"/>
          <c:order val="1"/>
          <c:tx>
            <c:strRef>
              <c:f>'CA Elevage'!$B$125</c:f>
              <c:strCache>
                <c:ptCount val="1"/>
                <c:pt idx="0">
                  <c:v>Production de lait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 Elevage'!$C$125:$G$125</c:f>
              <c:numCache>
                <c:formatCode>_-* #,##0\ _€_-;\-* #,##0\ _€_-;_-* "-"??\ _€_-;_-@_-</c:formatCode>
                <c:ptCount val="5"/>
                <c:pt idx="0">
                  <c:v>9000</c:v>
                </c:pt>
                <c:pt idx="1">
                  <c:v>36000</c:v>
                </c:pt>
                <c:pt idx="2">
                  <c:v>36000</c:v>
                </c:pt>
                <c:pt idx="3">
                  <c:v>86400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C-4D3F-97AF-017C5104CEDF}"/>
            </c:ext>
          </c:extLst>
        </c:ser>
        <c:ser>
          <c:idx val="2"/>
          <c:order val="2"/>
          <c:tx>
            <c:strRef>
              <c:f>'CA Elevage'!$B$126</c:f>
              <c:strCache>
                <c:ptCount val="1"/>
                <c:pt idx="0">
                  <c:v>Produits à v. ajoutée velle laitière inséminée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 Elevage'!$C$126:$G$126</c:f>
              <c:numCache>
                <c:formatCode>_-* #,##0\ _€_-;\-* #,##0\ _€_-;_-* "-"??\ _€_-;_-@_-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5C-4D3F-97AF-017C5104CEDF}"/>
            </c:ext>
          </c:extLst>
        </c:ser>
        <c:ser>
          <c:idx val="3"/>
          <c:order val="3"/>
          <c:tx>
            <c:strRef>
              <c:f>'CA Elevage'!$B$127</c:f>
              <c:strCache>
                <c:ptCount val="1"/>
                <c:pt idx="0">
                  <c:v>Produits à v. ajoutée veau laitiers inséminés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'CA Elevage'!$C$127:$G$127</c:f>
              <c:numCache>
                <c:formatCode>_-* #,##0\ _€_-;\-* #,##0\ _€_-;_-* "-"??\ _€_-;_-@_-</c:formatCode>
                <c:ptCount val="5"/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5C-4D3F-97AF-017C5104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48800"/>
        <c:axId val="67171072"/>
      </c:barChart>
      <c:catAx>
        <c:axId val="67148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171072"/>
        <c:crosses val="autoZero"/>
        <c:auto val="1"/>
        <c:lblAlgn val="ctr"/>
        <c:lblOffset val="100"/>
        <c:noMultiLvlLbl val="0"/>
      </c:catAx>
      <c:valAx>
        <c:axId val="671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14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207965</xdr:colOff>
      <xdr:row>165</xdr:row>
      <xdr:rowOff>73918</xdr:rowOff>
    </xdr:from>
    <xdr:to>
      <xdr:col>24</xdr:col>
      <xdr:colOff>1155385</xdr:colOff>
      <xdr:row>180</xdr:row>
      <xdr:rowOff>73919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128</xdr:row>
      <xdr:rowOff>80010</xdr:rowOff>
    </xdr:from>
    <xdr:to>
      <xdr:col>7</xdr:col>
      <xdr:colOff>101600</xdr:colOff>
      <xdr:row>143</xdr:row>
      <xdr:rowOff>80010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839483</xdr:colOff>
      <xdr:row>128</xdr:row>
      <xdr:rowOff>54582</xdr:rowOff>
    </xdr:from>
    <xdr:to>
      <xdr:col>21</xdr:col>
      <xdr:colOff>1266203</xdr:colOff>
      <xdr:row>143</xdr:row>
      <xdr:rowOff>54582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128</xdr:row>
      <xdr:rowOff>80010</xdr:rowOff>
    </xdr:from>
    <xdr:to>
      <xdr:col>15</xdr:col>
      <xdr:colOff>0</xdr:colOff>
      <xdr:row>143</xdr:row>
      <xdr:rowOff>80010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48472</xdr:colOff>
      <xdr:row>9</xdr:row>
      <xdr:rowOff>76738</xdr:rowOff>
    </xdr:from>
    <xdr:to>
      <xdr:col>2</xdr:col>
      <xdr:colOff>201458</xdr:colOff>
      <xdr:row>10</xdr:row>
      <xdr:rowOff>18175</xdr:rowOff>
    </xdr:to>
    <xdr:sp macro="" textlink="">
      <xdr:nvSpPr>
        <xdr:cNvPr id="4" name="Triangle isocèl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4625049" y="1930252"/>
          <a:ext cx="152986" cy="193148"/>
        </a:xfrm>
        <a:prstGeom prst="triangle">
          <a:avLst/>
        </a:prstGeom>
        <a:solidFill>
          <a:schemeClr val="accent3">
            <a:lumMod val="7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1052612</xdr:colOff>
      <xdr:row>10</xdr:row>
      <xdr:rowOff>63916</xdr:rowOff>
    </xdr:from>
    <xdr:to>
      <xdr:col>2</xdr:col>
      <xdr:colOff>1205598</xdr:colOff>
      <xdr:row>10</xdr:row>
      <xdr:rowOff>199316</xdr:rowOff>
    </xdr:to>
    <xdr:sp macro="" textlink="">
      <xdr:nvSpPr>
        <xdr:cNvPr id="6" name="Triangle isocè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5629189" y="2169141"/>
          <a:ext cx="152986" cy="135400"/>
        </a:xfrm>
        <a:prstGeom prst="triangle">
          <a:avLst/>
        </a:prstGeom>
        <a:solidFill>
          <a:srgbClr val="FF0000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1058476</xdr:colOff>
      <xdr:row>11</xdr:row>
      <xdr:rowOff>52477</xdr:rowOff>
    </xdr:from>
    <xdr:to>
      <xdr:col>2</xdr:col>
      <xdr:colOff>1211462</xdr:colOff>
      <xdr:row>11</xdr:row>
      <xdr:rowOff>187877</xdr:rowOff>
    </xdr:to>
    <xdr:sp macro="" textlink="">
      <xdr:nvSpPr>
        <xdr:cNvPr id="7" name="Triangle isocèl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5635053" y="2409414"/>
          <a:ext cx="152986" cy="135400"/>
        </a:xfrm>
        <a:prstGeom prst="triangle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509955</xdr:colOff>
      <xdr:row>14</xdr:row>
      <xdr:rowOff>76961</xdr:rowOff>
    </xdr:from>
    <xdr:to>
      <xdr:col>19</xdr:col>
      <xdr:colOff>0</xdr:colOff>
      <xdr:row>15</xdr:row>
      <xdr:rowOff>886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5668857" y="2667761"/>
          <a:ext cx="14175569" cy="105508"/>
        </a:xfrm>
        <a:prstGeom prst="rect">
          <a:avLst/>
        </a:prstGeom>
        <a:solidFill>
          <a:srgbClr val="926C3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498239</xdr:colOff>
      <xdr:row>15</xdr:row>
      <xdr:rowOff>76200</xdr:rowOff>
    </xdr:from>
    <xdr:to>
      <xdr:col>18</xdr:col>
      <xdr:colOff>872247</xdr:colOff>
      <xdr:row>16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7408120" y="2848583"/>
          <a:ext cx="12630859" cy="105383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504101</xdr:colOff>
      <xdr:row>16</xdr:row>
      <xdr:rowOff>76202</xdr:rowOff>
    </xdr:from>
    <xdr:to>
      <xdr:col>19</xdr:col>
      <xdr:colOff>0</xdr:colOff>
      <xdr:row>17</xdr:row>
      <xdr:rowOff>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7413982" y="3030168"/>
          <a:ext cx="12427201" cy="105383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1418738</xdr:colOff>
      <xdr:row>17</xdr:row>
      <xdr:rowOff>114415</xdr:rowOff>
    </xdr:from>
    <xdr:to>
      <xdr:col>19</xdr:col>
      <xdr:colOff>0</xdr:colOff>
      <xdr:row>18</xdr:row>
      <xdr:rowOff>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5995315" y="3981622"/>
          <a:ext cx="15575045" cy="13730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527551</xdr:colOff>
      <xdr:row>18</xdr:row>
      <xdr:rowOff>76095</xdr:rowOff>
    </xdr:from>
    <xdr:to>
      <xdr:col>19</xdr:col>
      <xdr:colOff>0</xdr:colOff>
      <xdr:row>19</xdr:row>
      <xdr:rowOff>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5686453" y="3393227"/>
          <a:ext cx="14157973" cy="105508"/>
        </a:xfrm>
        <a:prstGeom prst="rect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5884</xdr:colOff>
      <xdr:row>19</xdr:row>
      <xdr:rowOff>76209</xdr:rowOff>
    </xdr:from>
    <xdr:to>
      <xdr:col>19</xdr:col>
      <xdr:colOff>0</xdr:colOff>
      <xdr:row>20</xdr:row>
      <xdr:rowOff>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6040275" y="3574924"/>
          <a:ext cx="13804151" cy="10538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25399</xdr:colOff>
      <xdr:row>22</xdr:row>
      <xdr:rowOff>102973</xdr:rowOff>
    </xdr:from>
    <xdr:to>
      <xdr:col>3</xdr:col>
      <xdr:colOff>34324</xdr:colOff>
      <xdr:row>23</xdr:row>
      <xdr:rowOff>13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4601976" y="5228739"/>
          <a:ext cx="1439105" cy="148751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12700</xdr:colOff>
      <xdr:row>23</xdr:row>
      <xdr:rowOff>76199</xdr:rowOff>
    </xdr:from>
    <xdr:to>
      <xdr:col>6</xdr:col>
      <xdr:colOff>12700</xdr:colOff>
      <xdr:row>23</xdr:row>
      <xdr:rowOff>227912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6032500" y="5460999"/>
          <a:ext cx="2933700" cy="151713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12700</xdr:colOff>
      <xdr:row>24</xdr:row>
      <xdr:rowOff>50800</xdr:rowOff>
    </xdr:from>
    <xdr:to>
      <xdr:col>6</xdr:col>
      <xdr:colOff>0</xdr:colOff>
      <xdr:row>24</xdr:row>
      <xdr:rowOff>222053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6032500" y="5689600"/>
          <a:ext cx="2921000" cy="17125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25400</xdr:colOff>
      <xdr:row>25</xdr:row>
      <xdr:rowOff>63500</xdr:rowOff>
    </xdr:from>
    <xdr:to>
      <xdr:col>7</xdr:col>
      <xdr:colOff>0</xdr:colOff>
      <xdr:row>25</xdr:row>
      <xdr:rowOff>227918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7023100" y="5956300"/>
          <a:ext cx="2908300" cy="164418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961081</xdr:colOff>
      <xdr:row>26</xdr:row>
      <xdr:rowOff>80090</xdr:rowOff>
    </xdr:from>
    <xdr:to>
      <xdr:col>7</xdr:col>
      <xdr:colOff>12700</xdr:colOff>
      <xdr:row>26</xdr:row>
      <xdr:rowOff>227920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6967838" y="6212703"/>
          <a:ext cx="2941709" cy="14783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1029729</xdr:colOff>
      <xdr:row>29</xdr:row>
      <xdr:rowOff>114413</xdr:rowOff>
    </xdr:from>
    <xdr:to>
      <xdr:col>4</xdr:col>
      <xdr:colOff>11442</xdr:colOff>
      <xdr:row>30</xdr:row>
      <xdr:rowOff>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5606306" y="7002161"/>
          <a:ext cx="1384415" cy="137299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22883</xdr:colOff>
      <xdr:row>32</xdr:row>
      <xdr:rowOff>148738</xdr:rowOff>
    </xdr:from>
    <xdr:to>
      <xdr:col>7</xdr:col>
      <xdr:colOff>0</xdr:colOff>
      <xdr:row>32</xdr:row>
      <xdr:rowOff>251711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/>
      </xdr:nvSpPr>
      <xdr:spPr>
        <a:xfrm>
          <a:off x="8947207" y="7791621"/>
          <a:ext cx="949640" cy="10297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903874</xdr:colOff>
      <xdr:row>30</xdr:row>
      <xdr:rowOff>102973</xdr:rowOff>
    </xdr:from>
    <xdr:to>
      <xdr:col>6</xdr:col>
      <xdr:colOff>22883</xdr:colOff>
      <xdr:row>31</xdr:row>
      <xdr:rowOff>7621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6910631" y="7242432"/>
          <a:ext cx="2036576" cy="15636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11440</xdr:colOff>
      <xdr:row>31</xdr:row>
      <xdr:rowOff>148739</xdr:rowOff>
    </xdr:from>
    <xdr:to>
      <xdr:col>7</xdr:col>
      <xdr:colOff>11440</xdr:colOff>
      <xdr:row>32</xdr:row>
      <xdr:rowOff>19062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7963242" y="7539910"/>
          <a:ext cx="1945045" cy="12203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12699</xdr:colOff>
      <xdr:row>53</xdr:row>
      <xdr:rowOff>76200</xdr:rowOff>
    </xdr:from>
    <xdr:to>
      <xdr:col>19</xdr:col>
      <xdr:colOff>0</xdr:colOff>
      <xdr:row>54</xdr:row>
      <xdr:rowOff>6176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/>
      </xdr:nvSpPr>
      <xdr:spPr>
        <a:xfrm>
          <a:off x="8966199" y="13081000"/>
          <a:ext cx="12703243" cy="183976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965200</xdr:colOff>
      <xdr:row>54</xdr:row>
      <xdr:rowOff>114300</xdr:rowOff>
    </xdr:from>
    <xdr:to>
      <xdr:col>18</xdr:col>
      <xdr:colOff>735789</xdr:colOff>
      <xdr:row>55</xdr:row>
      <xdr:rowOff>25400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/>
      </xdr:nvSpPr>
      <xdr:spPr>
        <a:xfrm>
          <a:off x="8940800" y="13373100"/>
          <a:ext cx="12483289" cy="165100"/>
        </a:xfrm>
        <a:prstGeom prst="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949639</xdr:colOff>
      <xdr:row>36</xdr:row>
      <xdr:rowOff>102973</xdr:rowOff>
    </xdr:from>
    <xdr:to>
      <xdr:col>11</xdr:col>
      <xdr:colOff>11440</xdr:colOff>
      <xdr:row>37</xdr:row>
      <xdr:rowOff>4975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6956396" y="8752703"/>
          <a:ext cx="6841981" cy="153713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11441</xdr:colOff>
      <xdr:row>37</xdr:row>
      <xdr:rowOff>102973</xdr:rowOff>
    </xdr:from>
    <xdr:to>
      <xdr:col>11</xdr:col>
      <xdr:colOff>22883</xdr:colOff>
      <xdr:row>38</xdr:row>
      <xdr:rowOff>11992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/>
      </xdr:nvSpPr>
      <xdr:spPr>
        <a:xfrm>
          <a:off x="6990720" y="9004414"/>
          <a:ext cx="6819100" cy="160731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615058</xdr:colOff>
      <xdr:row>51</xdr:row>
      <xdr:rowOff>88900</xdr:rowOff>
    </xdr:from>
    <xdr:to>
      <xdr:col>8</xdr:col>
      <xdr:colOff>12699</xdr:colOff>
      <xdr:row>51</xdr:row>
      <xdr:rowOff>242966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9568558" y="12585700"/>
          <a:ext cx="1353441" cy="154066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938199</xdr:colOff>
      <xdr:row>38</xdr:row>
      <xdr:rowOff>91532</xdr:rowOff>
    </xdr:from>
    <xdr:to>
      <xdr:col>11</xdr:col>
      <xdr:colOff>22882</xdr:colOff>
      <xdr:row>39</xdr:row>
      <xdr:rowOff>4976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/>
      </xdr:nvSpPr>
      <xdr:spPr>
        <a:xfrm>
          <a:off x="9862523" y="9244685"/>
          <a:ext cx="3947296" cy="1651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</xdr:colOff>
      <xdr:row>39</xdr:row>
      <xdr:rowOff>80090</xdr:rowOff>
    </xdr:from>
    <xdr:to>
      <xdr:col>7</xdr:col>
      <xdr:colOff>45766</xdr:colOff>
      <xdr:row>40</xdr:row>
      <xdr:rowOff>5557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/>
      </xdr:nvSpPr>
      <xdr:spPr>
        <a:xfrm>
          <a:off x="6006758" y="9484955"/>
          <a:ext cx="3935855" cy="177179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12700</xdr:colOff>
      <xdr:row>44</xdr:row>
      <xdr:rowOff>12700</xdr:rowOff>
    </xdr:from>
    <xdr:to>
      <xdr:col>5</xdr:col>
      <xdr:colOff>533400</xdr:colOff>
      <xdr:row>44</xdr:row>
      <xdr:rowOff>215899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/>
      </xdr:nvSpPr>
      <xdr:spPr>
        <a:xfrm>
          <a:off x="7010400" y="10731500"/>
          <a:ext cx="1498600" cy="203199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927100</xdr:colOff>
      <xdr:row>45</xdr:row>
      <xdr:rowOff>139700</xdr:rowOff>
    </xdr:from>
    <xdr:to>
      <xdr:col>7</xdr:col>
      <xdr:colOff>0</xdr:colOff>
      <xdr:row>46</xdr:row>
      <xdr:rowOff>16905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/>
      </xdr:nvSpPr>
      <xdr:spPr>
        <a:xfrm>
          <a:off x="6946900" y="11112500"/>
          <a:ext cx="2984500" cy="13120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0</xdr:colOff>
      <xdr:row>46</xdr:row>
      <xdr:rowOff>126999</xdr:rowOff>
    </xdr:from>
    <xdr:to>
      <xdr:col>6</xdr:col>
      <xdr:colOff>431800</xdr:colOff>
      <xdr:row>47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/>
      </xdr:nvSpPr>
      <xdr:spPr>
        <a:xfrm>
          <a:off x="6997700" y="11353799"/>
          <a:ext cx="2387600" cy="1270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12700</xdr:colOff>
      <xdr:row>47</xdr:row>
      <xdr:rowOff>101601</xdr:rowOff>
    </xdr:from>
    <xdr:to>
      <xdr:col>6</xdr:col>
      <xdr:colOff>444500</xdr:colOff>
      <xdr:row>48</xdr:row>
      <xdr:rowOff>4981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/>
      </xdr:nvSpPr>
      <xdr:spPr>
        <a:xfrm>
          <a:off x="7010400" y="11582401"/>
          <a:ext cx="2387600" cy="15738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617146</xdr:colOff>
      <xdr:row>50</xdr:row>
      <xdr:rowOff>101599</xdr:rowOff>
    </xdr:from>
    <xdr:to>
      <xdr:col>8</xdr:col>
      <xdr:colOff>25400</xdr:colOff>
      <xdr:row>50</xdr:row>
      <xdr:rowOff>247252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9570646" y="12344399"/>
          <a:ext cx="1364054" cy="145653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617146</xdr:colOff>
      <xdr:row>50</xdr:row>
      <xdr:rowOff>73815</xdr:rowOff>
    </xdr:from>
    <xdr:to>
      <xdr:col>11</xdr:col>
      <xdr:colOff>272930</xdr:colOff>
      <xdr:row>51</xdr:row>
      <xdr:rowOff>6165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/>
      </xdr:nvSpPr>
      <xdr:spPr>
        <a:xfrm>
          <a:off x="11742346" y="11789565"/>
          <a:ext cx="532084" cy="18000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624472</xdr:colOff>
      <xdr:row>50</xdr:row>
      <xdr:rowOff>79677</xdr:rowOff>
    </xdr:from>
    <xdr:to>
      <xdr:col>15</xdr:col>
      <xdr:colOff>280256</xdr:colOff>
      <xdr:row>51</xdr:row>
      <xdr:rowOff>12027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/>
      </xdr:nvSpPr>
      <xdr:spPr>
        <a:xfrm>
          <a:off x="15254872" y="11795427"/>
          <a:ext cx="532084" cy="18000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624466</xdr:colOff>
      <xdr:row>50</xdr:row>
      <xdr:rowOff>71196</xdr:rowOff>
    </xdr:from>
    <xdr:to>
      <xdr:col>18</xdr:col>
      <xdr:colOff>280250</xdr:colOff>
      <xdr:row>51</xdr:row>
      <xdr:rowOff>3546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/>
      </xdr:nvSpPr>
      <xdr:spPr>
        <a:xfrm>
          <a:off x="17883766" y="11786946"/>
          <a:ext cx="532084" cy="18000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618794</xdr:colOff>
      <xdr:row>51</xdr:row>
      <xdr:rowOff>62961</xdr:rowOff>
    </xdr:from>
    <xdr:to>
      <xdr:col>11</xdr:col>
      <xdr:colOff>276385</xdr:colOff>
      <xdr:row>51</xdr:row>
      <xdr:rowOff>242961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/>
      </xdr:nvSpPr>
      <xdr:spPr>
        <a:xfrm>
          <a:off x="11743994" y="12026361"/>
          <a:ext cx="533891" cy="1800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615595</xdr:colOff>
      <xdr:row>51</xdr:row>
      <xdr:rowOff>62956</xdr:rowOff>
    </xdr:from>
    <xdr:to>
      <xdr:col>15</xdr:col>
      <xdr:colOff>273185</xdr:colOff>
      <xdr:row>51</xdr:row>
      <xdr:rowOff>242956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/>
      </xdr:nvSpPr>
      <xdr:spPr>
        <a:xfrm>
          <a:off x="15245995" y="12026356"/>
          <a:ext cx="533890" cy="1800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619852</xdr:colOff>
      <xdr:row>51</xdr:row>
      <xdr:rowOff>66157</xdr:rowOff>
    </xdr:from>
    <xdr:to>
      <xdr:col>18</xdr:col>
      <xdr:colOff>277442</xdr:colOff>
      <xdr:row>51</xdr:row>
      <xdr:rowOff>246157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/>
      </xdr:nvSpPr>
      <xdr:spPr>
        <a:xfrm>
          <a:off x="17879152" y="12029557"/>
          <a:ext cx="533890" cy="1800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673101</xdr:colOff>
      <xdr:row>57</xdr:row>
      <xdr:rowOff>101599</xdr:rowOff>
    </xdr:from>
    <xdr:to>
      <xdr:col>4</xdr:col>
      <xdr:colOff>604515</xdr:colOff>
      <xdr:row>58</xdr:row>
      <xdr:rowOff>1938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/>
      </xdr:nvSpPr>
      <xdr:spPr>
        <a:xfrm>
          <a:off x="6692901" y="14122399"/>
          <a:ext cx="909314" cy="15433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939800</xdr:colOff>
      <xdr:row>58</xdr:row>
      <xdr:rowOff>88900</xdr:rowOff>
    </xdr:from>
    <xdr:to>
      <xdr:col>5</xdr:col>
      <xdr:colOff>939800</xdr:colOff>
      <xdr:row>58</xdr:row>
      <xdr:rowOff>243574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/>
      </xdr:nvSpPr>
      <xdr:spPr>
        <a:xfrm>
          <a:off x="7937500" y="14363700"/>
          <a:ext cx="977900" cy="154674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59</xdr:row>
      <xdr:rowOff>88901</xdr:rowOff>
    </xdr:from>
    <xdr:to>
      <xdr:col>5</xdr:col>
      <xdr:colOff>939799</xdr:colOff>
      <xdr:row>59</xdr:row>
      <xdr:rowOff>244489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/>
      </xdr:nvSpPr>
      <xdr:spPr>
        <a:xfrm>
          <a:off x="7975600" y="14617701"/>
          <a:ext cx="939799" cy="155588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419101</xdr:colOff>
      <xdr:row>60</xdr:row>
      <xdr:rowOff>101599</xdr:rowOff>
    </xdr:from>
    <xdr:to>
      <xdr:col>4</xdr:col>
      <xdr:colOff>493395</xdr:colOff>
      <xdr:row>60</xdr:row>
      <xdr:rowOff>243570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/>
      </xdr:nvSpPr>
      <xdr:spPr>
        <a:xfrm>
          <a:off x="6438901" y="14884399"/>
          <a:ext cx="1052194" cy="14197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431800</xdr:colOff>
      <xdr:row>61</xdr:row>
      <xdr:rowOff>101600</xdr:rowOff>
    </xdr:from>
    <xdr:to>
      <xdr:col>4</xdr:col>
      <xdr:colOff>493396</xdr:colOff>
      <xdr:row>61</xdr:row>
      <xdr:rowOff>236942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SpPr/>
      </xdr:nvSpPr>
      <xdr:spPr>
        <a:xfrm>
          <a:off x="6451600" y="15138400"/>
          <a:ext cx="1039496" cy="13534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5726</xdr:colOff>
      <xdr:row>57</xdr:row>
      <xdr:rowOff>86601</xdr:rowOff>
    </xdr:from>
    <xdr:to>
      <xdr:col>11</xdr:col>
      <xdr:colOff>537809</xdr:colOff>
      <xdr:row>58</xdr:row>
      <xdr:rowOff>18951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/>
      </xdr:nvSpPr>
      <xdr:spPr>
        <a:xfrm>
          <a:off x="12007226" y="13535901"/>
          <a:ext cx="532083" cy="1800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681409</xdr:colOff>
      <xdr:row>58</xdr:row>
      <xdr:rowOff>80586</xdr:rowOff>
    </xdr:from>
    <xdr:to>
      <xdr:col>11</xdr:col>
      <xdr:colOff>337192</xdr:colOff>
      <xdr:row>59</xdr:row>
      <xdr:rowOff>12936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/>
      </xdr:nvSpPr>
      <xdr:spPr>
        <a:xfrm>
          <a:off x="11806609" y="13777536"/>
          <a:ext cx="532083" cy="180000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326495</xdr:colOff>
      <xdr:row>59</xdr:row>
      <xdr:rowOff>81501</xdr:rowOff>
    </xdr:from>
    <xdr:to>
      <xdr:col>12</xdr:col>
      <xdr:colOff>858728</xdr:colOff>
      <xdr:row>60</xdr:row>
      <xdr:rowOff>13851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/>
      </xdr:nvSpPr>
      <xdr:spPr>
        <a:xfrm>
          <a:off x="13204295" y="14026101"/>
          <a:ext cx="532233" cy="1800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833809</xdr:colOff>
      <xdr:row>60</xdr:row>
      <xdr:rowOff>80583</xdr:rowOff>
    </xdr:from>
    <xdr:to>
      <xdr:col>11</xdr:col>
      <xdr:colOff>489592</xdr:colOff>
      <xdr:row>61</xdr:row>
      <xdr:rowOff>12933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SpPr/>
      </xdr:nvSpPr>
      <xdr:spPr>
        <a:xfrm>
          <a:off x="11959009" y="14272833"/>
          <a:ext cx="532083" cy="180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833811</xdr:colOff>
      <xdr:row>61</xdr:row>
      <xdr:rowOff>73955</xdr:rowOff>
    </xdr:from>
    <xdr:to>
      <xdr:col>11</xdr:col>
      <xdr:colOff>489594</xdr:colOff>
      <xdr:row>62</xdr:row>
      <xdr:rowOff>6305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/>
      </xdr:nvSpPr>
      <xdr:spPr>
        <a:xfrm>
          <a:off x="11959011" y="14513855"/>
          <a:ext cx="532083" cy="180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5181</xdr:colOff>
      <xdr:row>64</xdr:row>
      <xdr:rowOff>91531</xdr:rowOff>
    </xdr:from>
    <xdr:to>
      <xdr:col>4</xdr:col>
      <xdr:colOff>57206</xdr:colOff>
      <xdr:row>65</xdr:row>
      <xdr:rowOff>1942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/>
      </xdr:nvSpPr>
      <xdr:spPr>
        <a:xfrm>
          <a:off x="6011938" y="15789189"/>
          <a:ext cx="1024547" cy="162122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64</xdr:row>
      <xdr:rowOff>114414</xdr:rowOff>
    </xdr:from>
    <xdr:to>
      <xdr:col>8</xdr:col>
      <xdr:colOff>938199</xdr:colOff>
      <xdr:row>65</xdr:row>
      <xdr:rowOff>1939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SpPr/>
      </xdr:nvSpPr>
      <xdr:spPr>
        <a:xfrm>
          <a:off x="8924324" y="15812072"/>
          <a:ext cx="2883244" cy="139236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961082</xdr:colOff>
      <xdr:row>65</xdr:row>
      <xdr:rowOff>91532</xdr:rowOff>
    </xdr:from>
    <xdr:to>
      <xdr:col>9</xdr:col>
      <xdr:colOff>12701</xdr:colOff>
      <xdr:row>65</xdr:row>
      <xdr:rowOff>243574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SpPr/>
      </xdr:nvSpPr>
      <xdr:spPr>
        <a:xfrm>
          <a:off x="6967839" y="16040901"/>
          <a:ext cx="4886754" cy="152042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961081</xdr:colOff>
      <xdr:row>66</xdr:row>
      <xdr:rowOff>102973</xdr:rowOff>
    </xdr:from>
    <xdr:to>
      <xdr:col>9</xdr:col>
      <xdr:colOff>0</xdr:colOff>
      <xdr:row>66</xdr:row>
      <xdr:rowOff>244489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SpPr/>
      </xdr:nvSpPr>
      <xdr:spPr>
        <a:xfrm>
          <a:off x="7940360" y="16304054"/>
          <a:ext cx="3901532" cy="141516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732253</xdr:colOff>
      <xdr:row>64</xdr:row>
      <xdr:rowOff>102973</xdr:rowOff>
    </xdr:from>
    <xdr:to>
      <xdr:col>11</xdr:col>
      <xdr:colOff>949640</xdr:colOff>
      <xdr:row>64</xdr:row>
      <xdr:rowOff>238023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/>
      </xdr:nvSpPr>
      <xdr:spPr>
        <a:xfrm>
          <a:off x="13546667" y="15800631"/>
          <a:ext cx="1189910" cy="135050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732253</xdr:colOff>
      <xdr:row>65</xdr:row>
      <xdr:rowOff>125856</xdr:rowOff>
    </xdr:from>
    <xdr:to>
      <xdr:col>11</xdr:col>
      <xdr:colOff>972522</xdr:colOff>
      <xdr:row>66</xdr:row>
      <xdr:rowOff>12935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/>
      </xdr:nvSpPr>
      <xdr:spPr>
        <a:xfrm>
          <a:off x="13546667" y="16075225"/>
          <a:ext cx="1212792" cy="138791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11442</xdr:colOff>
      <xdr:row>66</xdr:row>
      <xdr:rowOff>125855</xdr:rowOff>
    </xdr:from>
    <xdr:to>
      <xdr:col>14</xdr:col>
      <xdr:colOff>22881</xdr:colOff>
      <xdr:row>67</xdr:row>
      <xdr:rowOff>13850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SpPr/>
      </xdr:nvSpPr>
      <xdr:spPr>
        <a:xfrm>
          <a:off x="14770901" y="16326936"/>
          <a:ext cx="1956485" cy="139707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833808</xdr:colOff>
      <xdr:row>67</xdr:row>
      <xdr:rowOff>102973</xdr:rowOff>
    </xdr:from>
    <xdr:to>
      <xdr:col>14</xdr:col>
      <xdr:colOff>961080</xdr:colOff>
      <xdr:row>68</xdr:row>
      <xdr:rowOff>12933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SpPr/>
      </xdr:nvSpPr>
      <xdr:spPr>
        <a:xfrm>
          <a:off x="13648222" y="16555766"/>
          <a:ext cx="4017363" cy="161672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833811</xdr:colOff>
      <xdr:row>68</xdr:row>
      <xdr:rowOff>102972</xdr:rowOff>
    </xdr:from>
    <xdr:to>
      <xdr:col>15</xdr:col>
      <xdr:colOff>0</xdr:colOff>
      <xdr:row>69</xdr:row>
      <xdr:rowOff>6305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SpPr/>
      </xdr:nvSpPr>
      <xdr:spPr>
        <a:xfrm>
          <a:off x="13648225" y="16807477"/>
          <a:ext cx="4028802" cy="15504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F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radoudouartine/Library/Containers/com.apple.mail/Data/Library/Mail%20Downloads/0F8E2DC6-0A39-494A-BAFC-FFC3E6090582/LoanAmortization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iradoudouartine/Documents/HARAZ%20GROUP%20/ECTI%20Volontaire/Estimat&#176;%20CAP%203Moissons/ESTIMAT&#176;%20CAP%203moissons%20copie.xlsx" TargetMode="External"/><Relationship Id="rId1" Type="http://schemas.openxmlformats.org/officeDocument/2006/relationships/externalLinkPath" Target="ESTIMAT&#176;%20CAP%203moissons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d'amortissemen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enagements et infrastructures"/>
      <sheetName val="Mat bureau roulants"/>
      <sheetName val="Salaires &amp; Avantages"/>
      <sheetName val="Diverses charges immobilisées"/>
      <sheetName val="Matière premiere fourni, march,"/>
      <sheetName val="Ca..."/>
      <sheetName val="Exploitation"/>
      <sheetName val="CRP"/>
      <sheetName val="Amort technique"/>
      <sheetName val="Amort pret"/>
      <sheetName val="BFR"/>
      <sheetName val="Impots et taxes"/>
      <sheetName val="Coût"/>
      <sheetName val="Schéma de financement"/>
      <sheetName val="Activités"/>
      <sheetName val="Feuil2"/>
    </sheetNames>
    <sheetDataSet>
      <sheetData sheetId="0"/>
      <sheetData sheetId="1"/>
      <sheetData sheetId="2"/>
      <sheetData sheetId="3"/>
      <sheetData sheetId="4"/>
      <sheetData sheetId="5">
        <row r="6">
          <cell r="C6"/>
          <cell r="K6"/>
        </row>
        <row r="11">
          <cell r="C11"/>
          <cell r="D11"/>
          <cell r="E11"/>
          <cell r="K11"/>
          <cell r="L11"/>
          <cell r="M11"/>
        </row>
        <row r="17">
          <cell r="C17"/>
          <cell r="D17"/>
          <cell r="E17"/>
          <cell r="K17"/>
          <cell r="L17"/>
          <cell r="M17"/>
        </row>
        <row r="28">
          <cell r="V28"/>
        </row>
        <row r="53">
          <cell r="E53"/>
        </row>
        <row r="59">
          <cell r="E59">
            <v>0</v>
          </cell>
        </row>
        <row r="65">
          <cell r="E65">
            <v>0</v>
          </cell>
        </row>
        <row r="76">
          <cell r="E76"/>
        </row>
        <row r="82">
          <cell r="E82"/>
        </row>
        <row r="88">
          <cell r="E88"/>
        </row>
        <row r="99">
          <cell r="E99"/>
        </row>
        <row r="105">
          <cell r="E105"/>
        </row>
        <row r="111">
          <cell r="E11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61"/>
  <sheetViews>
    <sheetView showGridLines="0" topLeftCell="E37" zoomScale="125" zoomScaleNormal="125" workbookViewId="0">
      <selection activeCell="G32" sqref="G32"/>
    </sheetView>
  </sheetViews>
  <sheetFormatPr baseColWidth="10" defaultRowHeight="15" x14ac:dyDescent="0.2"/>
  <cols>
    <col min="1" max="1" width="2.6640625" customWidth="1"/>
    <col min="2" max="2" width="24.33203125" customWidth="1"/>
    <col min="3" max="3" width="68" customWidth="1"/>
    <col min="4" max="7" width="18.83203125" customWidth="1"/>
    <col min="8" max="8" width="3.5" customWidth="1"/>
    <col min="10" max="10" width="22.1640625" customWidth="1"/>
    <col min="11" max="11" width="55" customWidth="1"/>
    <col min="12" max="12" width="16.5" customWidth="1"/>
    <col min="13" max="13" width="17.1640625" customWidth="1"/>
    <col min="14" max="14" width="16.83203125" bestFit="1" customWidth="1"/>
    <col min="15" max="15" width="12.5" customWidth="1"/>
    <col min="16" max="16" width="16.6640625" customWidth="1"/>
    <col min="17" max="17" width="18" customWidth="1"/>
  </cols>
  <sheetData>
    <row r="3" spans="2:17" ht="19" x14ac:dyDescent="0.25">
      <c r="B3" s="769" t="s">
        <v>262</v>
      </c>
      <c r="C3" s="770"/>
      <c r="D3" s="770"/>
      <c r="E3" s="770"/>
      <c r="F3" s="770"/>
      <c r="G3" s="771"/>
      <c r="J3" s="769" t="s">
        <v>756</v>
      </c>
      <c r="K3" s="770"/>
      <c r="L3" s="770"/>
      <c r="M3" s="770"/>
      <c r="N3" s="771"/>
      <c r="O3" s="83"/>
    </row>
    <row r="4" spans="2:17" ht="16" x14ac:dyDescent="0.2">
      <c r="B4" s="78" t="s">
        <v>40</v>
      </c>
      <c r="C4" s="78" t="s">
        <v>43</v>
      </c>
      <c r="D4" s="78" t="s">
        <v>44</v>
      </c>
      <c r="E4" s="78" t="s">
        <v>19</v>
      </c>
      <c r="F4" s="78" t="s">
        <v>45</v>
      </c>
      <c r="G4" s="78" t="s">
        <v>46</v>
      </c>
      <c r="J4" s="78" t="s">
        <v>39</v>
      </c>
      <c r="K4" s="78" t="s">
        <v>52</v>
      </c>
      <c r="L4" s="78" t="s">
        <v>19</v>
      </c>
      <c r="M4" s="78" t="s">
        <v>45</v>
      </c>
      <c r="N4" s="78" t="s">
        <v>46</v>
      </c>
    </row>
    <row r="5" spans="2:17" ht="16" x14ac:dyDescent="0.2">
      <c r="B5" s="241" t="s">
        <v>42</v>
      </c>
      <c r="C5" s="371" t="s">
        <v>247</v>
      </c>
      <c r="D5" s="372" t="s">
        <v>54</v>
      </c>
      <c r="E5" s="242">
        <v>1000000</v>
      </c>
      <c r="F5" s="243">
        <v>0</v>
      </c>
      <c r="G5" s="244">
        <f>+F5*E5</f>
        <v>0</v>
      </c>
      <c r="J5" s="380" t="s">
        <v>276</v>
      </c>
      <c r="K5" s="375" t="s">
        <v>266</v>
      </c>
      <c r="L5" s="381">
        <v>4000000</v>
      </c>
      <c r="M5" s="382">
        <v>1</v>
      </c>
      <c r="N5" s="383">
        <f t="shared" ref="N5:N9" si="0">+M5*L5</f>
        <v>4000000</v>
      </c>
    </row>
    <row r="6" spans="2:17" ht="16" x14ac:dyDescent="0.2">
      <c r="B6" s="245" t="s">
        <v>757</v>
      </c>
      <c r="C6" s="375" t="s">
        <v>758</v>
      </c>
      <c r="D6" s="373" t="s">
        <v>249</v>
      </c>
      <c r="E6" s="196">
        <v>3500000</v>
      </c>
      <c r="F6" s="197">
        <v>1</v>
      </c>
      <c r="G6" s="246">
        <f>+F6*E6</f>
        <v>3500000</v>
      </c>
      <c r="J6" s="380" t="s">
        <v>271</v>
      </c>
      <c r="K6" s="377" t="s">
        <v>267</v>
      </c>
      <c r="L6" s="381">
        <v>30000000</v>
      </c>
      <c r="M6" s="382">
        <v>1</v>
      </c>
      <c r="N6" s="383">
        <f t="shared" si="0"/>
        <v>30000000</v>
      </c>
    </row>
    <row r="7" spans="2:17" ht="16" x14ac:dyDescent="0.2">
      <c r="B7" s="247" t="s">
        <v>216</v>
      </c>
      <c r="C7" s="375" t="s">
        <v>261</v>
      </c>
      <c r="D7" s="373" t="s">
        <v>259</v>
      </c>
      <c r="E7" s="196">
        <v>18500000</v>
      </c>
      <c r="F7" s="197">
        <v>1</v>
      </c>
      <c r="G7" s="246">
        <f>SUM(E7)*F7</f>
        <v>18500000</v>
      </c>
      <c r="J7" s="380" t="s">
        <v>271</v>
      </c>
      <c r="K7" s="377" t="s">
        <v>268</v>
      </c>
      <c r="L7" s="381">
        <v>15000000</v>
      </c>
      <c r="M7" s="382">
        <v>1</v>
      </c>
      <c r="N7" s="383">
        <f t="shared" si="0"/>
        <v>15000000</v>
      </c>
    </row>
    <row r="8" spans="2:17" ht="16" x14ac:dyDescent="0.2">
      <c r="B8" s="245" t="s">
        <v>47</v>
      </c>
      <c r="C8" s="194" t="s">
        <v>759</v>
      </c>
      <c r="D8" s="198" t="s">
        <v>219</v>
      </c>
      <c r="E8" s="196">
        <v>125000000</v>
      </c>
      <c r="F8" s="197">
        <v>0</v>
      </c>
      <c r="G8" s="246">
        <f>SUM(E8)*F8</f>
        <v>0</v>
      </c>
      <c r="J8" s="380" t="s">
        <v>271</v>
      </c>
      <c r="K8" s="377" t="s">
        <v>269</v>
      </c>
      <c r="L8" s="381">
        <v>1500000</v>
      </c>
      <c r="M8" s="382">
        <v>2</v>
      </c>
      <c r="N8" s="383">
        <f t="shared" si="0"/>
        <v>3000000</v>
      </c>
    </row>
    <row r="9" spans="2:17" ht="16" x14ac:dyDescent="0.2">
      <c r="B9" s="245"/>
      <c r="C9" s="194"/>
      <c r="D9" s="198"/>
      <c r="E9" s="196"/>
      <c r="F9" s="250" t="s">
        <v>51</v>
      </c>
      <c r="G9" s="251">
        <f>+SUM(G2:G8)</f>
        <v>22000000</v>
      </c>
      <c r="J9" s="380" t="s">
        <v>271</v>
      </c>
      <c r="K9" s="377" t="s">
        <v>270</v>
      </c>
      <c r="L9" s="381">
        <v>1700000</v>
      </c>
      <c r="M9" s="384">
        <v>2</v>
      </c>
      <c r="N9" s="385">
        <f t="shared" si="0"/>
        <v>3400000</v>
      </c>
    </row>
    <row r="10" spans="2:17" ht="16" x14ac:dyDescent="0.2">
      <c r="B10" s="248"/>
      <c r="C10" s="197"/>
      <c r="D10" s="195"/>
      <c r="E10" s="196"/>
      <c r="F10" s="197"/>
      <c r="G10" s="246"/>
      <c r="J10" s="380"/>
      <c r="K10" s="382"/>
      <c r="L10" s="381"/>
      <c r="M10" s="224" t="s">
        <v>51</v>
      </c>
      <c r="N10" s="256">
        <f>+SUM(N5:N7)</f>
        <v>49000000</v>
      </c>
      <c r="Q10" s="69"/>
    </row>
    <row r="11" spans="2:17" ht="16" x14ac:dyDescent="0.2">
      <c r="B11" s="249"/>
      <c r="C11" s="761" t="s">
        <v>760</v>
      </c>
      <c r="D11" s="762"/>
      <c r="E11" s="763"/>
      <c r="F11" s="250" t="s">
        <v>51</v>
      </c>
      <c r="G11" s="251">
        <f>SUM(G9)/10</f>
        <v>2200000</v>
      </c>
      <c r="J11" s="8"/>
      <c r="K11" s="772" t="s">
        <v>760</v>
      </c>
      <c r="L11" s="773"/>
      <c r="M11" s="224" t="s">
        <v>51</v>
      </c>
      <c r="N11" s="256">
        <f>SUM(N10)/10</f>
        <v>4900000</v>
      </c>
    </row>
    <row r="12" spans="2:17" x14ac:dyDescent="0.2">
      <c r="L12" s="81"/>
    </row>
    <row r="18" spans="2:17" ht="19" x14ac:dyDescent="0.25">
      <c r="B18" s="769" t="s">
        <v>246</v>
      </c>
      <c r="C18" s="770"/>
      <c r="D18" s="770"/>
      <c r="E18" s="770"/>
      <c r="F18" s="770"/>
      <c r="G18" s="771"/>
      <c r="J18" s="769" t="s">
        <v>761</v>
      </c>
      <c r="K18" s="770"/>
      <c r="L18" s="770"/>
      <c r="M18" s="770"/>
      <c r="N18" s="771"/>
      <c r="O18" s="83"/>
    </row>
    <row r="19" spans="2:17" ht="16" x14ac:dyDescent="0.2">
      <c r="B19" s="78" t="s">
        <v>40</v>
      </c>
      <c r="C19" s="78" t="s">
        <v>43</v>
      </c>
      <c r="D19" s="78" t="s">
        <v>44</v>
      </c>
      <c r="E19" s="78" t="s">
        <v>19</v>
      </c>
      <c r="F19" s="78" t="s">
        <v>45</v>
      </c>
      <c r="G19" s="78" t="s">
        <v>46</v>
      </c>
      <c r="J19" s="78" t="s">
        <v>39</v>
      </c>
      <c r="K19" s="78" t="s">
        <v>52</v>
      </c>
      <c r="L19" s="78" t="s">
        <v>19</v>
      </c>
      <c r="M19" s="78" t="s">
        <v>45</v>
      </c>
      <c r="N19" s="78" t="s">
        <v>46</v>
      </c>
    </row>
    <row r="20" spans="2:17" ht="16" x14ac:dyDescent="0.2">
      <c r="B20" s="245" t="s">
        <v>42</v>
      </c>
      <c r="C20" s="375" t="s">
        <v>762</v>
      </c>
      <c r="D20" s="373" t="s">
        <v>250</v>
      </c>
      <c r="E20" s="196">
        <v>1000000</v>
      </c>
      <c r="F20" s="197"/>
      <c r="G20" s="246">
        <f>+F20*E20</f>
        <v>0</v>
      </c>
      <c r="J20" s="380" t="s">
        <v>271</v>
      </c>
      <c r="K20" s="374" t="s">
        <v>272</v>
      </c>
      <c r="L20" s="230">
        <v>12000000</v>
      </c>
      <c r="M20" s="79">
        <v>1</v>
      </c>
      <c r="N20" s="270">
        <f>+M20*L20</f>
        <v>12000000</v>
      </c>
    </row>
    <row r="21" spans="2:17" ht="16" x14ac:dyDescent="0.2">
      <c r="B21" s="376" t="s">
        <v>257</v>
      </c>
      <c r="C21" s="377" t="s">
        <v>763</v>
      </c>
      <c r="D21" s="373" t="s">
        <v>250</v>
      </c>
      <c r="E21" s="196">
        <v>67000</v>
      </c>
      <c r="F21" s="197">
        <v>100</v>
      </c>
      <c r="G21" s="246">
        <f t="shared" ref="G21:G30" si="1">+F21*E21</f>
        <v>6700000</v>
      </c>
      <c r="J21" s="380" t="s">
        <v>271</v>
      </c>
      <c r="K21" s="374" t="s">
        <v>764</v>
      </c>
      <c r="L21" s="230">
        <v>7000000</v>
      </c>
      <c r="M21" s="79">
        <v>1</v>
      </c>
      <c r="N21" s="270">
        <f>+M21*L21</f>
        <v>7000000</v>
      </c>
    </row>
    <row r="22" spans="2:17" ht="16" x14ac:dyDescent="0.2">
      <c r="B22" s="376" t="s">
        <v>256</v>
      </c>
      <c r="C22" t="s">
        <v>765</v>
      </c>
      <c r="D22" s="373" t="s">
        <v>252</v>
      </c>
      <c r="E22" s="196">
        <v>8500</v>
      </c>
      <c r="F22" s="197">
        <v>4000</v>
      </c>
      <c r="G22" s="246">
        <f t="shared" si="1"/>
        <v>34000000</v>
      </c>
      <c r="J22" s="380" t="s">
        <v>271</v>
      </c>
      <c r="K22" s="374" t="s">
        <v>273</v>
      </c>
      <c r="L22" s="230">
        <v>2000000</v>
      </c>
      <c r="M22" s="79">
        <v>2</v>
      </c>
      <c r="N22" s="270">
        <f t="shared" ref="N22:N27" si="2">+M22*L22</f>
        <v>4000000</v>
      </c>
    </row>
    <row r="23" spans="2:17" ht="16" x14ac:dyDescent="0.2">
      <c r="B23" s="245" t="s">
        <v>757</v>
      </c>
      <c r="C23" s="377" t="s">
        <v>766</v>
      </c>
      <c r="D23" s="373" t="s">
        <v>251</v>
      </c>
      <c r="E23" s="196">
        <v>1500000</v>
      </c>
      <c r="F23" s="197">
        <v>5</v>
      </c>
      <c r="G23" s="246">
        <f t="shared" si="1"/>
        <v>7500000</v>
      </c>
      <c r="J23" s="380" t="s">
        <v>271</v>
      </c>
      <c r="K23" s="386" t="s">
        <v>767</v>
      </c>
      <c r="L23" s="230">
        <v>3000000</v>
      </c>
      <c r="M23" s="79">
        <v>1</v>
      </c>
      <c r="N23" s="270">
        <f t="shared" si="2"/>
        <v>3000000</v>
      </c>
    </row>
    <row r="24" spans="2:17" ht="16" x14ac:dyDescent="0.2">
      <c r="B24" s="245" t="s">
        <v>757</v>
      </c>
      <c r="C24" s="377" t="s">
        <v>768</v>
      </c>
      <c r="D24" s="373" t="s">
        <v>251</v>
      </c>
      <c r="E24" s="196">
        <v>2500000</v>
      </c>
      <c r="F24" s="197">
        <v>5</v>
      </c>
      <c r="G24" s="246">
        <f t="shared" si="1"/>
        <v>12500000</v>
      </c>
      <c r="J24" s="380" t="s">
        <v>271</v>
      </c>
      <c r="K24" s="386" t="s">
        <v>769</v>
      </c>
      <c r="L24" s="230">
        <v>3000000</v>
      </c>
      <c r="M24" s="79">
        <v>1</v>
      </c>
      <c r="N24" s="270">
        <f t="shared" si="2"/>
        <v>3000000</v>
      </c>
    </row>
    <row r="25" spans="2:17" ht="16" x14ac:dyDescent="0.2">
      <c r="B25" s="245" t="s">
        <v>757</v>
      </c>
      <c r="C25" s="377" t="s">
        <v>770</v>
      </c>
      <c r="D25" s="373" t="s">
        <v>253</v>
      </c>
      <c r="E25" s="196">
        <v>4000000</v>
      </c>
      <c r="F25" s="197">
        <v>15</v>
      </c>
      <c r="G25" s="246">
        <f t="shared" si="1"/>
        <v>60000000</v>
      </c>
      <c r="J25" s="380" t="s">
        <v>276</v>
      </c>
      <c r="K25" s="374" t="s">
        <v>274</v>
      </c>
      <c r="L25" s="230">
        <v>10000000</v>
      </c>
      <c r="M25" s="79">
        <v>4</v>
      </c>
      <c r="N25" s="270">
        <f t="shared" si="2"/>
        <v>40000000</v>
      </c>
    </row>
    <row r="26" spans="2:17" ht="16" x14ac:dyDescent="0.2">
      <c r="B26" s="245" t="s">
        <v>757</v>
      </c>
      <c r="C26" s="377" t="s">
        <v>771</v>
      </c>
      <c r="D26" s="373" t="s">
        <v>254</v>
      </c>
      <c r="E26" s="196">
        <v>3500000</v>
      </c>
      <c r="F26" s="197">
        <v>10</v>
      </c>
      <c r="G26" s="246">
        <f t="shared" si="1"/>
        <v>35000000</v>
      </c>
      <c r="J26" s="380" t="s">
        <v>276</v>
      </c>
      <c r="K26" s="374" t="s">
        <v>275</v>
      </c>
      <c r="L26" s="230">
        <v>6000000</v>
      </c>
      <c r="M26" s="79">
        <v>4</v>
      </c>
      <c r="N26" s="270">
        <f t="shared" si="2"/>
        <v>24000000</v>
      </c>
    </row>
    <row r="27" spans="2:17" ht="16" x14ac:dyDescent="0.2">
      <c r="B27" s="245" t="s">
        <v>757</v>
      </c>
      <c r="C27" s="377" t="s">
        <v>258</v>
      </c>
      <c r="D27" s="373" t="s">
        <v>255</v>
      </c>
      <c r="E27" s="196">
        <v>325000</v>
      </c>
      <c r="F27" s="197">
        <v>60</v>
      </c>
      <c r="G27" s="246">
        <f t="shared" si="1"/>
        <v>19500000</v>
      </c>
      <c r="J27" s="97"/>
      <c r="K27" s="79"/>
      <c r="L27" s="230"/>
      <c r="M27" s="79"/>
      <c r="N27" s="270">
        <f t="shared" si="2"/>
        <v>0</v>
      </c>
    </row>
    <row r="28" spans="2:17" ht="16" x14ac:dyDescent="0.2">
      <c r="B28" s="376" t="s">
        <v>216</v>
      </c>
      <c r="C28" s="375" t="s">
        <v>772</v>
      </c>
      <c r="D28" s="195" t="s">
        <v>48</v>
      </c>
      <c r="E28" s="196">
        <v>65000</v>
      </c>
      <c r="F28" s="197">
        <v>200</v>
      </c>
      <c r="G28" s="246">
        <f t="shared" si="1"/>
        <v>13000000</v>
      </c>
      <c r="J28" s="97"/>
      <c r="K28" s="79"/>
      <c r="L28" s="230"/>
      <c r="M28" s="79"/>
      <c r="N28" s="270"/>
    </row>
    <row r="29" spans="2:17" ht="16" x14ac:dyDescent="0.2">
      <c r="B29" s="376" t="s">
        <v>216</v>
      </c>
      <c r="C29" s="375" t="s">
        <v>260</v>
      </c>
      <c r="D29" s="373" t="s">
        <v>259</v>
      </c>
      <c r="E29" s="196">
        <v>85000</v>
      </c>
      <c r="F29" s="197">
        <v>100</v>
      </c>
      <c r="G29" s="246">
        <f t="shared" si="1"/>
        <v>8500000</v>
      </c>
      <c r="J29" s="271"/>
      <c r="K29" s="272"/>
      <c r="L29" s="273"/>
      <c r="M29" s="272"/>
      <c r="N29" s="274"/>
    </row>
    <row r="30" spans="2:17" ht="16" x14ac:dyDescent="0.2">
      <c r="B30" s="376" t="s">
        <v>216</v>
      </c>
      <c r="C30" s="375" t="s">
        <v>773</v>
      </c>
      <c r="D30" s="195" t="s">
        <v>50</v>
      </c>
      <c r="E30" s="196">
        <v>90000</v>
      </c>
      <c r="F30" s="197">
        <v>70</v>
      </c>
      <c r="G30" s="246">
        <f t="shared" si="1"/>
        <v>6300000</v>
      </c>
      <c r="J30" s="271"/>
      <c r="K30" s="272"/>
      <c r="L30" s="273"/>
      <c r="M30" s="272"/>
      <c r="N30" s="274"/>
    </row>
    <row r="31" spans="2:17" ht="16" x14ac:dyDescent="0.2">
      <c r="B31" s="248"/>
      <c r="C31" s="197"/>
      <c r="D31" s="195"/>
      <c r="E31" s="196"/>
      <c r="F31" s="197"/>
      <c r="G31" s="246"/>
      <c r="J31" s="97"/>
      <c r="K31" s="79"/>
      <c r="L31" s="230"/>
      <c r="M31" s="79"/>
      <c r="N31" s="236"/>
      <c r="Q31" s="69"/>
    </row>
    <row r="32" spans="2:17" ht="16" x14ac:dyDescent="0.2">
      <c r="B32" s="252"/>
      <c r="C32" s="253"/>
      <c r="D32" s="254"/>
      <c r="E32" s="255"/>
      <c r="F32" s="224" t="s">
        <v>51</v>
      </c>
      <c r="G32" s="256">
        <f>+SUM(G19:G31)</f>
        <v>203000000</v>
      </c>
      <c r="J32" s="8"/>
      <c r="K32" s="70"/>
      <c r="L32" s="269"/>
      <c r="M32" s="224" t="s">
        <v>51</v>
      </c>
      <c r="N32" s="256">
        <f>+SUM(N20:N30)</f>
        <v>93000000</v>
      </c>
    </row>
    <row r="33" spans="2:16" ht="16" x14ac:dyDescent="0.2">
      <c r="B33" s="74"/>
      <c r="C33" s="74"/>
      <c r="D33" s="74"/>
      <c r="E33" s="75"/>
      <c r="F33" s="74"/>
      <c r="G33" s="74"/>
      <c r="L33" s="81"/>
    </row>
    <row r="34" spans="2:16" ht="16" x14ac:dyDescent="0.2">
      <c r="B34" s="74"/>
      <c r="C34" s="74"/>
      <c r="D34" s="74"/>
      <c r="E34" s="75"/>
      <c r="F34" s="74"/>
      <c r="G34" s="74"/>
      <c r="L34" s="81"/>
    </row>
    <row r="35" spans="2:16" ht="16" x14ac:dyDescent="0.2">
      <c r="B35" s="74"/>
      <c r="C35" s="74"/>
      <c r="D35" s="74"/>
      <c r="E35" s="75"/>
      <c r="F35" s="74"/>
      <c r="G35" s="74"/>
    </row>
    <row r="36" spans="2:16" ht="19" x14ac:dyDescent="0.25">
      <c r="B36" s="769" t="s">
        <v>774</v>
      </c>
      <c r="C36" s="770"/>
      <c r="D36" s="770"/>
      <c r="E36" s="770"/>
      <c r="F36" s="770"/>
      <c r="G36" s="771"/>
      <c r="J36" s="766" t="s">
        <v>278</v>
      </c>
      <c r="K36" s="767"/>
      <c r="L36" s="767"/>
      <c r="M36" s="767"/>
      <c r="N36" s="768"/>
      <c r="O36" s="83"/>
    </row>
    <row r="37" spans="2:16" ht="16" x14ac:dyDescent="0.2">
      <c r="B37" s="78" t="s">
        <v>40</v>
      </c>
      <c r="C37" s="78" t="s">
        <v>43</v>
      </c>
      <c r="D37" s="78" t="s">
        <v>44</v>
      </c>
      <c r="E37" s="78" t="s">
        <v>19</v>
      </c>
      <c r="F37" s="78" t="s">
        <v>45</v>
      </c>
      <c r="G37" s="78" t="s">
        <v>46</v>
      </c>
      <c r="J37" s="78" t="s">
        <v>39</v>
      </c>
      <c r="K37" s="78" t="s">
        <v>52</v>
      </c>
      <c r="L37" s="78" t="s">
        <v>19</v>
      </c>
      <c r="M37" s="78" t="s">
        <v>45</v>
      </c>
      <c r="N37" s="78" t="s">
        <v>46</v>
      </c>
    </row>
    <row r="38" spans="2:16" ht="16" x14ac:dyDescent="0.2">
      <c r="B38" s="245" t="s">
        <v>42</v>
      </c>
      <c r="C38" s="375" t="s">
        <v>777</v>
      </c>
      <c r="D38" s="373" t="s">
        <v>251</v>
      </c>
      <c r="E38" s="196">
        <v>1000000</v>
      </c>
      <c r="F38" s="197"/>
      <c r="G38" s="246">
        <f>+F38*E38</f>
        <v>0</v>
      </c>
      <c r="J38" s="380" t="s">
        <v>276</v>
      </c>
      <c r="K38" s="375" t="s">
        <v>277</v>
      </c>
      <c r="L38" s="140">
        <v>5000000</v>
      </c>
      <c r="M38" s="234">
        <v>1</v>
      </c>
      <c r="N38" s="387">
        <f>+M38*L38</f>
        <v>5000000</v>
      </c>
    </row>
    <row r="39" spans="2:16" ht="16" x14ac:dyDescent="0.2">
      <c r="B39" s="245" t="s">
        <v>757</v>
      </c>
      <c r="C39" s="375" t="s">
        <v>779</v>
      </c>
      <c r="D39" s="198" t="s">
        <v>220</v>
      </c>
      <c r="E39" s="196">
        <v>1500000</v>
      </c>
      <c r="F39" s="197">
        <v>4</v>
      </c>
      <c r="G39" s="246">
        <f t="shared" ref="G39:G44" si="3">+F39*E39</f>
        <v>6000000</v>
      </c>
      <c r="J39" s="380" t="s">
        <v>276</v>
      </c>
      <c r="K39" s="375" t="s">
        <v>780</v>
      </c>
      <c r="L39" s="140">
        <v>2500000</v>
      </c>
      <c r="M39" s="234">
        <v>4</v>
      </c>
      <c r="N39" s="387">
        <f>SUM(L39*M39)</f>
        <v>10000000</v>
      </c>
    </row>
    <row r="40" spans="2:16" ht="16" x14ac:dyDescent="0.2">
      <c r="B40" s="376" t="s">
        <v>216</v>
      </c>
      <c r="C40" s="375" t="s">
        <v>781</v>
      </c>
      <c r="D40" s="195" t="s">
        <v>48</v>
      </c>
      <c r="E40" s="196">
        <v>65000</v>
      </c>
      <c r="F40" s="197">
        <v>300</v>
      </c>
      <c r="G40" s="246">
        <f t="shared" si="3"/>
        <v>19500000</v>
      </c>
      <c r="J40" s="380" t="s">
        <v>271</v>
      </c>
      <c r="K40" s="375" t="s">
        <v>778</v>
      </c>
      <c r="L40" s="140">
        <v>8500000</v>
      </c>
      <c r="M40" s="234">
        <v>1</v>
      </c>
      <c r="N40" s="387">
        <f>+M40*L40</f>
        <v>8500000</v>
      </c>
    </row>
    <row r="41" spans="2:16" ht="16" x14ac:dyDescent="0.2">
      <c r="B41" s="376" t="s">
        <v>216</v>
      </c>
      <c r="C41" s="375" t="s">
        <v>782</v>
      </c>
      <c r="D41" s="373" t="s">
        <v>248</v>
      </c>
      <c r="E41" s="196">
        <v>45000</v>
      </c>
      <c r="F41" s="197">
        <v>200</v>
      </c>
      <c r="G41" s="246">
        <f t="shared" si="3"/>
        <v>9000000</v>
      </c>
      <c r="J41" s="380" t="s">
        <v>271</v>
      </c>
      <c r="K41" s="375" t="s">
        <v>775</v>
      </c>
      <c r="L41" s="140">
        <v>5500000</v>
      </c>
      <c r="M41" s="234">
        <v>1</v>
      </c>
      <c r="N41" s="387">
        <f t="shared" ref="N41" si="4">+M41*L41</f>
        <v>5500000</v>
      </c>
    </row>
    <row r="42" spans="2:16" ht="16" x14ac:dyDescent="0.2">
      <c r="B42" s="376" t="s">
        <v>216</v>
      </c>
      <c r="C42" s="375" t="s">
        <v>783</v>
      </c>
      <c r="D42" s="373" t="s">
        <v>259</v>
      </c>
      <c r="E42" s="196">
        <v>65000</v>
      </c>
      <c r="F42" s="197">
        <v>100</v>
      </c>
      <c r="G42" s="246">
        <f t="shared" si="3"/>
        <v>6500000</v>
      </c>
      <c r="J42" s="380" t="s">
        <v>271</v>
      </c>
      <c r="K42" s="375" t="s">
        <v>776</v>
      </c>
      <c r="L42" s="140">
        <v>3000000</v>
      </c>
      <c r="M42" s="234">
        <v>1</v>
      </c>
      <c r="N42" s="387">
        <f t="shared" ref="N42" si="5">SUM(L42*M42)</f>
        <v>3000000</v>
      </c>
    </row>
    <row r="43" spans="2:16" ht="16" x14ac:dyDescent="0.2">
      <c r="B43" s="376" t="s">
        <v>216</v>
      </c>
      <c r="C43" s="375" t="s">
        <v>784</v>
      </c>
      <c r="D43" s="195" t="s">
        <v>126</v>
      </c>
      <c r="E43" s="196">
        <v>45000</v>
      </c>
      <c r="F43" s="197">
        <v>100</v>
      </c>
      <c r="G43" s="246">
        <f t="shared" si="3"/>
        <v>4500000</v>
      </c>
      <c r="J43" s="380" t="s">
        <v>271</v>
      </c>
      <c r="K43" s="375" t="s">
        <v>785</v>
      </c>
      <c r="L43" s="140">
        <v>2000000</v>
      </c>
      <c r="M43" s="234">
        <v>1</v>
      </c>
      <c r="N43" s="387">
        <f t="shared" ref="N43:N44" si="6">+M43*L43</f>
        <v>2000000</v>
      </c>
    </row>
    <row r="44" spans="2:16" ht="16" x14ac:dyDescent="0.2">
      <c r="B44" s="245" t="s">
        <v>49</v>
      </c>
      <c r="C44" s="375" t="s">
        <v>786</v>
      </c>
      <c r="D44" s="195" t="s">
        <v>50</v>
      </c>
      <c r="E44" s="196">
        <v>90000</v>
      </c>
      <c r="F44" s="197">
        <v>70</v>
      </c>
      <c r="G44" s="246">
        <f t="shared" si="3"/>
        <v>6300000</v>
      </c>
      <c r="J44" s="380" t="s">
        <v>271</v>
      </c>
      <c r="K44" s="375" t="s">
        <v>787</v>
      </c>
      <c r="L44" s="140">
        <v>3000000</v>
      </c>
      <c r="M44" s="234">
        <v>1</v>
      </c>
      <c r="N44" s="387">
        <f t="shared" si="6"/>
        <v>3000000</v>
      </c>
    </row>
    <row r="45" spans="2:16" ht="16" x14ac:dyDescent="0.2">
      <c r="B45" s="257"/>
      <c r="C45" s="74"/>
      <c r="D45" s="76"/>
      <c r="E45" s="75"/>
      <c r="F45" s="74"/>
      <c r="G45" s="258"/>
      <c r="J45" s="233" t="s">
        <v>53</v>
      </c>
      <c r="K45" s="234" t="s">
        <v>55</v>
      </c>
      <c r="L45" s="140">
        <v>5500000</v>
      </c>
      <c r="M45" s="234">
        <v>1</v>
      </c>
      <c r="N45" s="387">
        <f t="shared" ref="N45" si="7">SUM(L45*M45)</f>
        <v>5500000</v>
      </c>
      <c r="P45" s="69"/>
    </row>
    <row r="46" spans="2:16" ht="16" x14ac:dyDescent="0.2">
      <c r="B46" s="252"/>
      <c r="C46" s="253"/>
      <c r="D46" s="254"/>
      <c r="E46" s="255"/>
      <c r="F46" s="224" t="s">
        <v>51</v>
      </c>
      <c r="G46" s="256">
        <f>+SUM(G37:G45)</f>
        <v>51800000</v>
      </c>
      <c r="J46" s="233"/>
      <c r="K46" s="234"/>
      <c r="L46" s="140"/>
      <c r="M46" s="234"/>
      <c r="N46" s="387">
        <f t="shared" ref="N46" si="8">+M46*L46</f>
        <v>0</v>
      </c>
      <c r="O46" s="69"/>
    </row>
    <row r="47" spans="2:16" ht="16" x14ac:dyDescent="0.2">
      <c r="B47" s="74"/>
      <c r="C47" s="74"/>
      <c r="D47" s="74"/>
      <c r="E47" s="75"/>
      <c r="F47" s="74"/>
      <c r="G47" s="74"/>
      <c r="J47" s="8"/>
      <c r="K47" s="70"/>
      <c r="L47" s="269"/>
      <c r="M47" s="224" t="s">
        <v>51</v>
      </c>
      <c r="N47" s="256">
        <f>+SUM(N38:N45)</f>
        <v>42500000</v>
      </c>
    </row>
    <row r="48" spans="2:16" ht="16" x14ac:dyDescent="0.2">
      <c r="B48" s="74"/>
      <c r="C48" s="74"/>
      <c r="D48" s="74"/>
      <c r="E48" s="75"/>
      <c r="F48" s="74"/>
      <c r="G48" s="74"/>
    </row>
    <row r="52" spans="3:12" ht="16" thickBot="1" x14ac:dyDescent="0.25"/>
    <row r="53" spans="3:12" ht="19" x14ac:dyDescent="0.25">
      <c r="C53" s="764" t="s">
        <v>195</v>
      </c>
      <c r="D53" s="765"/>
      <c r="E53" s="83"/>
      <c r="F53" s="83"/>
      <c r="G53" s="83"/>
      <c r="K53" s="764" t="s">
        <v>78</v>
      </c>
      <c r="L53" s="765"/>
    </row>
    <row r="54" spans="3:12" ht="16" x14ac:dyDescent="0.2">
      <c r="C54" s="259" t="s">
        <v>33</v>
      </c>
      <c r="D54" s="260" t="s">
        <v>41</v>
      </c>
      <c r="K54" s="259" t="s">
        <v>33</v>
      </c>
      <c r="L54" s="260" t="s">
        <v>41</v>
      </c>
    </row>
    <row r="55" spans="3:12" ht="16" x14ac:dyDescent="0.2">
      <c r="C55" s="378" t="s">
        <v>265</v>
      </c>
      <c r="D55" s="261">
        <f>SUM(G11)</f>
        <v>2200000</v>
      </c>
      <c r="K55" s="378" t="s">
        <v>788</v>
      </c>
      <c r="L55" s="261">
        <f>SUM(N11)</f>
        <v>4900000</v>
      </c>
    </row>
    <row r="56" spans="3:12" ht="16" x14ac:dyDescent="0.2">
      <c r="C56" s="379" t="s">
        <v>264</v>
      </c>
      <c r="D56" s="262">
        <f>+G32</f>
        <v>203000000</v>
      </c>
      <c r="K56" s="275" t="s">
        <v>761</v>
      </c>
      <c r="L56" s="262">
        <f>+N32</f>
        <v>93000000</v>
      </c>
    </row>
    <row r="57" spans="3:12" ht="16" x14ac:dyDescent="0.2">
      <c r="C57" s="378" t="s">
        <v>263</v>
      </c>
      <c r="D57" s="261">
        <f>+G46</f>
        <v>51800000</v>
      </c>
      <c r="K57" s="263" t="s">
        <v>278</v>
      </c>
      <c r="L57" s="261">
        <f>+N47</f>
        <v>42500000</v>
      </c>
    </row>
    <row r="58" spans="3:12" ht="19" x14ac:dyDescent="0.25">
      <c r="C58" s="264"/>
      <c r="D58" s="265"/>
      <c r="G58" s="390">
        <f>SUM(D59+L59)</f>
        <v>397400000</v>
      </c>
      <c r="K58" s="264"/>
      <c r="L58" s="265"/>
    </row>
    <row r="59" spans="3:12" ht="17" thickBot="1" x14ac:dyDescent="0.25">
      <c r="C59" s="266" t="s">
        <v>57</v>
      </c>
      <c r="D59" s="268">
        <f>SUM(D55:D58)</f>
        <v>257000000</v>
      </c>
      <c r="K59" s="266" t="s">
        <v>57</v>
      </c>
      <c r="L59" s="268">
        <f>SUM(L55:L58)</f>
        <v>140400000</v>
      </c>
    </row>
    <row r="60" spans="3:12" x14ac:dyDescent="0.2">
      <c r="C60" s="86"/>
      <c r="D60" s="87"/>
    </row>
    <row r="61" spans="3:12" x14ac:dyDescent="0.2">
      <c r="C61" s="86"/>
      <c r="D61" s="87"/>
    </row>
  </sheetData>
  <mergeCells count="10">
    <mergeCell ref="C11:E11"/>
    <mergeCell ref="K53:L53"/>
    <mergeCell ref="C53:D53"/>
    <mergeCell ref="J36:N36"/>
    <mergeCell ref="B3:G3"/>
    <mergeCell ref="J3:N3"/>
    <mergeCell ref="B18:G18"/>
    <mergeCell ref="B36:G36"/>
    <mergeCell ref="J18:N18"/>
    <mergeCell ref="K11:L11"/>
  </mergeCells>
  <phoneticPr fontId="45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R90"/>
  <sheetViews>
    <sheetView showGridLines="0" topLeftCell="E55" zoomScale="125" zoomScaleNormal="125" zoomScalePageLayoutView="150" workbookViewId="0">
      <selection activeCell="C50" sqref="C50"/>
    </sheetView>
  </sheetViews>
  <sheetFormatPr baseColWidth="10" defaultColWidth="10.83203125" defaultRowHeight="16" x14ac:dyDescent="0.2"/>
  <cols>
    <col min="1" max="1" width="10.83203125" style="79"/>
    <col min="2" max="2" width="3.5" style="79" customWidth="1"/>
    <col min="3" max="3" width="31.1640625" style="79" customWidth="1"/>
    <col min="4" max="4" width="6.5" style="79" customWidth="1"/>
    <col min="5" max="6" width="17.83203125" style="79" customWidth="1"/>
    <col min="7" max="7" width="3.83203125" style="79" customWidth="1"/>
    <col min="8" max="8" width="3.1640625" style="79" customWidth="1"/>
    <col min="9" max="9" width="35.1640625" style="79" customWidth="1"/>
    <col min="10" max="10" width="9.1640625" style="79" customWidth="1"/>
    <col min="11" max="12" width="17.83203125" style="79" customWidth="1"/>
    <col min="13" max="13" width="3.83203125" style="79" customWidth="1"/>
    <col min="14" max="14" width="4.33203125" style="79" customWidth="1"/>
    <col min="15" max="15" width="35.83203125" style="79" customWidth="1"/>
    <col min="16" max="18" width="17.83203125" style="79" customWidth="1"/>
    <col min="19" max="19" width="3.33203125" style="79" customWidth="1"/>
    <col min="20" max="16384" width="10.83203125" style="79"/>
  </cols>
  <sheetData>
    <row r="4" spans="3:18" x14ac:dyDescent="0.2">
      <c r="C4" s="779" t="s">
        <v>286</v>
      </c>
      <c r="D4" s="779"/>
      <c r="E4" s="779"/>
      <c r="F4" s="779"/>
      <c r="G4" s="77"/>
      <c r="I4" s="779" t="s">
        <v>91</v>
      </c>
      <c r="J4" s="779"/>
      <c r="K4" s="779"/>
      <c r="L4" s="779"/>
      <c r="O4" s="779" t="s">
        <v>143</v>
      </c>
      <c r="P4" s="779"/>
      <c r="Q4" s="779"/>
      <c r="R4" s="779"/>
    </row>
    <row r="5" spans="3:18" x14ac:dyDescent="0.2">
      <c r="C5" s="89" t="s">
        <v>79</v>
      </c>
      <c r="D5" s="89" t="s">
        <v>33</v>
      </c>
      <c r="E5" s="89" t="s">
        <v>80</v>
      </c>
      <c r="F5" s="89" t="s">
        <v>81</v>
      </c>
      <c r="G5" s="138"/>
      <c r="I5" s="89" t="s">
        <v>79</v>
      </c>
      <c r="J5" s="89" t="s">
        <v>33</v>
      </c>
      <c r="K5" s="89" t="s">
        <v>80</v>
      </c>
      <c r="L5" s="89" t="s">
        <v>81</v>
      </c>
      <c r="O5" s="89" t="s">
        <v>79</v>
      </c>
      <c r="P5" s="89" t="s">
        <v>33</v>
      </c>
      <c r="Q5" s="89" t="s">
        <v>80</v>
      </c>
      <c r="R5" s="89" t="s">
        <v>81</v>
      </c>
    </row>
    <row r="6" spans="3:18" x14ac:dyDescent="0.2">
      <c r="C6" s="97" t="s">
        <v>82</v>
      </c>
      <c r="D6" s="79">
        <v>3</v>
      </c>
      <c r="E6" s="230">
        <v>250000</v>
      </c>
      <c r="F6" s="231">
        <f>+E6*D6</f>
        <v>750000</v>
      </c>
      <c r="G6" s="80"/>
      <c r="I6" s="287" t="s">
        <v>217</v>
      </c>
      <c r="J6" s="79">
        <v>0</v>
      </c>
      <c r="K6" s="230">
        <v>25000000</v>
      </c>
      <c r="L6" s="231">
        <f>+K6*J6</f>
        <v>0</v>
      </c>
      <c r="O6" s="97" t="s">
        <v>789</v>
      </c>
      <c r="P6" s="79">
        <v>6</v>
      </c>
      <c r="Q6" s="230">
        <v>450000</v>
      </c>
      <c r="R6" s="231">
        <f>+Q6*P6</f>
        <v>2700000</v>
      </c>
    </row>
    <row r="7" spans="3:18" x14ac:dyDescent="0.2">
      <c r="C7" s="232" t="s">
        <v>83</v>
      </c>
      <c r="D7" s="192">
        <v>12</v>
      </c>
      <c r="E7" s="139">
        <v>70000</v>
      </c>
      <c r="F7" s="228">
        <f t="shared" ref="F7:F16" si="0">+E7*D7</f>
        <v>840000</v>
      </c>
      <c r="G7" s="80"/>
      <c r="I7" s="232" t="s">
        <v>790</v>
      </c>
      <c r="J7" s="192">
        <v>1</v>
      </c>
      <c r="K7" s="139">
        <v>19000000</v>
      </c>
      <c r="L7" s="228">
        <f>+K7*J7</f>
        <v>19000000</v>
      </c>
      <c r="O7" s="232" t="s">
        <v>142</v>
      </c>
      <c r="P7" s="192">
        <v>3</v>
      </c>
      <c r="Q7" s="139">
        <v>250000</v>
      </c>
      <c r="R7" s="228">
        <f>+Q7*P7</f>
        <v>750000</v>
      </c>
    </row>
    <row r="8" spans="3:18" x14ac:dyDescent="0.2">
      <c r="C8" s="97" t="s">
        <v>84</v>
      </c>
      <c r="D8" s="79">
        <v>1</v>
      </c>
      <c r="E8" s="230">
        <v>450000</v>
      </c>
      <c r="F8" s="231">
        <f t="shared" si="0"/>
        <v>450000</v>
      </c>
      <c r="G8" s="80"/>
      <c r="I8" s="287" t="s">
        <v>92</v>
      </c>
      <c r="J8" s="79">
        <v>4</v>
      </c>
      <c r="K8" s="230">
        <v>500000</v>
      </c>
      <c r="L8" s="231">
        <f>+K8*J8</f>
        <v>2000000</v>
      </c>
      <c r="O8" s="97" t="s">
        <v>791</v>
      </c>
      <c r="P8" s="79">
        <v>1</v>
      </c>
      <c r="Q8" s="230">
        <v>750000</v>
      </c>
      <c r="R8" s="231">
        <f>+Q8*P8</f>
        <v>750000</v>
      </c>
    </row>
    <row r="9" spans="3:18" x14ac:dyDescent="0.2">
      <c r="C9" s="388" t="s">
        <v>279</v>
      </c>
      <c r="D9" s="192">
        <v>3</v>
      </c>
      <c r="E9" s="139">
        <v>150000</v>
      </c>
      <c r="F9" s="228">
        <f t="shared" si="0"/>
        <v>450000</v>
      </c>
      <c r="G9" s="80"/>
      <c r="I9" s="288" t="s">
        <v>218</v>
      </c>
      <c r="J9" s="192">
        <v>0</v>
      </c>
      <c r="K9" s="139">
        <v>85000000</v>
      </c>
      <c r="L9" s="228">
        <f>+K9*J9</f>
        <v>0</v>
      </c>
      <c r="O9" s="97"/>
      <c r="Q9" s="276" t="s">
        <v>57</v>
      </c>
      <c r="R9" s="239">
        <f>+SUM(R5:R7)</f>
        <v>3450000</v>
      </c>
    </row>
    <row r="10" spans="3:18" x14ac:dyDescent="0.2">
      <c r="C10" s="97" t="s">
        <v>86</v>
      </c>
      <c r="D10" s="79">
        <v>1</v>
      </c>
      <c r="E10" s="230">
        <v>150000</v>
      </c>
      <c r="F10" s="231">
        <f t="shared" si="0"/>
        <v>150000</v>
      </c>
      <c r="G10" s="80"/>
      <c r="I10" s="97" t="s">
        <v>108</v>
      </c>
      <c r="J10" s="79">
        <v>0</v>
      </c>
      <c r="K10" s="230">
        <v>22000000</v>
      </c>
      <c r="L10" s="231">
        <f>+K10*J10</f>
        <v>0</v>
      </c>
      <c r="O10" s="780" t="s">
        <v>792</v>
      </c>
      <c r="P10" s="762"/>
      <c r="Q10" s="763"/>
      <c r="R10" s="239">
        <f>SUM(R9)/10</f>
        <v>345000</v>
      </c>
    </row>
    <row r="11" spans="3:18" x14ac:dyDescent="0.2">
      <c r="C11" s="232" t="s">
        <v>85</v>
      </c>
      <c r="D11" s="192">
        <v>1</v>
      </c>
      <c r="E11" s="139">
        <v>70000</v>
      </c>
      <c r="F11" s="228">
        <f t="shared" si="0"/>
        <v>70000</v>
      </c>
      <c r="G11" s="80"/>
      <c r="I11" s="97"/>
      <c r="K11" s="276" t="s">
        <v>57</v>
      </c>
      <c r="L11" s="239">
        <f>SUM(L5:L10)</f>
        <v>21000000</v>
      </c>
    </row>
    <row r="12" spans="3:18" x14ac:dyDescent="0.2">
      <c r="C12" s="97" t="s">
        <v>793</v>
      </c>
      <c r="D12" s="79">
        <v>4</v>
      </c>
      <c r="E12" s="230">
        <v>150000</v>
      </c>
      <c r="F12" s="231">
        <f t="shared" si="0"/>
        <v>600000</v>
      </c>
      <c r="G12" s="80"/>
      <c r="I12" s="780" t="s">
        <v>792</v>
      </c>
      <c r="J12" s="762"/>
      <c r="K12" s="763"/>
      <c r="L12" s="239">
        <f>SUM(L11)/10</f>
        <v>2100000</v>
      </c>
    </row>
    <row r="13" spans="3:18" x14ac:dyDescent="0.2">
      <c r="C13" s="232" t="s">
        <v>85</v>
      </c>
      <c r="D13" s="192">
        <v>12</v>
      </c>
      <c r="E13" s="139">
        <v>70000</v>
      </c>
      <c r="F13" s="228">
        <f t="shared" si="0"/>
        <v>840000</v>
      </c>
      <c r="G13" s="80"/>
      <c r="K13" s="80"/>
      <c r="L13" s="80"/>
    </row>
    <row r="14" spans="3:18" x14ac:dyDescent="0.2">
      <c r="C14" s="97" t="s">
        <v>87</v>
      </c>
      <c r="D14" s="79">
        <v>5</v>
      </c>
      <c r="E14" s="230">
        <v>175000</v>
      </c>
      <c r="F14" s="231">
        <f t="shared" si="0"/>
        <v>875000</v>
      </c>
      <c r="G14" s="80"/>
    </row>
    <row r="15" spans="3:18" x14ac:dyDescent="0.2">
      <c r="C15" s="232" t="s">
        <v>88</v>
      </c>
      <c r="D15" s="192">
        <v>3</v>
      </c>
      <c r="E15" s="139">
        <v>200000</v>
      </c>
      <c r="F15" s="228">
        <f t="shared" si="0"/>
        <v>600000</v>
      </c>
      <c r="G15" s="80"/>
    </row>
    <row r="16" spans="3:18" x14ac:dyDescent="0.2">
      <c r="C16" s="97" t="s">
        <v>89</v>
      </c>
      <c r="D16" s="79">
        <v>1</v>
      </c>
      <c r="E16" s="230">
        <v>150000</v>
      </c>
      <c r="F16" s="231">
        <f t="shared" si="0"/>
        <v>150000</v>
      </c>
      <c r="G16" s="80"/>
    </row>
    <row r="17" spans="3:18" x14ac:dyDescent="0.2">
      <c r="C17" s="97"/>
      <c r="E17" s="276" t="s">
        <v>57</v>
      </c>
      <c r="F17" s="239">
        <f>+SUM(F5:F16)</f>
        <v>5775000</v>
      </c>
    </row>
    <row r="18" spans="3:18" x14ac:dyDescent="0.2">
      <c r="C18" s="780" t="s">
        <v>792</v>
      </c>
      <c r="D18" s="762"/>
      <c r="E18" s="763"/>
      <c r="F18" s="239">
        <f>SUM(F17)/10</f>
        <v>577500</v>
      </c>
      <c r="G18" s="88"/>
    </row>
    <row r="23" spans="3:18" x14ac:dyDescent="0.2">
      <c r="C23" s="779" t="s">
        <v>280</v>
      </c>
      <c r="D23" s="779"/>
      <c r="E23" s="779"/>
      <c r="F23" s="779"/>
      <c r="G23" s="77"/>
      <c r="I23" s="779" t="s">
        <v>282</v>
      </c>
      <c r="J23" s="779"/>
      <c r="K23" s="779"/>
      <c r="L23" s="779"/>
      <c r="O23" s="779" t="s">
        <v>285</v>
      </c>
      <c r="P23" s="779"/>
      <c r="Q23" s="779"/>
      <c r="R23" s="779"/>
    </row>
    <row r="24" spans="3:18" x14ac:dyDescent="0.2">
      <c r="C24" s="89" t="s">
        <v>79</v>
      </c>
      <c r="D24" s="89" t="s">
        <v>33</v>
      </c>
      <c r="E24" s="89" t="s">
        <v>80</v>
      </c>
      <c r="F24" s="89" t="s">
        <v>81</v>
      </c>
      <c r="G24" s="138"/>
      <c r="I24" s="89" t="s">
        <v>79</v>
      </c>
      <c r="J24" s="89" t="s">
        <v>33</v>
      </c>
      <c r="K24" s="89" t="s">
        <v>80</v>
      </c>
      <c r="L24" s="89" t="s">
        <v>81</v>
      </c>
      <c r="O24" s="89" t="s">
        <v>79</v>
      </c>
      <c r="P24" s="89" t="s">
        <v>33</v>
      </c>
      <c r="Q24" s="89" t="s">
        <v>80</v>
      </c>
      <c r="R24" s="89" t="s">
        <v>81</v>
      </c>
    </row>
    <row r="25" spans="3:18" x14ac:dyDescent="0.2">
      <c r="C25" s="97" t="s">
        <v>82</v>
      </c>
      <c r="D25" s="79">
        <v>1</v>
      </c>
      <c r="E25" s="230">
        <v>250000</v>
      </c>
      <c r="F25" s="231">
        <f>+E25*D25</f>
        <v>250000</v>
      </c>
      <c r="G25" s="80"/>
      <c r="I25" s="97" t="s">
        <v>790</v>
      </c>
      <c r="J25" s="79">
        <v>0</v>
      </c>
      <c r="K25" s="230">
        <v>19000000</v>
      </c>
      <c r="L25" s="231">
        <f>+K25*J25</f>
        <v>0</v>
      </c>
      <c r="O25" s="97" t="s">
        <v>789</v>
      </c>
      <c r="P25" s="79">
        <v>1</v>
      </c>
      <c r="Q25" s="230">
        <v>450000</v>
      </c>
      <c r="R25" s="231">
        <f>+Q25*P25</f>
        <v>450000</v>
      </c>
    </row>
    <row r="26" spans="3:18" x14ac:dyDescent="0.2">
      <c r="C26" s="232" t="s">
        <v>83</v>
      </c>
      <c r="D26" s="192">
        <v>8</v>
      </c>
      <c r="E26" s="139">
        <v>70000</v>
      </c>
      <c r="F26" s="228">
        <f t="shared" ref="F26:F35" si="1">+E26*D26</f>
        <v>560000</v>
      </c>
      <c r="G26" s="80"/>
      <c r="I26" s="232" t="s">
        <v>794</v>
      </c>
      <c r="J26" s="192">
        <v>0</v>
      </c>
      <c r="K26" s="139">
        <v>25000000</v>
      </c>
      <c r="L26" s="228">
        <f>+K26*J26</f>
        <v>0</v>
      </c>
      <c r="O26" s="232" t="s">
        <v>142</v>
      </c>
      <c r="P26" s="192">
        <v>1</v>
      </c>
      <c r="Q26" s="139">
        <v>250000</v>
      </c>
      <c r="R26" s="228">
        <f>+Q26*P26</f>
        <v>250000</v>
      </c>
    </row>
    <row r="27" spans="3:18" x14ac:dyDescent="0.2">
      <c r="C27" s="97" t="s">
        <v>90</v>
      </c>
      <c r="D27" s="79">
        <v>1</v>
      </c>
      <c r="E27" s="230">
        <v>250000</v>
      </c>
      <c r="F27" s="231">
        <f t="shared" si="1"/>
        <v>250000</v>
      </c>
      <c r="G27" s="80"/>
      <c r="I27" s="389" t="s">
        <v>287</v>
      </c>
      <c r="J27" s="79">
        <v>1</v>
      </c>
      <c r="K27" s="230">
        <v>850000</v>
      </c>
      <c r="L27" s="231">
        <f>+K27*J27</f>
        <v>850000</v>
      </c>
      <c r="O27" s="97" t="s">
        <v>145</v>
      </c>
      <c r="P27" s="79">
        <v>0</v>
      </c>
      <c r="Q27" s="230">
        <v>500000</v>
      </c>
      <c r="R27" s="231">
        <f>+Q27*P27</f>
        <v>0</v>
      </c>
    </row>
    <row r="28" spans="3:18" x14ac:dyDescent="0.2">
      <c r="C28" s="232" t="s">
        <v>85</v>
      </c>
      <c r="D28" s="192">
        <v>3</v>
      </c>
      <c r="E28" s="139">
        <v>150000</v>
      </c>
      <c r="F28" s="228">
        <f t="shared" si="1"/>
        <v>450000</v>
      </c>
      <c r="G28" s="80"/>
      <c r="I28" s="232" t="s">
        <v>92</v>
      </c>
      <c r="J28" s="192">
        <v>1</v>
      </c>
      <c r="K28" s="139">
        <v>500000</v>
      </c>
      <c r="L28" s="228">
        <f>+K28*J28</f>
        <v>500000</v>
      </c>
      <c r="O28" s="97"/>
      <c r="R28" s="236"/>
    </row>
    <row r="29" spans="3:18" x14ac:dyDescent="0.2">
      <c r="C29" s="97" t="s">
        <v>86</v>
      </c>
      <c r="D29" s="79">
        <v>0</v>
      </c>
      <c r="E29" s="230">
        <v>150000</v>
      </c>
      <c r="F29" s="231">
        <f t="shared" si="1"/>
        <v>0</v>
      </c>
      <c r="G29" s="80"/>
      <c r="I29" s="97"/>
      <c r="L29" s="236"/>
      <c r="O29" s="99"/>
      <c r="P29" s="237"/>
      <c r="Q29" s="276" t="s">
        <v>57</v>
      </c>
      <c r="R29" s="239">
        <f>+SUM(R25:R27)</f>
        <v>700000</v>
      </c>
    </row>
    <row r="30" spans="3:18" x14ac:dyDescent="0.2">
      <c r="C30" s="232" t="s">
        <v>85</v>
      </c>
      <c r="D30" s="192">
        <v>0</v>
      </c>
      <c r="E30" s="139">
        <v>70000</v>
      </c>
      <c r="F30" s="228">
        <f t="shared" si="1"/>
        <v>0</v>
      </c>
      <c r="G30" s="80"/>
      <c r="I30" s="99"/>
      <c r="J30" s="237"/>
      <c r="K30" s="276" t="s">
        <v>57</v>
      </c>
      <c r="L30" s="239">
        <f>+SUM(L25:L28)</f>
        <v>1350000</v>
      </c>
    </row>
    <row r="31" spans="3:18" x14ac:dyDescent="0.2">
      <c r="C31" s="97" t="s">
        <v>793</v>
      </c>
      <c r="D31" s="192">
        <v>0</v>
      </c>
      <c r="E31" s="230">
        <v>150000</v>
      </c>
      <c r="F31" s="231">
        <f>+E31*D31</f>
        <v>0</v>
      </c>
      <c r="G31" s="80"/>
    </row>
    <row r="32" spans="3:18" x14ac:dyDescent="0.2">
      <c r="C32" s="232" t="s">
        <v>85</v>
      </c>
      <c r="D32" s="192">
        <v>0</v>
      </c>
      <c r="E32" s="139">
        <v>70000</v>
      </c>
      <c r="F32" s="228">
        <f>+E32*D32</f>
        <v>0</v>
      </c>
      <c r="G32" s="80"/>
    </row>
    <row r="33" spans="3:18" x14ac:dyDescent="0.2">
      <c r="C33" s="97" t="s">
        <v>87</v>
      </c>
      <c r="D33" s="192">
        <v>0</v>
      </c>
      <c r="E33" s="230">
        <v>175000</v>
      </c>
      <c r="F33" s="231">
        <f t="shared" si="1"/>
        <v>0</v>
      </c>
      <c r="G33" s="80"/>
    </row>
    <row r="34" spans="3:18" x14ac:dyDescent="0.2">
      <c r="C34" s="232" t="s">
        <v>88</v>
      </c>
      <c r="D34" s="192">
        <v>0</v>
      </c>
      <c r="E34" s="139">
        <v>200000</v>
      </c>
      <c r="F34" s="228">
        <f t="shared" si="1"/>
        <v>0</v>
      </c>
      <c r="G34" s="80"/>
    </row>
    <row r="35" spans="3:18" x14ac:dyDescent="0.2">
      <c r="C35" s="97" t="s">
        <v>89</v>
      </c>
      <c r="D35" s="192">
        <v>0</v>
      </c>
      <c r="E35" s="230">
        <v>300000</v>
      </c>
      <c r="F35" s="231">
        <f t="shared" si="1"/>
        <v>0</v>
      </c>
      <c r="G35" s="80"/>
    </row>
    <row r="36" spans="3:18" x14ac:dyDescent="0.2">
      <c r="C36" s="97"/>
      <c r="F36" s="236"/>
    </row>
    <row r="37" spans="3:18" x14ac:dyDescent="0.2">
      <c r="C37" s="99"/>
      <c r="D37" s="237"/>
      <c r="E37" s="276" t="s">
        <v>57</v>
      </c>
      <c r="F37" s="239">
        <f>+SUM(F25:F36)</f>
        <v>1510000</v>
      </c>
      <c r="G37" s="88"/>
    </row>
    <row r="42" spans="3:18" x14ac:dyDescent="0.2">
      <c r="C42" s="779" t="s">
        <v>281</v>
      </c>
      <c r="D42" s="779"/>
      <c r="E42" s="779"/>
      <c r="F42" s="779"/>
      <c r="G42" s="77"/>
      <c r="I42" s="779" t="s">
        <v>283</v>
      </c>
      <c r="J42" s="779"/>
      <c r="K42" s="779"/>
      <c r="L42" s="779"/>
      <c r="O42" s="779" t="s">
        <v>284</v>
      </c>
      <c r="P42" s="779"/>
      <c r="Q42" s="779"/>
      <c r="R42" s="779"/>
    </row>
    <row r="43" spans="3:18" x14ac:dyDescent="0.2">
      <c r="C43" s="89" t="s">
        <v>79</v>
      </c>
      <c r="D43" s="89" t="s">
        <v>33</v>
      </c>
      <c r="E43" s="89" t="s">
        <v>80</v>
      </c>
      <c r="F43" s="89" t="s">
        <v>81</v>
      </c>
      <c r="G43" s="138"/>
      <c r="I43" s="89" t="s">
        <v>79</v>
      </c>
      <c r="J43" s="89" t="s">
        <v>33</v>
      </c>
      <c r="K43" s="89" t="s">
        <v>80</v>
      </c>
      <c r="L43" s="89" t="s">
        <v>81</v>
      </c>
      <c r="O43" s="89" t="s">
        <v>79</v>
      </c>
      <c r="P43" s="89" t="s">
        <v>33</v>
      </c>
      <c r="Q43" s="89" t="s">
        <v>80</v>
      </c>
      <c r="R43" s="89" t="s">
        <v>81</v>
      </c>
    </row>
    <row r="44" spans="3:18" x14ac:dyDescent="0.2">
      <c r="C44" s="97" t="s">
        <v>82</v>
      </c>
      <c r="D44" s="79">
        <v>1</v>
      </c>
      <c r="E44" s="230">
        <v>250000</v>
      </c>
      <c r="F44" s="231">
        <f>+E44*D44</f>
        <v>250000</v>
      </c>
      <c r="G44" s="80"/>
      <c r="I44" s="97" t="s">
        <v>790</v>
      </c>
      <c r="J44" s="79">
        <v>0</v>
      </c>
      <c r="K44" s="230">
        <v>19000000</v>
      </c>
      <c r="L44" s="231">
        <f>+K44*J44</f>
        <v>0</v>
      </c>
      <c r="O44" s="97" t="s">
        <v>789</v>
      </c>
      <c r="P44" s="79">
        <v>1</v>
      </c>
      <c r="Q44" s="230">
        <v>450000</v>
      </c>
      <c r="R44" s="231">
        <f>+Q44*P44</f>
        <v>450000</v>
      </c>
    </row>
    <row r="45" spans="3:18" x14ac:dyDescent="0.2">
      <c r="C45" s="232" t="s">
        <v>83</v>
      </c>
      <c r="D45" s="192">
        <v>8</v>
      </c>
      <c r="E45" s="139">
        <v>70000</v>
      </c>
      <c r="F45" s="228">
        <f t="shared" ref="F45:F54" si="2">+E45*D45</f>
        <v>560000</v>
      </c>
      <c r="G45" s="80"/>
      <c r="I45" s="232" t="s">
        <v>795</v>
      </c>
      <c r="J45" s="192">
        <v>0</v>
      </c>
      <c r="K45" s="139">
        <v>25000000</v>
      </c>
      <c r="L45" s="228">
        <f>+K45*J45</f>
        <v>0</v>
      </c>
      <c r="O45" s="232" t="s">
        <v>142</v>
      </c>
      <c r="P45" s="192">
        <v>1</v>
      </c>
      <c r="Q45" s="139">
        <v>250000</v>
      </c>
      <c r="R45" s="228">
        <f>+Q45*P45</f>
        <v>250000</v>
      </c>
    </row>
    <row r="46" spans="3:18" x14ac:dyDescent="0.2">
      <c r="C46" s="97" t="s">
        <v>90</v>
      </c>
      <c r="D46" s="79">
        <v>1</v>
      </c>
      <c r="E46" s="230">
        <v>250000</v>
      </c>
      <c r="F46" s="231">
        <f t="shared" si="2"/>
        <v>250000</v>
      </c>
      <c r="G46" s="80"/>
      <c r="I46" s="389" t="s">
        <v>287</v>
      </c>
      <c r="J46" s="79">
        <v>1</v>
      </c>
      <c r="K46" s="230">
        <v>850000</v>
      </c>
      <c r="L46" s="231">
        <f>+K46*J46</f>
        <v>850000</v>
      </c>
      <c r="O46" s="97" t="s">
        <v>145</v>
      </c>
      <c r="P46" s="79">
        <v>0</v>
      </c>
      <c r="Q46" s="230">
        <v>500000</v>
      </c>
      <c r="R46" s="231">
        <f>+Q46*P46</f>
        <v>0</v>
      </c>
    </row>
    <row r="47" spans="3:18" x14ac:dyDescent="0.2">
      <c r="C47" s="232" t="s">
        <v>85</v>
      </c>
      <c r="D47" s="192">
        <v>3</v>
      </c>
      <c r="E47" s="139">
        <v>150000</v>
      </c>
      <c r="F47" s="228">
        <f t="shared" si="2"/>
        <v>450000</v>
      </c>
      <c r="G47" s="80"/>
      <c r="I47" s="232" t="s">
        <v>92</v>
      </c>
      <c r="J47" s="192">
        <v>1</v>
      </c>
      <c r="K47" s="139">
        <v>500000</v>
      </c>
      <c r="L47" s="228">
        <f>+K47*J47</f>
        <v>500000</v>
      </c>
      <c r="O47" s="97"/>
      <c r="R47" s="236"/>
    </row>
    <row r="48" spans="3:18" x14ac:dyDescent="0.2">
      <c r="C48" s="97" t="s">
        <v>86</v>
      </c>
      <c r="D48" s="79">
        <v>0</v>
      </c>
      <c r="E48" s="230">
        <v>150000</v>
      </c>
      <c r="F48" s="231">
        <f t="shared" si="2"/>
        <v>0</v>
      </c>
      <c r="G48" s="80"/>
      <c r="I48" s="97"/>
      <c r="L48" s="236"/>
      <c r="O48" s="99"/>
      <c r="P48" s="237"/>
      <c r="Q48" s="276" t="s">
        <v>57</v>
      </c>
      <c r="R48" s="239">
        <f>+SUM(R44:R46)</f>
        <v>700000</v>
      </c>
    </row>
    <row r="49" spans="3:18" x14ac:dyDescent="0.2">
      <c r="C49" s="232" t="s">
        <v>85</v>
      </c>
      <c r="D49" s="79">
        <v>0</v>
      </c>
      <c r="E49" s="139">
        <v>70000</v>
      </c>
      <c r="F49" s="228">
        <f t="shared" si="2"/>
        <v>0</v>
      </c>
      <c r="G49" s="80"/>
      <c r="I49" s="99"/>
      <c r="J49" s="237"/>
      <c r="K49" s="276" t="s">
        <v>57</v>
      </c>
      <c r="L49" s="239">
        <f>+SUM(L44:L47)</f>
        <v>1350000</v>
      </c>
    </row>
    <row r="50" spans="3:18" x14ac:dyDescent="0.2">
      <c r="C50" s="97" t="s">
        <v>793</v>
      </c>
      <c r="D50" s="79">
        <v>0</v>
      </c>
      <c r="E50" s="230">
        <v>150000</v>
      </c>
      <c r="F50" s="231">
        <f t="shared" si="2"/>
        <v>0</v>
      </c>
      <c r="G50" s="80"/>
    </row>
    <row r="51" spans="3:18" x14ac:dyDescent="0.2">
      <c r="C51" s="232" t="s">
        <v>85</v>
      </c>
      <c r="D51" s="79">
        <v>0</v>
      </c>
      <c r="E51" s="139">
        <v>70000</v>
      </c>
      <c r="F51" s="228">
        <f t="shared" si="2"/>
        <v>0</v>
      </c>
      <c r="G51" s="80"/>
    </row>
    <row r="52" spans="3:18" x14ac:dyDescent="0.2">
      <c r="C52" s="97" t="s">
        <v>87</v>
      </c>
      <c r="D52" s="79">
        <v>0</v>
      </c>
      <c r="E52" s="230">
        <v>175000</v>
      </c>
      <c r="F52" s="231">
        <f t="shared" si="2"/>
        <v>0</v>
      </c>
      <c r="G52" s="80"/>
    </row>
    <row r="53" spans="3:18" x14ac:dyDescent="0.2">
      <c r="C53" s="232" t="s">
        <v>88</v>
      </c>
      <c r="D53" s="79">
        <v>0</v>
      </c>
      <c r="E53" s="139">
        <v>200000</v>
      </c>
      <c r="F53" s="228">
        <f t="shared" si="2"/>
        <v>0</v>
      </c>
      <c r="G53" s="80"/>
    </row>
    <row r="54" spans="3:18" x14ac:dyDescent="0.2">
      <c r="C54" s="97" t="s">
        <v>89</v>
      </c>
      <c r="D54" s="79">
        <v>0</v>
      </c>
      <c r="E54" s="230">
        <v>300000</v>
      </c>
      <c r="F54" s="231">
        <f t="shared" si="2"/>
        <v>0</v>
      </c>
      <c r="G54" s="80"/>
    </row>
    <row r="55" spans="3:18" x14ac:dyDescent="0.2">
      <c r="C55" s="97"/>
      <c r="F55" s="236"/>
    </row>
    <row r="56" spans="3:18" x14ac:dyDescent="0.2">
      <c r="C56" s="99"/>
      <c r="D56" s="237"/>
      <c r="E56" s="276" t="s">
        <v>57</v>
      </c>
      <c r="F56" s="239">
        <f>+SUM(F44:F55)</f>
        <v>1510000</v>
      </c>
      <c r="G56" s="88"/>
    </row>
    <row r="59" spans="3:18" x14ac:dyDescent="0.2">
      <c r="G59" s="77"/>
    </row>
    <row r="60" spans="3:18" x14ac:dyDescent="0.2">
      <c r="G60" s="138"/>
    </row>
    <row r="61" spans="3:18" ht="17" thickBot="1" x14ac:dyDescent="0.25">
      <c r="G61" s="80"/>
    </row>
    <row r="62" spans="3:18" x14ac:dyDescent="0.2">
      <c r="C62" s="776" t="s">
        <v>93</v>
      </c>
      <c r="D62" s="777"/>
      <c r="E62" s="777"/>
      <c r="F62" s="778"/>
      <c r="G62" s="80"/>
      <c r="I62" s="776" t="s">
        <v>96</v>
      </c>
      <c r="J62" s="777"/>
      <c r="K62" s="777"/>
      <c r="L62" s="778"/>
      <c r="O62" s="776" t="s">
        <v>197</v>
      </c>
      <c r="P62" s="777"/>
      <c r="Q62" s="777"/>
      <c r="R62" s="778"/>
    </row>
    <row r="63" spans="3:18" x14ac:dyDescent="0.2">
      <c r="C63" s="277" t="s">
        <v>94</v>
      </c>
      <c r="D63" s="171"/>
      <c r="E63" s="172"/>
      <c r="F63" s="278" t="s">
        <v>95</v>
      </c>
      <c r="G63" s="80"/>
      <c r="I63" s="277" t="s">
        <v>94</v>
      </c>
      <c r="J63" s="171"/>
      <c r="K63" s="172"/>
      <c r="L63" s="278" t="s">
        <v>95</v>
      </c>
      <c r="O63" s="277" t="s">
        <v>94</v>
      </c>
      <c r="P63" s="171"/>
      <c r="Q63" s="172"/>
      <c r="R63" s="278" t="s">
        <v>95</v>
      </c>
    </row>
    <row r="64" spans="3:18" x14ac:dyDescent="0.2">
      <c r="C64" s="264" t="str">
        <f>+C4</f>
        <v xml:space="preserve">MATERIELS DE BUREAU - DIRECTION </v>
      </c>
      <c r="F64" s="262">
        <f>+F18</f>
        <v>577500</v>
      </c>
      <c r="G64" s="80"/>
      <c r="I64" s="264" t="str">
        <f>+I4</f>
        <v>MOYENS ROULANTS - DIRECTION</v>
      </c>
      <c r="L64" s="262">
        <f>+L12</f>
        <v>2100000</v>
      </c>
      <c r="O64" s="264" t="s">
        <v>146</v>
      </c>
      <c r="R64" s="262">
        <f>+R10</f>
        <v>345000</v>
      </c>
    </row>
    <row r="65" spans="3:18" x14ac:dyDescent="0.2">
      <c r="C65" s="279" t="str">
        <f>+C23</f>
        <v>MATERIELS DE BUREAU - UNITE AGRICOLE</v>
      </c>
      <c r="D65" s="192"/>
      <c r="E65" s="192"/>
      <c r="F65" s="280">
        <f>+F37</f>
        <v>1510000</v>
      </c>
      <c r="G65" s="80"/>
      <c r="I65" s="279" t="str">
        <f>+I23</f>
        <v>MOYENS ROULANTS - UNITE AGRICOLE</v>
      </c>
      <c r="J65" s="192"/>
      <c r="K65" s="192"/>
      <c r="L65" s="280">
        <f>+L30</f>
        <v>1350000</v>
      </c>
      <c r="O65" s="286" t="s">
        <v>221</v>
      </c>
      <c r="P65" s="192"/>
      <c r="Q65" s="192"/>
      <c r="R65" s="280">
        <f>+R29</f>
        <v>700000</v>
      </c>
    </row>
    <row r="66" spans="3:18" x14ac:dyDescent="0.2">
      <c r="C66" s="264" t="str">
        <f>+C42</f>
        <v>MATERIELS DE BUREAU - UNITE ELEVAGE</v>
      </c>
      <c r="F66" s="262">
        <f>SUM(F56)</f>
        <v>1510000</v>
      </c>
      <c r="G66" s="80"/>
      <c r="I66" s="264" t="str">
        <f>+I42</f>
        <v>MOYENS ROULANTS - UNITE ELEVAGE</v>
      </c>
      <c r="L66" s="262">
        <f>+L49</f>
        <v>1350000</v>
      </c>
      <c r="O66" s="264" t="s">
        <v>144</v>
      </c>
      <c r="R66" s="262">
        <f>+R48</f>
        <v>700000</v>
      </c>
    </row>
    <row r="67" spans="3:18" ht="17" thickBot="1" x14ac:dyDescent="0.25">
      <c r="C67" s="264"/>
      <c r="F67" s="265"/>
      <c r="G67" s="80"/>
      <c r="I67" s="264"/>
      <c r="L67" s="265"/>
      <c r="O67" s="264"/>
      <c r="R67" s="265"/>
    </row>
    <row r="68" spans="3:18" ht="17" thickBot="1" x14ac:dyDescent="0.25">
      <c r="C68" s="281"/>
      <c r="D68" s="282"/>
      <c r="E68" s="284" t="s">
        <v>57</v>
      </c>
      <c r="F68" s="285">
        <f>+SUM(F64:F67)</f>
        <v>3597500</v>
      </c>
      <c r="G68" s="80"/>
      <c r="I68" s="281"/>
      <c r="J68" s="282"/>
      <c r="K68" s="284" t="s">
        <v>57</v>
      </c>
      <c r="L68" s="283">
        <f>+SUM(L64:L67)</f>
        <v>4800000</v>
      </c>
      <c r="O68" s="281"/>
      <c r="P68" s="282"/>
      <c r="Q68" s="284" t="s">
        <v>57</v>
      </c>
      <c r="R68" s="285">
        <f>+SUM(R64:R67)</f>
        <v>1745000</v>
      </c>
    </row>
    <row r="69" spans="3:18" x14ac:dyDescent="0.2">
      <c r="G69" s="80"/>
    </row>
    <row r="70" spans="3:18" x14ac:dyDescent="0.2">
      <c r="G70" s="80"/>
    </row>
    <row r="71" spans="3:18" x14ac:dyDescent="0.2">
      <c r="G71" s="80"/>
    </row>
    <row r="73" spans="3:18" x14ac:dyDescent="0.2">
      <c r="G73" s="88"/>
    </row>
    <row r="75" spans="3:18" x14ac:dyDescent="0.2">
      <c r="G75" s="77"/>
    </row>
    <row r="76" spans="3:18" ht="19" x14ac:dyDescent="0.25">
      <c r="G76" s="138"/>
      <c r="I76" s="774">
        <f>SUM(F68)+L68+R68</f>
        <v>10142500</v>
      </c>
      <c r="J76" s="775"/>
    </row>
    <row r="77" spans="3:18" x14ac:dyDescent="0.2">
      <c r="G77" s="80"/>
    </row>
    <row r="78" spans="3:18" x14ac:dyDescent="0.2">
      <c r="G78" s="80"/>
    </row>
    <row r="79" spans="3:18" x14ac:dyDescent="0.2">
      <c r="G79" s="80"/>
    </row>
    <row r="80" spans="3:18" x14ac:dyDescent="0.2">
      <c r="G80" s="80"/>
    </row>
    <row r="81" spans="7:7" x14ac:dyDescent="0.2">
      <c r="G81" s="80"/>
    </row>
    <row r="82" spans="7:7" x14ac:dyDescent="0.2">
      <c r="G82" s="80"/>
    </row>
    <row r="83" spans="7:7" x14ac:dyDescent="0.2">
      <c r="G83" s="80"/>
    </row>
    <row r="84" spans="7:7" x14ac:dyDescent="0.2">
      <c r="G84" s="80"/>
    </row>
    <row r="85" spans="7:7" x14ac:dyDescent="0.2">
      <c r="G85" s="80"/>
    </row>
    <row r="86" spans="7:7" x14ac:dyDescent="0.2">
      <c r="G86" s="80"/>
    </row>
    <row r="87" spans="7:7" x14ac:dyDescent="0.2">
      <c r="G87" s="80"/>
    </row>
    <row r="88" spans="7:7" x14ac:dyDescent="0.2">
      <c r="G88" s="80"/>
    </row>
    <row r="90" spans="7:7" x14ac:dyDescent="0.2">
      <c r="G90" s="88"/>
    </row>
  </sheetData>
  <mergeCells count="16">
    <mergeCell ref="C62:F62"/>
    <mergeCell ref="I62:L62"/>
    <mergeCell ref="C4:F4"/>
    <mergeCell ref="C23:F23"/>
    <mergeCell ref="C42:F42"/>
    <mergeCell ref="I4:L4"/>
    <mergeCell ref="I23:L23"/>
    <mergeCell ref="I42:L42"/>
    <mergeCell ref="C18:E18"/>
    <mergeCell ref="I12:K12"/>
    <mergeCell ref="I76:J76"/>
    <mergeCell ref="O62:R62"/>
    <mergeCell ref="O4:R4"/>
    <mergeCell ref="O23:R23"/>
    <mergeCell ref="O42:R42"/>
    <mergeCell ref="O10:Q10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3"/>
  <sheetViews>
    <sheetView showGridLines="0" topLeftCell="B107" zoomScale="136" zoomScaleNormal="125" zoomScalePageLayoutView="150" workbookViewId="0">
      <selection activeCell="D150" sqref="D150:E150"/>
    </sheetView>
  </sheetViews>
  <sheetFormatPr baseColWidth="10" defaultRowHeight="15" x14ac:dyDescent="0.2"/>
  <cols>
    <col min="1" max="1" width="4" customWidth="1"/>
    <col min="2" max="2" width="46.1640625" customWidth="1"/>
    <col min="3" max="3" width="15.5" customWidth="1"/>
    <col min="4" max="4" width="15.1640625" customWidth="1"/>
    <col min="5" max="5" width="15.6640625" customWidth="1"/>
    <col min="6" max="10" width="17.83203125" customWidth="1"/>
    <col min="11" max="11" width="3.5" customWidth="1"/>
    <col min="12" max="12" width="17.1640625" customWidth="1"/>
  </cols>
  <sheetData>
    <row r="1" spans="1:13" ht="31" x14ac:dyDescent="0.35">
      <c r="A1" s="784"/>
      <c r="B1" s="784"/>
      <c r="C1" s="784"/>
      <c r="D1" s="784"/>
      <c r="E1" s="784"/>
      <c r="F1" s="784"/>
      <c r="G1" s="784"/>
    </row>
    <row r="6" spans="1:13" ht="24" x14ac:dyDescent="0.3">
      <c r="B6" s="789" t="s">
        <v>288</v>
      </c>
      <c r="C6" s="790"/>
      <c r="D6" s="790"/>
      <c r="E6" s="790"/>
      <c r="F6" s="790"/>
      <c r="G6" s="790"/>
      <c r="H6" s="790"/>
      <c r="I6" s="790"/>
      <c r="J6" s="791"/>
    </row>
    <row r="7" spans="1:13" ht="16" x14ac:dyDescent="0.2">
      <c r="B7" s="89" t="s">
        <v>59</v>
      </c>
      <c r="C7" s="89" t="s">
        <v>117</v>
      </c>
      <c r="D7" s="787" t="s">
        <v>116</v>
      </c>
      <c r="E7" s="787"/>
      <c r="F7" s="89">
        <v>2026</v>
      </c>
      <c r="G7" s="89">
        <v>2027</v>
      </c>
      <c r="H7" s="89">
        <v>2028</v>
      </c>
      <c r="I7" s="89">
        <v>2029</v>
      </c>
      <c r="J7" s="89">
        <v>2030</v>
      </c>
      <c r="K7" s="79"/>
      <c r="M7" s="138"/>
    </row>
    <row r="8" spans="1:13" ht="16" x14ac:dyDescent="0.2">
      <c r="B8" s="785" t="s">
        <v>397</v>
      </c>
      <c r="C8" s="105"/>
      <c r="D8" s="108" t="s">
        <v>113</v>
      </c>
      <c r="E8" s="116">
        <v>550000</v>
      </c>
      <c r="F8" s="123">
        <f t="shared" ref="F8:F13" si="0">SUM(E8)*6</f>
        <v>3300000</v>
      </c>
      <c r="G8" s="110">
        <f>+E8*12</f>
        <v>6600000</v>
      </c>
      <c r="H8" s="123">
        <f>+G8*1.1</f>
        <v>7260000.0000000009</v>
      </c>
      <c r="I8" s="110">
        <f>+H8*1.05</f>
        <v>7623000.0000000009</v>
      </c>
      <c r="J8" s="123">
        <f>+I8*1</f>
        <v>7623000.0000000009</v>
      </c>
      <c r="K8" s="79"/>
    </row>
    <row r="9" spans="1:13" ht="16" x14ac:dyDescent="0.2">
      <c r="B9" s="786"/>
      <c r="C9" s="106">
        <v>1</v>
      </c>
      <c r="D9" s="108" t="s">
        <v>114</v>
      </c>
      <c r="E9" s="117">
        <v>50000</v>
      </c>
      <c r="F9" s="124">
        <f t="shared" si="0"/>
        <v>300000</v>
      </c>
      <c r="G9" s="110">
        <f>+E9*12</f>
        <v>600000</v>
      </c>
      <c r="H9" s="124">
        <f>+G9*1.05</f>
        <v>630000</v>
      </c>
      <c r="I9" s="110">
        <f>+H9*1.05</f>
        <v>661500</v>
      </c>
      <c r="J9" s="124">
        <f>+I9*1</f>
        <v>661500</v>
      </c>
      <c r="K9" s="79"/>
    </row>
    <row r="10" spans="1:13" ht="16" x14ac:dyDescent="0.2">
      <c r="B10" s="786"/>
      <c r="C10" s="106"/>
      <c r="D10" s="111" t="s">
        <v>115</v>
      </c>
      <c r="E10" s="118">
        <f>+E8*20%</f>
        <v>110000</v>
      </c>
      <c r="F10" s="125">
        <f t="shared" si="0"/>
        <v>660000</v>
      </c>
      <c r="G10" s="112">
        <f>+G8*20%</f>
        <v>1320000</v>
      </c>
      <c r="H10" s="118">
        <f>+H8*20%</f>
        <v>1452000.0000000002</v>
      </c>
      <c r="I10" s="112">
        <f>+I8*20%</f>
        <v>1524600.0000000002</v>
      </c>
      <c r="J10" s="118">
        <f>+J8*20%</f>
        <v>1524600.0000000002</v>
      </c>
      <c r="K10" s="79"/>
    </row>
    <row r="11" spans="1:13" ht="16" x14ac:dyDescent="0.2">
      <c r="B11" s="788" t="s">
        <v>58</v>
      </c>
      <c r="C11" s="107"/>
      <c r="D11" s="109" t="s">
        <v>113</v>
      </c>
      <c r="E11" s="119">
        <v>150000</v>
      </c>
      <c r="F11" s="119">
        <f t="shared" si="0"/>
        <v>900000</v>
      </c>
      <c r="G11" s="85">
        <f>+E11*12</f>
        <v>1800000</v>
      </c>
      <c r="H11" s="119">
        <f>+G11*1.1</f>
        <v>1980000.0000000002</v>
      </c>
      <c r="I11" s="85">
        <f>+H11*1.05</f>
        <v>2079000.0000000002</v>
      </c>
      <c r="J11" s="119">
        <f>+I11*1</f>
        <v>2079000.0000000002</v>
      </c>
      <c r="K11" s="79"/>
    </row>
    <row r="12" spans="1:13" ht="16" x14ac:dyDescent="0.2">
      <c r="B12" s="788"/>
      <c r="C12" s="107">
        <v>1</v>
      </c>
      <c r="D12" s="109" t="s">
        <v>114</v>
      </c>
      <c r="E12" s="119">
        <v>25000</v>
      </c>
      <c r="F12" s="119">
        <f t="shared" si="0"/>
        <v>150000</v>
      </c>
      <c r="G12" s="85">
        <f>+E12*12</f>
        <v>300000</v>
      </c>
      <c r="H12" s="119">
        <f>+G12*1.05</f>
        <v>315000</v>
      </c>
      <c r="I12" s="85">
        <f>+H12*1.05</f>
        <v>330750</v>
      </c>
      <c r="J12" s="119">
        <f>+I12*1</f>
        <v>330750</v>
      </c>
      <c r="K12" s="79"/>
    </row>
    <row r="13" spans="1:13" ht="16" x14ac:dyDescent="0.2">
      <c r="B13" s="788"/>
      <c r="C13" s="107"/>
      <c r="D13" s="113" t="s">
        <v>115</v>
      </c>
      <c r="E13" s="120">
        <f>+E11*20%</f>
        <v>30000</v>
      </c>
      <c r="F13" s="120">
        <f t="shared" si="0"/>
        <v>180000</v>
      </c>
      <c r="G13" s="114">
        <f>+G11*20%</f>
        <v>360000</v>
      </c>
      <c r="H13" s="120">
        <f>+H11*20%</f>
        <v>396000.00000000006</v>
      </c>
      <c r="I13" s="114">
        <f>+I11*20%</f>
        <v>415800.00000000006</v>
      </c>
      <c r="J13" s="120">
        <f>+J11*20%</f>
        <v>415800.00000000006</v>
      </c>
      <c r="K13" s="79"/>
    </row>
    <row r="14" spans="1:13" ht="16" x14ac:dyDescent="0.2">
      <c r="B14" s="781" t="s">
        <v>289</v>
      </c>
      <c r="C14" s="106"/>
      <c r="D14" s="108" t="s">
        <v>113</v>
      </c>
      <c r="E14" s="121">
        <v>150000</v>
      </c>
      <c r="F14" s="121"/>
      <c r="G14" s="80"/>
      <c r="H14" s="121"/>
      <c r="I14" s="80">
        <f>SUM(E14)*12</f>
        <v>1800000</v>
      </c>
      <c r="J14" s="121">
        <f>+I14*1</f>
        <v>1800000</v>
      </c>
      <c r="K14" s="79"/>
    </row>
    <row r="15" spans="1:13" ht="16" x14ac:dyDescent="0.2">
      <c r="B15" s="782"/>
      <c r="C15" s="106">
        <v>1</v>
      </c>
      <c r="D15" s="108" t="s">
        <v>114</v>
      </c>
      <c r="E15" s="121">
        <v>25000</v>
      </c>
      <c r="F15" s="121"/>
      <c r="G15" s="80"/>
      <c r="H15" s="121"/>
      <c r="I15" s="80">
        <f>SUM(E15)*12</f>
        <v>300000</v>
      </c>
      <c r="J15" s="121">
        <f>+I15*1</f>
        <v>300000</v>
      </c>
      <c r="K15" s="79"/>
    </row>
    <row r="16" spans="1:13" ht="16" x14ac:dyDescent="0.2">
      <c r="B16" s="782"/>
      <c r="C16" s="106"/>
      <c r="D16" s="111" t="s">
        <v>115</v>
      </c>
      <c r="E16" s="122">
        <f>+E14*20%</f>
        <v>30000</v>
      </c>
      <c r="F16" s="122"/>
      <c r="G16" s="115">
        <f>+G14*20%</f>
        <v>0</v>
      </c>
      <c r="H16" s="122"/>
      <c r="I16" s="115">
        <f>+I14*20%</f>
        <v>360000</v>
      </c>
      <c r="J16" s="122">
        <f>+J14*20%</f>
        <v>360000</v>
      </c>
      <c r="K16" s="79"/>
    </row>
    <row r="17" spans="2:11" ht="16" x14ac:dyDescent="0.2">
      <c r="B17" s="788" t="s">
        <v>796</v>
      </c>
      <c r="C17" s="107"/>
      <c r="D17" s="109" t="s">
        <v>113</v>
      </c>
      <c r="E17" s="119">
        <v>350000</v>
      </c>
      <c r="F17" s="119"/>
      <c r="G17" s="85">
        <f>+E17*6</f>
        <v>2100000</v>
      </c>
      <c r="H17" s="119">
        <f>+E17*12*1.1</f>
        <v>4620000</v>
      </c>
      <c r="I17" s="85">
        <f>+H17*1.05</f>
        <v>4851000</v>
      </c>
      <c r="J17" s="119">
        <f>+I17*1</f>
        <v>4851000</v>
      </c>
      <c r="K17" s="79"/>
    </row>
    <row r="18" spans="2:11" ht="16" x14ac:dyDescent="0.2">
      <c r="B18" s="788"/>
      <c r="C18" s="107">
        <v>1</v>
      </c>
      <c r="D18" s="109" t="s">
        <v>114</v>
      </c>
      <c r="E18" s="119">
        <v>25000</v>
      </c>
      <c r="F18" s="119"/>
      <c r="G18" s="85">
        <f>+E18*6</f>
        <v>150000</v>
      </c>
      <c r="H18" s="119">
        <f>+E18*12*1.05</f>
        <v>315000</v>
      </c>
      <c r="I18" s="85">
        <f>+H18*1.05</f>
        <v>330750</v>
      </c>
      <c r="J18" s="119">
        <f>+I18*1</f>
        <v>330750</v>
      </c>
      <c r="K18" s="79"/>
    </row>
    <row r="19" spans="2:11" ht="16" x14ac:dyDescent="0.2">
      <c r="B19" s="788"/>
      <c r="C19" s="107"/>
      <c r="D19" s="113" t="s">
        <v>115</v>
      </c>
      <c r="E19" s="120">
        <f>+E17*20%</f>
        <v>70000</v>
      </c>
      <c r="F19" s="120"/>
      <c r="G19" s="114">
        <f>+G17*20%</f>
        <v>420000</v>
      </c>
      <c r="H19" s="120">
        <f>+H17*20%</f>
        <v>924000</v>
      </c>
      <c r="I19" s="114">
        <f>+I17*20%</f>
        <v>970200</v>
      </c>
      <c r="J19" s="120">
        <f>+J17*20%</f>
        <v>970200</v>
      </c>
      <c r="K19" s="79"/>
    </row>
    <row r="20" spans="2:11" ht="16" x14ac:dyDescent="0.2">
      <c r="B20" s="782" t="s">
        <v>109</v>
      </c>
      <c r="C20" s="106"/>
      <c r="D20" s="108" t="s">
        <v>113</v>
      </c>
      <c r="E20" s="124">
        <v>250000</v>
      </c>
      <c r="F20" s="124">
        <f>SUM(E20)*12</f>
        <v>3000000</v>
      </c>
      <c r="G20" s="84">
        <f>+E20*12</f>
        <v>3000000</v>
      </c>
      <c r="H20" s="124">
        <f>+E20*12*1.1</f>
        <v>3300000.0000000005</v>
      </c>
      <c r="I20" s="84">
        <f>+H20*1.05</f>
        <v>3465000.0000000005</v>
      </c>
      <c r="J20" s="124">
        <f>+I20*1</f>
        <v>3465000.0000000005</v>
      </c>
      <c r="K20" s="79"/>
    </row>
    <row r="21" spans="2:11" ht="16" x14ac:dyDescent="0.2">
      <c r="B21" s="782"/>
      <c r="C21" s="106">
        <v>1</v>
      </c>
      <c r="D21" s="108" t="s">
        <v>114</v>
      </c>
      <c r="E21" s="124">
        <v>25000</v>
      </c>
      <c r="F21" s="124">
        <f>SUM(E21)*6</f>
        <v>150000</v>
      </c>
      <c r="G21" s="84">
        <f>+E21*12</f>
        <v>300000</v>
      </c>
      <c r="H21" s="124">
        <f>+E21*1.05*12</f>
        <v>315000</v>
      </c>
      <c r="I21" s="84">
        <f>+H21*1.05</f>
        <v>330750</v>
      </c>
      <c r="J21" s="124">
        <f>+I21*1</f>
        <v>330750</v>
      </c>
      <c r="K21" s="79"/>
    </row>
    <row r="22" spans="2:11" ht="16" x14ac:dyDescent="0.2">
      <c r="B22" s="782"/>
      <c r="C22" s="106"/>
      <c r="D22" s="111" t="s">
        <v>115</v>
      </c>
      <c r="E22" s="125">
        <f>+E20*20%</f>
        <v>50000</v>
      </c>
      <c r="F22" s="125">
        <f>SUM(F20)*0.2</f>
        <v>600000</v>
      </c>
      <c r="G22" s="133">
        <f>+G20*20%</f>
        <v>600000</v>
      </c>
      <c r="H22" s="125">
        <f>+H20*20%</f>
        <v>660000.00000000012</v>
      </c>
      <c r="I22" s="133">
        <f>+I20*20%</f>
        <v>693000.00000000012</v>
      </c>
      <c r="J22" s="125">
        <f>+J20*20%</f>
        <v>693000.00000000012</v>
      </c>
      <c r="K22" s="79"/>
    </row>
    <row r="23" spans="2:11" ht="16" x14ac:dyDescent="0.2">
      <c r="B23" s="788" t="s">
        <v>110</v>
      </c>
      <c r="C23" s="107"/>
      <c r="D23" s="109" t="s">
        <v>113</v>
      </c>
      <c r="E23" s="119">
        <v>200000</v>
      </c>
      <c r="F23" s="119"/>
      <c r="G23" s="85">
        <f>+E23*6</f>
        <v>1200000</v>
      </c>
      <c r="H23" s="119">
        <f>+E23*12*1.1</f>
        <v>2640000</v>
      </c>
      <c r="I23" s="85">
        <f>+H23*1.05</f>
        <v>2772000</v>
      </c>
      <c r="J23" s="119">
        <f>+I23*1</f>
        <v>2772000</v>
      </c>
      <c r="K23" s="79"/>
    </row>
    <row r="24" spans="2:11" ht="16" x14ac:dyDescent="0.2">
      <c r="B24" s="788"/>
      <c r="C24" s="107">
        <v>1</v>
      </c>
      <c r="D24" s="109" t="s">
        <v>114</v>
      </c>
      <c r="E24" s="119">
        <v>25000</v>
      </c>
      <c r="F24" s="119"/>
      <c r="G24" s="85">
        <f>+E24*6</f>
        <v>150000</v>
      </c>
      <c r="H24" s="119">
        <f>+E24*12*1.05</f>
        <v>315000</v>
      </c>
      <c r="I24" s="85">
        <f>+H24*1.05</f>
        <v>330750</v>
      </c>
      <c r="J24" s="119">
        <f>+I24*1</f>
        <v>330750</v>
      </c>
      <c r="K24" s="79"/>
    </row>
    <row r="25" spans="2:11" ht="16" x14ac:dyDescent="0.2">
      <c r="B25" s="788"/>
      <c r="C25" s="107"/>
      <c r="D25" s="113" t="s">
        <v>115</v>
      </c>
      <c r="E25" s="120">
        <f>+E23*20%</f>
        <v>40000</v>
      </c>
      <c r="F25" s="120"/>
      <c r="G25" s="114">
        <f>+G23*20%</f>
        <v>240000</v>
      </c>
      <c r="H25" s="120">
        <f>+H23*20%</f>
        <v>528000</v>
      </c>
      <c r="I25" s="114">
        <f>+I23*20%</f>
        <v>554400</v>
      </c>
      <c r="J25" s="120">
        <f>+J23*20%</f>
        <v>554400</v>
      </c>
      <c r="K25" s="79"/>
    </row>
    <row r="26" spans="2:11" ht="16" x14ac:dyDescent="0.2">
      <c r="B26" s="782" t="s">
        <v>111</v>
      </c>
      <c r="C26" s="106"/>
      <c r="D26" s="108" t="s">
        <v>113</v>
      </c>
      <c r="E26" s="124">
        <v>250000</v>
      </c>
      <c r="F26" s="124"/>
      <c r="G26" s="84">
        <f>+E26*6</f>
        <v>1500000</v>
      </c>
      <c r="H26" s="124">
        <f>+E26*12</f>
        <v>3000000</v>
      </c>
      <c r="I26" s="84">
        <f>+H26*1.05</f>
        <v>3150000</v>
      </c>
      <c r="J26" s="124">
        <f>+I26*1</f>
        <v>3150000</v>
      </c>
      <c r="K26" s="79"/>
    </row>
    <row r="27" spans="2:11" ht="16" x14ac:dyDescent="0.2">
      <c r="B27" s="782"/>
      <c r="C27" s="106">
        <v>1</v>
      </c>
      <c r="D27" s="108" t="s">
        <v>114</v>
      </c>
      <c r="E27" s="124">
        <v>25000</v>
      </c>
      <c r="F27" s="124"/>
      <c r="G27" s="84">
        <f>+E27*6</f>
        <v>150000</v>
      </c>
      <c r="H27" s="124">
        <f>+E27*12</f>
        <v>300000</v>
      </c>
      <c r="I27" s="84">
        <f>+H27*1.05</f>
        <v>315000</v>
      </c>
      <c r="J27" s="124">
        <f>+I27*1</f>
        <v>315000</v>
      </c>
      <c r="K27" s="79"/>
    </row>
    <row r="28" spans="2:11" ht="16" x14ac:dyDescent="0.2">
      <c r="B28" s="782"/>
      <c r="C28" s="106"/>
      <c r="D28" s="111" t="s">
        <v>115</v>
      </c>
      <c r="E28" s="125">
        <f>+E26*20%</f>
        <v>50000</v>
      </c>
      <c r="F28" s="125"/>
      <c r="G28" s="133">
        <f>+G26*20%</f>
        <v>300000</v>
      </c>
      <c r="H28" s="125">
        <f>+H26*20%</f>
        <v>600000</v>
      </c>
      <c r="I28" s="133">
        <f>+I26*20%</f>
        <v>630000</v>
      </c>
      <c r="J28" s="125">
        <f>+J26*20%</f>
        <v>630000</v>
      </c>
      <c r="K28" s="79"/>
    </row>
    <row r="29" spans="2:11" ht="16" x14ac:dyDescent="0.2">
      <c r="B29" s="788" t="s">
        <v>112</v>
      </c>
      <c r="C29" s="107"/>
      <c r="D29" s="109" t="s">
        <v>113</v>
      </c>
      <c r="E29" s="119">
        <v>200000</v>
      </c>
      <c r="F29" s="119"/>
      <c r="G29" s="85"/>
      <c r="H29" s="119">
        <f>+E29*12*1.1</f>
        <v>2640000</v>
      </c>
      <c r="I29" s="85">
        <f>+H29*1.05</f>
        <v>2772000</v>
      </c>
      <c r="J29" s="119">
        <f>+I29*1</f>
        <v>2772000</v>
      </c>
      <c r="K29" s="79"/>
    </row>
    <row r="30" spans="2:11" ht="16" x14ac:dyDescent="0.2">
      <c r="B30" s="788"/>
      <c r="C30" s="107">
        <v>1</v>
      </c>
      <c r="D30" s="109" t="s">
        <v>114</v>
      </c>
      <c r="E30" s="119">
        <v>25000</v>
      </c>
      <c r="F30" s="119"/>
      <c r="G30" s="85"/>
      <c r="H30" s="119">
        <f>+E30*12*1.05</f>
        <v>315000</v>
      </c>
      <c r="I30" s="85">
        <f>+H30*1.05</f>
        <v>330750</v>
      </c>
      <c r="J30" s="119">
        <f>+I30*1</f>
        <v>330750</v>
      </c>
      <c r="K30" s="79"/>
    </row>
    <row r="31" spans="2:11" ht="16" x14ac:dyDescent="0.2">
      <c r="B31" s="788"/>
      <c r="C31" s="107"/>
      <c r="D31" s="113" t="s">
        <v>115</v>
      </c>
      <c r="E31" s="120">
        <f>+E29*20%</f>
        <v>40000</v>
      </c>
      <c r="F31" s="120"/>
      <c r="G31" s="114"/>
      <c r="H31" s="120">
        <f>+H29*20%</f>
        <v>528000</v>
      </c>
      <c r="I31" s="114">
        <f>+I29*20%</f>
        <v>554400</v>
      </c>
      <c r="J31" s="120">
        <f>+J29*20%</f>
        <v>554400</v>
      </c>
      <c r="K31" s="79"/>
    </row>
    <row r="32" spans="2:11" ht="16" x14ac:dyDescent="0.2">
      <c r="B32" s="782" t="s">
        <v>797</v>
      </c>
      <c r="C32" s="106"/>
      <c r="D32" s="108" t="s">
        <v>113</v>
      </c>
      <c r="E32" s="124">
        <v>200000</v>
      </c>
      <c r="F32" s="124"/>
      <c r="G32" s="84"/>
      <c r="H32" s="124">
        <f>+E32*12</f>
        <v>2400000</v>
      </c>
      <c r="I32" s="84">
        <f>+H32*1.05</f>
        <v>2520000</v>
      </c>
      <c r="J32" s="124">
        <f>+I32*1</f>
        <v>2520000</v>
      </c>
      <c r="K32" s="79"/>
    </row>
    <row r="33" spans="2:11" ht="16" x14ac:dyDescent="0.2">
      <c r="B33" s="782"/>
      <c r="C33" s="106">
        <v>1</v>
      </c>
      <c r="D33" s="108" t="s">
        <v>114</v>
      </c>
      <c r="E33" s="124">
        <v>25000</v>
      </c>
      <c r="F33" s="124"/>
      <c r="G33" s="84"/>
      <c r="H33" s="124">
        <f>+E33*12</f>
        <v>300000</v>
      </c>
      <c r="I33" s="84">
        <f>+H33*1.05</f>
        <v>315000</v>
      </c>
      <c r="J33" s="124">
        <f>+I33*1</f>
        <v>315000</v>
      </c>
      <c r="K33" s="79"/>
    </row>
    <row r="34" spans="2:11" ht="16" x14ac:dyDescent="0.2">
      <c r="B34" s="782"/>
      <c r="C34" s="106"/>
      <c r="D34" s="111" t="s">
        <v>115</v>
      </c>
      <c r="E34" s="125">
        <f>+E32*20%</f>
        <v>40000</v>
      </c>
      <c r="F34" s="125"/>
      <c r="G34" s="133">
        <f>+G32*20%</f>
        <v>0</v>
      </c>
      <c r="H34" s="125">
        <f>+H32*20%</f>
        <v>480000</v>
      </c>
      <c r="I34" s="133">
        <f>+I32*20%</f>
        <v>504000</v>
      </c>
      <c r="J34" s="125">
        <f>+J32*20%</f>
        <v>504000</v>
      </c>
      <c r="K34" s="79"/>
    </row>
    <row r="35" spans="2:11" ht="16" x14ac:dyDescent="0.2">
      <c r="B35" s="788" t="s">
        <v>121</v>
      </c>
      <c r="C35" s="107"/>
      <c r="D35" s="109" t="s">
        <v>113</v>
      </c>
      <c r="E35" s="119">
        <v>120000</v>
      </c>
      <c r="F35" s="119">
        <f>SUM(E35)*C36*12</f>
        <v>1440000</v>
      </c>
      <c r="G35" s="85">
        <f>+E35*12*C36</f>
        <v>1440000</v>
      </c>
      <c r="H35" s="119">
        <f>+E35*12*C36*1.1</f>
        <v>1584000.0000000002</v>
      </c>
      <c r="I35" s="85">
        <f>+H35*1.05</f>
        <v>1663200.0000000002</v>
      </c>
      <c r="J35" s="119">
        <f>+I35*1</f>
        <v>1663200.0000000002</v>
      </c>
    </row>
    <row r="36" spans="2:11" ht="16" x14ac:dyDescent="0.2">
      <c r="B36" s="788"/>
      <c r="C36" s="107">
        <v>1</v>
      </c>
      <c r="D36" s="109" t="s">
        <v>114</v>
      </c>
      <c r="E36" s="119">
        <v>15000</v>
      </c>
      <c r="F36" s="119">
        <f>SUM(E36)*12</f>
        <v>180000</v>
      </c>
      <c r="G36" s="85">
        <f>+E36*12*C36</f>
        <v>180000</v>
      </c>
      <c r="H36" s="119">
        <f>+E36*12*C36*1.05</f>
        <v>189000</v>
      </c>
      <c r="I36" s="85">
        <f>+H36*1.05</f>
        <v>198450</v>
      </c>
      <c r="J36" s="119">
        <f>+I36*1</f>
        <v>198450</v>
      </c>
    </row>
    <row r="37" spans="2:11" ht="16" x14ac:dyDescent="0.2">
      <c r="B37" s="788"/>
      <c r="C37" s="107"/>
      <c r="D37" s="113" t="s">
        <v>115</v>
      </c>
      <c r="E37" s="120">
        <f>+E35*20%</f>
        <v>24000</v>
      </c>
      <c r="F37" s="120">
        <f>SUM(F35)*0.2</f>
        <v>288000</v>
      </c>
      <c r="G37" s="114">
        <f>+G35*20%</f>
        <v>288000</v>
      </c>
      <c r="H37" s="120">
        <f>+H35*20%</f>
        <v>316800.00000000006</v>
      </c>
      <c r="I37" s="114">
        <f>+I35*20%</f>
        <v>332640.00000000006</v>
      </c>
      <c r="J37" s="120">
        <f>+J35*20%</f>
        <v>332640.00000000006</v>
      </c>
    </row>
    <row r="38" spans="2:11" ht="16" x14ac:dyDescent="0.2">
      <c r="B38" s="782" t="s">
        <v>122</v>
      </c>
      <c r="C38" s="106"/>
      <c r="D38" s="108" t="s">
        <v>113</v>
      </c>
      <c r="E38" s="124">
        <v>90000</v>
      </c>
      <c r="F38" s="124"/>
      <c r="G38" s="84">
        <f>+E38*12*C39</f>
        <v>1080000</v>
      </c>
      <c r="H38" s="124">
        <f>+E38*12*C39*1.5</f>
        <v>1620000</v>
      </c>
      <c r="I38" s="84">
        <f>+H38*1.05</f>
        <v>1701000</v>
      </c>
      <c r="J38" s="124">
        <f>+I38*1</f>
        <v>1701000</v>
      </c>
    </row>
    <row r="39" spans="2:11" ht="16" x14ac:dyDescent="0.2">
      <c r="B39" s="782"/>
      <c r="C39" s="106">
        <v>1</v>
      </c>
      <c r="D39" s="108" t="s">
        <v>114</v>
      </c>
      <c r="E39" s="124">
        <v>15000</v>
      </c>
      <c r="F39" s="124"/>
      <c r="G39" s="84">
        <f>+E39*C39*12</f>
        <v>180000</v>
      </c>
      <c r="H39" s="124">
        <f>+E39*C39*12*1.05</f>
        <v>189000</v>
      </c>
      <c r="I39" s="84">
        <f>+H39*1.05</f>
        <v>198450</v>
      </c>
      <c r="J39" s="124">
        <f>+I39*1</f>
        <v>198450</v>
      </c>
    </row>
    <row r="40" spans="2:11" ht="16" x14ac:dyDescent="0.2">
      <c r="B40" s="782"/>
      <c r="C40" s="106"/>
      <c r="D40" s="111" t="s">
        <v>115</v>
      </c>
      <c r="E40" s="125">
        <f>+E38*20%</f>
        <v>18000</v>
      </c>
      <c r="F40" s="125"/>
      <c r="G40" s="133">
        <f>+G38*20%</f>
        <v>216000</v>
      </c>
      <c r="H40" s="125">
        <f>+H38*20%</f>
        <v>324000</v>
      </c>
      <c r="I40" s="133">
        <f>+I38*20%</f>
        <v>340200</v>
      </c>
      <c r="J40" s="125">
        <f>+J38*20%</f>
        <v>340200</v>
      </c>
    </row>
    <row r="41" spans="2:11" ht="16" x14ac:dyDescent="0.2">
      <c r="B41" s="794" t="s">
        <v>290</v>
      </c>
      <c r="C41" s="107"/>
      <c r="D41" s="109" t="s">
        <v>113</v>
      </c>
      <c r="E41" s="119">
        <v>75000</v>
      </c>
      <c r="F41" s="119"/>
      <c r="G41" s="85">
        <f>+E41*C42*12</f>
        <v>1800000</v>
      </c>
      <c r="H41" s="119">
        <f>+E41*12*C42*1.1</f>
        <v>1980000.0000000002</v>
      </c>
      <c r="I41" s="85">
        <f>+H41*1.05</f>
        <v>2079000.0000000002</v>
      </c>
      <c r="J41" s="119">
        <f>+I41*1</f>
        <v>2079000.0000000002</v>
      </c>
    </row>
    <row r="42" spans="2:11" ht="16" x14ac:dyDescent="0.2">
      <c r="B42" s="788"/>
      <c r="C42" s="107">
        <v>2</v>
      </c>
      <c r="D42" s="109" t="s">
        <v>114</v>
      </c>
      <c r="E42" s="119">
        <v>10000</v>
      </c>
      <c r="F42" s="119"/>
      <c r="G42" s="85">
        <f>+E42*C42*12</f>
        <v>240000</v>
      </c>
      <c r="H42" s="119">
        <f>+E42*C42*12*1.05</f>
        <v>252000</v>
      </c>
      <c r="I42" s="85">
        <f>+H42*1.05</f>
        <v>264600</v>
      </c>
      <c r="J42" s="119">
        <f>+I42*1</f>
        <v>264600</v>
      </c>
    </row>
    <row r="43" spans="2:11" ht="16" x14ac:dyDescent="0.2">
      <c r="B43" s="788"/>
      <c r="C43" s="107"/>
      <c r="D43" s="113" t="s">
        <v>115</v>
      </c>
      <c r="E43" s="120">
        <f>+E41*20%</f>
        <v>15000</v>
      </c>
      <c r="F43" s="120"/>
      <c r="G43" s="114">
        <f>+G41*20%</f>
        <v>360000</v>
      </c>
      <c r="H43" s="120">
        <f>+H41*20%</f>
        <v>396000.00000000006</v>
      </c>
      <c r="I43" s="114">
        <f>+I41*20%</f>
        <v>415800.00000000006</v>
      </c>
      <c r="J43" s="120">
        <f>+J41*20%</f>
        <v>415800.00000000006</v>
      </c>
    </row>
    <row r="44" spans="2:11" ht="16" x14ac:dyDescent="0.2">
      <c r="B44" s="782" t="s">
        <v>123</v>
      </c>
      <c r="C44" s="106"/>
      <c r="D44" s="108" t="s">
        <v>113</v>
      </c>
      <c r="E44" s="124">
        <v>70000</v>
      </c>
      <c r="F44" s="124">
        <f>SUM(E44)*12</f>
        <v>840000</v>
      </c>
      <c r="G44" s="84">
        <f>+E44*C45*12</f>
        <v>1680000</v>
      </c>
      <c r="H44" s="124">
        <f>+E44*12*C45*1.1</f>
        <v>1848000.0000000002</v>
      </c>
      <c r="I44" s="84">
        <f>+H44*1.05</f>
        <v>1940400.0000000002</v>
      </c>
      <c r="J44" s="124">
        <f>+I44*1</f>
        <v>1940400.0000000002</v>
      </c>
    </row>
    <row r="45" spans="2:11" ht="16" x14ac:dyDescent="0.2">
      <c r="B45" s="782"/>
      <c r="C45" s="106">
        <v>2</v>
      </c>
      <c r="D45" s="108" t="s">
        <v>114</v>
      </c>
      <c r="E45" s="124">
        <v>10000</v>
      </c>
      <c r="F45" s="124">
        <f>SUM(E45)*12</f>
        <v>120000</v>
      </c>
      <c r="G45" s="84">
        <f>+E45*12*C45</f>
        <v>240000</v>
      </c>
      <c r="H45" s="124">
        <f>+E45*12*C45*1.05</f>
        <v>252000</v>
      </c>
      <c r="I45" s="84">
        <f>+H45*1.05</f>
        <v>264600</v>
      </c>
      <c r="J45" s="124">
        <f>+I45*1</f>
        <v>264600</v>
      </c>
    </row>
    <row r="46" spans="2:11" ht="16" x14ac:dyDescent="0.2">
      <c r="B46" s="782"/>
      <c r="C46" s="106"/>
      <c r="D46" s="111" t="s">
        <v>115</v>
      </c>
      <c r="E46" s="125">
        <f>+E44*20%</f>
        <v>14000</v>
      </c>
      <c r="F46" s="125">
        <f>SUM(F44)*0.2</f>
        <v>168000</v>
      </c>
      <c r="G46" s="133">
        <f>+G44*20%</f>
        <v>336000</v>
      </c>
      <c r="H46" s="125">
        <f>+H44*20%</f>
        <v>369600.00000000006</v>
      </c>
      <c r="I46" s="133">
        <f>+I44*20%</f>
        <v>388080.00000000006</v>
      </c>
      <c r="J46" s="125">
        <f>+J44*20%</f>
        <v>388080.00000000006</v>
      </c>
    </row>
    <row r="47" spans="2:11" ht="16" x14ac:dyDescent="0.2">
      <c r="B47" s="134"/>
      <c r="C47" s="106"/>
      <c r="D47" s="111"/>
      <c r="E47" s="125"/>
      <c r="F47" s="125"/>
      <c r="G47" s="133"/>
      <c r="H47" s="125"/>
      <c r="I47" s="133"/>
      <c r="J47" s="125"/>
    </row>
    <row r="48" spans="2:11" ht="16" x14ac:dyDescent="0.2">
      <c r="B48" s="129" t="s">
        <v>120</v>
      </c>
      <c r="C48" s="130">
        <f>+SUM(C8:C47)</f>
        <v>15</v>
      </c>
      <c r="D48" s="108"/>
      <c r="E48" s="124"/>
      <c r="F48" s="124"/>
      <c r="G48" s="84"/>
      <c r="H48" s="124"/>
      <c r="I48" s="84"/>
      <c r="J48" s="124"/>
    </row>
    <row r="49" spans="2:10" ht="16" x14ac:dyDescent="0.2">
      <c r="B49" s="798" t="s">
        <v>119</v>
      </c>
      <c r="C49" s="799"/>
      <c r="D49" s="799"/>
      <c r="E49" s="800"/>
      <c r="F49" s="126">
        <f>SUM(F8)+F11+F20+F35+F44</f>
        <v>9480000</v>
      </c>
      <c r="G49" s="127">
        <f>SUM(G8)+G11+G17+G23+G26+G26+G35+G41+G44</f>
        <v>19620000</v>
      </c>
      <c r="H49" s="127">
        <f>SUM(H8+H11+H17+H23+H29+H35+H38+H41+H44)</f>
        <v>26172000</v>
      </c>
      <c r="I49" s="127">
        <f>SUM(I8+I11+I14+I17+I20+I23+I26+I29+I32+I35+I38+I44+I41)</f>
        <v>38415600</v>
      </c>
      <c r="J49" s="127">
        <f>SUM(J8+J11+J14+J17+J20+J23+J26+J29+J32+J35+J38+J41+J44)</f>
        <v>38415600</v>
      </c>
    </row>
    <row r="50" spans="2:10" ht="16" x14ac:dyDescent="0.2">
      <c r="B50" s="798" t="s">
        <v>118</v>
      </c>
      <c r="C50" s="799"/>
      <c r="D50" s="799"/>
      <c r="E50" s="800"/>
      <c r="F50" s="126">
        <f>SUM(F9)+F12+F21+F36+F45</f>
        <v>900000</v>
      </c>
      <c r="G50" s="126">
        <f>SUM(G9+G12+G18+G24+G27+G36+G39+G42+G45)</f>
        <v>2190000</v>
      </c>
      <c r="H50" s="126">
        <f>SUM(H9+H12+H18+H21+H24+H27+H30+H33+H36+H39+H42+H45)</f>
        <v>3687000</v>
      </c>
      <c r="I50" s="126">
        <f>SUM(I9+I12+I15+I18+I21+I24+I27+I30+I33+I36+I39+I42+I45)</f>
        <v>4171350</v>
      </c>
      <c r="J50" s="126">
        <f>SUM(J9+J12+J15+J18+J21+J24+J27+J30+J30+J33+J36+J39+J42+J45)</f>
        <v>4502100</v>
      </c>
    </row>
    <row r="51" spans="2:10" ht="16" x14ac:dyDescent="0.2">
      <c r="B51" s="801" t="s">
        <v>798</v>
      </c>
      <c r="C51" s="802"/>
      <c r="D51" s="802"/>
      <c r="E51" s="803"/>
      <c r="F51" s="128">
        <f>SUM(F34+F31+F28+F22+F13+F10)+F46</f>
        <v>1608000</v>
      </c>
      <c r="G51" s="128">
        <f>SUM(G10+G13+G19+G22+G25+G28+G37+G40+G43+G46)</f>
        <v>4440000</v>
      </c>
      <c r="H51" s="128">
        <f>SUM(H10+H13+H19+H22+H25+H28+H31+H34+H37+H40+H43+H46)</f>
        <v>6974400</v>
      </c>
      <c r="I51" s="128">
        <f>SUM(I10+I13+I16+I19+I22+I25+I28+I31+I34+I37+I43+I46)</f>
        <v>7342920</v>
      </c>
      <c r="J51" s="128">
        <f>SUM(J10+J13+J16+J19+J22+J25+J28+J31+J34+J37+J40+J43+J46)</f>
        <v>7683120</v>
      </c>
    </row>
    <row r="52" spans="2:10" ht="16" x14ac:dyDescent="0.2">
      <c r="B52" s="795" t="s">
        <v>799</v>
      </c>
      <c r="C52" s="796"/>
      <c r="D52" s="796"/>
      <c r="E52" s="797"/>
      <c r="F52" s="193">
        <f>SUM(F49:F51)</f>
        <v>11988000</v>
      </c>
      <c r="G52" s="132">
        <f>+G51+G50+G49</f>
        <v>26250000</v>
      </c>
      <c r="H52" s="132">
        <f>+H51+H50+H49</f>
        <v>36833400</v>
      </c>
      <c r="I52" s="132">
        <f>+I51+I50+I49</f>
        <v>49929870</v>
      </c>
      <c r="J52" s="132">
        <f>+J51+J50+J49</f>
        <v>50600820</v>
      </c>
    </row>
    <row r="53" spans="2:10" ht="16" x14ac:dyDescent="0.2">
      <c r="C53" s="783" t="s">
        <v>792</v>
      </c>
      <c r="D53" s="783"/>
      <c r="E53" s="783"/>
      <c r="F53" s="55">
        <f>SUM(F52)/10</f>
        <v>1198800</v>
      </c>
      <c r="G53" s="55">
        <f t="shared" ref="G53:J53" si="1">SUM(G52)/10</f>
        <v>2625000</v>
      </c>
      <c r="H53" s="55">
        <f t="shared" si="1"/>
        <v>3683340</v>
      </c>
      <c r="I53" s="55">
        <f t="shared" si="1"/>
        <v>4992987</v>
      </c>
      <c r="J53" s="55">
        <f t="shared" si="1"/>
        <v>5060082</v>
      </c>
    </row>
    <row r="54" spans="2:10" x14ac:dyDescent="0.2">
      <c r="I54" s="69"/>
    </row>
    <row r="58" spans="2:10" ht="24" x14ac:dyDescent="0.3">
      <c r="B58" s="789" t="s">
        <v>306</v>
      </c>
      <c r="C58" s="790"/>
      <c r="D58" s="790"/>
      <c r="E58" s="790"/>
      <c r="F58" s="790"/>
      <c r="G58" s="790"/>
      <c r="H58" s="790"/>
      <c r="I58" s="790"/>
      <c r="J58" s="791"/>
    </row>
    <row r="59" spans="2:10" ht="16" x14ac:dyDescent="0.2">
      <c r="B59" s="89" t="s">
        <v>59</v>
      </c>
      <c r="C59" s="89" t="s">
        <v>117</v>
      </c>
      <c r="D59" s="787" t="s">
        <v>116</v>
      </c>
      <c r="E59" s="787"/>
      <c r="F59" s="89">
        <v>2026</v>
      </c>
      <c r="G59" s="89">
        <v>2027</v>
      </c>
      <c r="H59" s="89">
        <v>2028</v>
      </c>
      <c r="I59" s="89">
        <v>2029</v>
      </c>
      <c r="J59" s="89">
        <v>2030</v>
      </c>
    </row>
    <row r="60" spans="2:10" ht="16" x14ac:dyDescent="0.2">
      <c r="B60" s="785" t="s">
        <v>291</v>
      </c>
      <c r="C60" s="105"/>
      <c r="D60" s="108" t="s">
        <v>113</v>
      </c>
      <c r="E60" s="116">
        <v>225000</v>
      </c>
      <c r="F60" s="123">
        <f>+E60*12*1</f>
        <v>2700000</v>
      </c>
      <c r="G60" s="123">
        <f>+E60*12*1</f>
        <v>2700000</v>
      </c>
      <c r="H60" s="123">
        <f>+E60*12*1</f>
        <v>2700000</v>
      </c>
      <c r="I60" s="110">
        <f>+H60*1.05</f>
        <v>2835000</v>
      </c>
      <c r="J60" s="123">
        <f>+I60*1</f>
        <v>2835000</v>
      </c>
    </row>
    <row r="61" spans="2:10" ht="16" x14ac:dyDescent="0.2">
      <c r="B61" s="786"/>
      <c r="C61" s="106">
        <v>1</v>
      </c>
      <c r="D61" s="108" t="s">
        <v>114</v>
      </c>
      <c r="E61" s="117">
        <v>25000</v>
      </c>
      <c r="F61" s="124">
        <f>SUM(C61)*E61*12</f>
        <v>300000</v>
      </c>
      <c r="G61" s="124">
        <f>SUM(E61)*12</f>
        <v>300000</v>
      </c>
      <c r="H61" s="124">
        <f>+E61*12*1</f>
        <v>300000</v>
      </c>
      <c r="I61" s="110">
        <f>+H61*1.05</f>
        <v>315000</v>
      </c>
      <c r="J61" s="124">
        <f>+I61*1</f>
        <v>315000</v>
      </c>
    </row>
    <row r="62" spans="2:10" ht="16" x14ac:dyDescent="0.2">
      <c r="B62" s="786"/>
      <c r="C62" s="106"/>
      <c r="D62" s="111" t="s">
        <v>115</v>
      </c>
      <c r="E62" s="118">
        <f>+E60*20%</f>
        <v>45000</v>
      </c>
      <c r="F62" s="125">
        <f>SUM(F60)*0.2</f>
        <v>540000</v>
      </c>
      <c r="G62" s="125">
        <f>SUM(G60)*0.2</f>
        <v>540000</v>
      </c>
      <c r="H62" s="118">
        <f>+H60*20%</f>
        <v>540000</v>
      </c>
      <c r="I62" s="112">
        <f>+I60*20%</f>
        <v>567000</v>
      </c>
      <c r="J62" s="118">
        <f>+J60*20%</f>
        <v>567000</v>
      </c>
    </row>
    <row r="63" spans="2:10" ht="16" x14ac:dyDescent="0.2">
      <c r="B63" s="794" t="s">
        <v>294</v>
      </c>
      <c r="C63" s="107"/>
      <c r="D63" s="109" t="s">
        <v>113</v>
      </c>
      <c r="E63" s="119">
        <v>215000</v>
      </c>
      <c r="F63" s="119">
        <f>SUM(E63)*12</f>
        <v>2580000</v>
      </c>
      <c r="G63" s="85">
        <f>+E63*12</f>
        <v>2580000</v>
      </c>
      <c r="H63" s="119">
        <f>+E63*12*1</f>
        <v>2580000</v>
      </c>
      <c r="I63" s="85">
        <f>+H63*1.05</f>
        <v>2709000</v>
      </c>
      <c r="J63" s="119">
        <f>+I63*1</f>
        <v>2709000</v>
      </c>
    </row>
    <row r="64" spans="2:10" ht="16" x14ac:dyDescent="0.2">
      <c r="B64" s="788"/>
      <c r="C64" s="107">
        <v>1</v>
      </c>
      <c r="D64" s="109" t="s">
        <v>114</v>
      </c>
      <c r="E64" s="119">
        <v>20000</v>
      </c>
      <c r="F64" s="119">
        <f>SUM(E64)*12</f>
        <v>240000</v>
      </c>
      <c r="G64" s="85">
        <f>+E64*6</f>
        <v>120000</v>
      </c>
      <c r="H64" s="119">
        <f>+E64*12*1</f>
        <v>240000</v>
      </c>
      <c r="I64" s="85">
        <f>+H64*1.05</f>
        <v>252000</v>
      </c>
      <c r="J64" s="119">
        <f>+I64*1</f>
        <v>252000</v>
      </c>
    </row>
    <row r="65" spans="2:10" ht="16" x14ac:dyDescent="0.2">
      <c r="B65" s="788"/>
      <c r="C65" s="107"/>
      <c r="D65" s="113" t="s">
        <v>115</v>
      </c>
      <c r="E65" s="120">
        <f>+E63*20%</f>
        <v>43000</v>
      </c>
      <c r="F65" s="120">
        <f>SUM(F63)*0.2</f>
        <v>516000</v>
      </c>
      <c r="G65" s="114">
        <f>+G63*20%</f>
        <v>516000</v>
      </c>
      <c r="H65" s="120">
        <f>+H63*20%</f>
        <v>516000</v>
      </c>
      <c r="I65" s="114">
        <f>+I63*20%</f>
        <v>541800</v>
      </c>
      <c r="J65" s="120">
        <f>+J63*20%</f>
        <v>541800</v>
      </c>
    </row>
    <row r="66" spans="2:10" ht="16" x14ac:dyDescent="0.2">
      <c r="B66" s="781" t="s">
        <v>295</v>
      </c>
      <c r="C66" s="106"/>
      <c r="D66" s="108" t="s">
        <v>113</v>
      </c>
      <c r="E66" s="121">
        <v>205000</v>
      </c>
      <c r="F66" s="121"/>
      <c r="G66" s="80"/>
      <c r="H66" s="121">
        <f>+E66*12*C67*1</f>
        <v>4920000</v>
      </c>
      <c r="I66" s="80">
        <f>+H66*1.05</f>
        <v>5166000</v>
      </c>
      <c r="J66" s="121">
        <f>+I66*1</f>
        <v>5166000</v>
      </c>
    </row>
    <row r="67" spans="2:10" ht="16" x14ac:dyDescent="0.2">
      <c r="B67" s="782"/>
      <c r="C67" s="106">
        <v>2</v>
      </c>
      <c r="D67" s="108" t="s">
        <v>114</v>
      </c>
      <c r="E67" s="121">
        <v>15000</v>
      </c>
      <c r="F67" s="121"/>
      <c r="G67" s="80"/>
      <c r="H67" s="121">
        <f>+E67*C67*1*12</f>
        <v>360000</v>
      </c>
      <c r="I67" s="80">
        <f>+H67*1.05</f>
        <v>378000</v>
      </c>
      <c r="J67" s="121">
        <f>+I67*1</f>
        <v>378000</v>
      </c>
    </row>
    <row r="68" spans="2:10" ht="16" x14ac:dyDescent="0.2">
      <c r="B68" s="782"/>
      <c r="C68" s="106"/>
      <c r="D68" s="111" t="s">
        <v>115</v>
      </c>
      <c r="E68" s="122">
        <f>+E66*20%</f>
        <v>41000</v>
      </c>
      <c r="F68" s="122"/>
      <c r="G68" s="115"/>
      <c r="H68" s="122">
        <f>+H66*20%</f>
        <v>984000</v>
      </c>
      <c r="I68" s="115">
        <f>+I66*20%</f>
        <v>1033200</v>
      </c>
      <c r="J68" s="122">
        <f>+J66*20%</f>
        <v>1033200</v>
      </c>
    </row>
    <row r="69" spans="2:10" ht="16" x14ac:dyDescent="0.2">
      <c r="B69" s="788" t="s">
        <v>124</v>
      </c>
      <c r="C69" s="107"/>
      <c r="D69" s="109" t="s">
        <v>113</v>
      </c>
      <c r="E69" s="119">
        <v>190000</v>
      </c>
      <c r="F69" s="119"/>
      <c r="G69" s="85">
        <f>+E69*C70*8</f>
        <v>1520000</v>
      </c>
      <c r="H69" s="119">
        <f>+E69*C70*12*1</f>
        <v>2280000</v>
      </c>
      <c r="I69" s="85">
        <f>+H69*1.05</f>
        <v>2394000</v>
      </c>
      <c r="J69" s="119">
        <f>+I69*1</f>
        <v>2394000</v>
      </c>
    </row>
    <row r="70" spans="2:10" ht="16" x14ac:dyDescent="0.2">
      <c r="B70" s="788"/>
      <c r="C70" s="107">
        <v>1</v>
      </c>
      <c r="D70" s="109" t="s">
        <v>114</v>
      </c>
      <c r="E70" s="119">
        <v>15000</v>
      </c>
      <c r="F70" s="119"/>
      <c r="G70" s="85">
        <f>+E70*C70*8</f>
        <v>120000</v>
      </c>
      <c r="H70" s="119">
        <f>+E70*1*12</f>
        <v>180000</v>
      </c>
      <c r="I70" s="85">
        <f>+H70*1.05</f>
        <v>189000</v>
      </c>
      <c r="J70" s="119">
        <f>+I70*1</f>
        <v>189000</v>
      </c>
    </row>
    <row r="71" spans="2:10" ht="16" x14ac:dyDescent="0.2">
      <c r="B71" s="788"/>
      <c r="C71" s="107"/>
      <c r="D71" s="113" t="s">
        <v>115</v>
      </c>
      <c r="E71" s="120">
        <f>+E69*20%</f>
        <v>38000</v>
      </c>
      <c r="F71" s="120"/>
      <c r="G71" s="114">
        <f>+G69*20%</f>
        <v>304000</v>
      </c>
      <c r="H71" s="120">
        <f>+H69*20%</f>
        <v>456000</v>
      </c>
      <c r="I71" s="114">
        <f>+I69*20%</f>
        <v>478800</v>
      </c>
      <c r="J71" s="120">
        <f>+J69*20%</f>
        <v>478800</v>
      </c>
    </row>
    <row r="72" spans="2:10" ht="16" x14ac:dyDescent="0.2">
      <c r="B72" s="782" t="s">
        <v>125</v>
      </c>
      <c r="C72" s="106"/>
      <c r="D72" s="108" t="s">
        <v>113</v>
      </c>
      <c r="E72" s="121">
        <v>125000</v>
      </c>
      <c r="F72" s="121"/>
      <c r="G72" s="80"/>
      <c r="H72" s="121">
        <f>+E72*1*12</f>
        <v>1500000</v>
      </c>
      <c r="I72" s="80">
        <f>+H72*1.05</f>
        <v>1575000</v>
      </c>
      <c r="J72" s="121">
        <f>+I72*1</f>
        <v>1575000</v>
      </c>
    </row>
    <row r="73" spans="2:10" ht="16" x14ac:dyDescent="0.2">
      <c r="B73" s="782"/>
      <c r="C73" s="106">
        <v>1</v>
      </c>
      <c r="D73" s="108" t="s">
        <v>114</v>
      </c>
      <c r="E73" s="121">
        <v>15000</v>
      </c>
      <c r="F73" s="121"/>
      <c r="G73" s="80"/>
      <c r="H73" s="121">
        <f>+E73*12*1</f>
        <v>180000</v>
      </c>
      <c r="I73" s="80">
        <f>+H73*1.05</f>
        <v>189000</v>
      </c>
      <c r="J73" s="121">
        <f>+I73*1</f>
        <v>189000</v>
      </c>
    </row>
    <row r="74" spans="2:10" ht="16" x14ac:dyDescent="0.2">
      <c r="B74" s="782"/>
      <c r="C74" s="106"/>
      <c r="D74" s="111" t="s">
        <v>115</v>
      </c>
      <c r="E74" s="122">
        <f>+E72*20%</f>
        <v>25000</v>
      </c>
      <c r="F74" s="122"/>
      <c r="G74" s="115"/>
      <c r="H74" s="122">
        <f>+H72*20%</f>
        <v>300000</v>
      </c>
      <c r="I74" s="115">
        <f>+I72*20%</f>
        <v>315000</v>
      </c>
      <c r="J74" s="122">
        <f>+J72*20%</f>
        <v>315000</v>
      </c>
    </row>
    <row r="75" spans="2:10" ht="16" x14ac:dyDescent="0.2">
      <c r="B75" s="794" t="s">
        <v>800</v>
      </c>
      <c r="C75" s="107"/>
      <c r="D75" s="109" t="s">
        <v>113</v>
      </c>
      <c r="E75" s="119">
        <v>125000</v>
      </c>
      <c r="F75" s="119"/>
      <c r="G75" s="85">
        <f>+E75*C76*8</f>
        <v>2000000</v>
      </c>
      <c r="H75" s="119">
        <f>+E75*C76*12*1</f>
        <v>3000000</v>
      </c>
      <c r="I75" s="85">
        <f>+H75*1.05</f>
        <v>3150000</v>
      </c>
      <c r="J75" s="119">
        <f>+I75*1</f>
        <v>3150000</v>
      </c>
    </row>
    <row r="76" spans="2:10" ht="16" x14ac:dyDescent="0.2">
      <c r="B76" s="788"/>
      <c r="C76" s="107">
        <v>2</v>
      </c>
      <c r="D76" s="109" t="s">
        <v>114</v>
      </c>
      <c r="E76" s="119">
        <v>25000</v>
      </c>
      <c r="F76" s="119"/>
      <c r="G76" s="85">
        <f>+E76*C76*8</f>
        <v>400000</v>
      </c>
      <c r="H76" s="119">
        <f>+E76*C76*12*1</f>
        <v>600000</v>
      </c>
      <c r="I76" s="85">
        <f>+H76*1.05</f>
        <v>630000</v>
      </c>
      <c r="J76" s="119">
        <f>+I76*1</f>
        <v>630000</v>
      </c>
    </row>
    <row r="77" spans="2:10" ht="16" x14ac:dyDescent="0.2">
      <c r="B77" s="788"/>
      <c r="C77" s="107"/>
      <c r="D77" s="113" t="s">
        <v>115</v>
      </c>
      <c r="E77" s="120">
        <f>+E75*20%</f>
        <v>25000</v>
      </c>
      <c r="F77" s="120"/>
      <c r="G77" s="114">
        <f>+G75*20%</f>
        <v>400000</v>
      </c>
      <c r="H77" s="120">
        <f>+H75*20%</f>
        <v>600000</v>
      </c>
      <c r="I77" s="114">
        <f>+I75*20%</f>
        <v>630000</v>
      </c>
      <c r="J77" s="120">
        <f>+J75*20%</f>
        <v>630000</v>
      </c>
    </row>
    <row r="78" spans="2:10" ht="16" x14ac:dyDescent="0.2">
      <c r="B78" s="781" t="s">
        <v>293</v>
      </c>
      <c r="C78" s="106"/>
      <c r="D78" s="108" t="s">
        <v>113</v>
      </c>
      <c r="E78" s="124">
        <v>70000</v>
      </c>
      <c r="F78" s="124">
        <f>SUM(E78)*2*12</f>
        <v>1680000</v>
      </c>
      <c r="G78" s="84">
        <f>+E78*C79*8</f>
        <v>2240000</v>
      </c>
      <c r="H78" s="124">
        <f>+E78*C79*1*12</f>
        <v>3360000</v>
      </c>
      <c r="I78" s="84">
        <f>+H78*1.05</f>
        <v>3528000</v>
      </c>
      <c r="J78" s="124">
        <f>+I78*1</f>
        <v>3528000</v>
      </c>
    </row>
    <row r="79" spans="2:10" ht="16" x14ac:dyDescent="0.2">
      <c r="B79" s="782"/>
      <c r="C79" s="106">
        <v>4</v>
      </c>
      <c r="D79" s="108" t="s">
        <v>114</v>
      </c>
      <c r="E79" s="124">
        <v>10000</v>
      </c>
      <c r="F79" s="124">
        <f>SUM(E79)*2*12</f>
        <v>240000</v>
      </c>
      <c r="G79" s="84">
        <f>+E79*C79*8</f>
        <v>320000</v>
      </c>
      <c r="H79" s="124">
        <f>+E79*C79*12*1</f>
        <v>480000</v>
      </c>
      <c r="I79" s="84">
        <f>+H79*1.05</f>
        <v>504000</v>
      </c>
      <c r="J79" s="124">
        <f>+I79*1</f>
        <v>504000</v>
      </c>
    </row>
    <row r="80" spans="2:10" ht="16" x14ac:dyDescent="0.2">
      <c r="B80" s="782"/>
      <c r="C80" s="106"/>
      <c r="D80" s="111" t="s">
        <v>115</v>
      </c>
      <c r="E80" s="125">
        <f>+E78*20%</f>
        <v>14000</v>
      </c>
      <c r="F80" s="125">
        <f>SUM(F78)*0.2</f>
        <v>336000</v>
      </c>
      <c r="G80" s="133">
        <f>+G78*20%</f>
        <v>448000</v>
      </c>
      <c r="H80" s="125">
        <f>+H78*20%</f>
        <v>672000</v>
      </c>
      <c r="I80" s="133">
        <f>+I78*20%</f>
        <v>705600</v>
      </c>
      <c r="J80" s="125">
        <f>+J78*20%</f>
        <v>705600</v>
      </c>
    </row>
    <row r="81" spans="2:10" ht="16" x14ac:dyDescent="0.2">
      <c r="B81" s="788" t="s">
        <v>121</v>
      </c>
      <c r="C81" s="107"/>
      <c r="D81" s="109" t="s">
        <v>113</v>
      </c>
      <c r="E81" s="119">
        <v>100000</v>
      </c>
      <c r="F81" s="119"/>
      <c r="G81" s="85">
        <f>+E81*C82*8</f>
        <v>0</v>
      </c>
      <c r="H81" s="119">
        <f>+E81*C82*12</f>
        <v>0</v>
      </c>
      <c r="I81" s="85">
        <f>+H81*1.1</f>
        <v>0</v>
      </c>
      <c r="J81" s="119">
        <f>+I81*1.1</f>
        <v>0</v>
      </c>
    </row>
    <row r="82" spans="2:10" ht="16" x14ac:dyDescent="0.2">
      <c r="B82" s="788"/>
      <c r="C82" s="107"/>
      <c r="D82" s="109" t="s">
        <v>114</v>
      </c>
      <c r="E82" s="119">
        <v>10000</v>
      </c>
      <c r="F82" s="119"/>
      <c r="G82" s="85">
        <f>+E82*C82*8</f>
        <v>0</v>
      </c>
      <c r="H82" s="119">
        <f>+E82*C82*12*1.1</f>
        <v>0</v>
      </c>
      <c r="I82" s="85">
        <f>+H82*1.05</f>
        <v>0</v>
      </c>
      <c r="J82" s="119">
        <f>+I82*1.05</f>
        <v>0</v>
      </c>
    </row>
    <row r="83" spans="2:10" ht="16" x14ac:dyDescent="0.2">
      <c r="B83" s="788"/>
      <c r="C83" s="107"/>
      <c r="D83" s="113" t="s">
        <v>115</v>
      </c>
      <c r="E83" s="120">
        <f>+E81*20%</f>
        <v>20000</v>
      </c>
      <c r="F83" s="120"/>
      <c r="G83" s="114">
        <f>+G81*20%</f>
        <v>0</v>
      </c>
      <c r="H83" s="120">
        <f>+H81*20%</f>
        <v>0</v>
      </c>
      <c r="I83" s="114">
        <f>+I81*20%</f>
        <v>0</v>
      </c>
      <c r="J83" s="120">
        <f>+J81*20%</f>
        <v>0</v>
      </c>
    </row>
    <row r="84" spans="2:10" ht="16" x14ac:dyDescent="0.2">
      <c r="B84" s="804" t="s">
        <v>292</v>
      </c>
      <c r="C84" s="106"/>
      <c r="D84" s="108" t="s">
        <v>113</v>
      </c>
      <c r="E84" s="124">
        <v>100000</v>
      </c>
      <c r="F84" s="124"/>
      <c r="G84" s="84">
        <f>+E84*C85*12</f>
        <v>4800000</v>
      </c>
      <c r="H84" s="124">
        <f>+E84*C85*12*1</f>
        <v>4800000</v>
      </c>
      <c r="I84" s="84">
        <f>+H84*1.05</f>
        <v>5040000</v>
      </c>
      <c r="J84" s="124">
        <f>+I84*1</f>
        <v>5040000</v>
      </c>
    </row>
    <row r="85" spans="2:10" ht="16" x14ac:dyDescent="0.2">
      <c r="B85" s="805"/>
      <c r="C85" s="106">
        <v>4</v>
      </c>
      <c r="D85" s="108" t="s">
        <v>114</v>
      </c>
      <c r="E85" s="124">
        <v>10000</v>
      </c>
      <c r="F85" s="124"/>
      <c r="G85" s="84">
        <f>+E85*C85*12</f>
        <v>480000</v>
      </c>
      <c r="H85" s="124">
        <f>+E85*C85*12*1</f>
        <v>480000</v>
      </c>
      <c r="I85" s="84">
        <f>+H85*1.05</f>
        <v>504000</v>
      </c>
      <c r="J85" s="124">
        <f>+I85*1</f>
        <v>504000</v>
      </c>
    </row>
    <row r="86" spans="2:10" ht="16" x14ac:dyDescent="0.2">
      <c r="B86" s="805"/>
      <c r="C86" s="106"/>
      <c r="D86" s="111" t="s">
        <v>115</v>
      </c>
      <c r="E86" s="125">
        <f>+E84*20%</f>
        <v>20000</v>
      </c>
      <c r="F86" s="125"/>
      <c r="G86" s="133">
        <f>+G84*20%</f>
        <v>960000</v>
      </c>
      <c r="H86" s="125">
        <f>+H84*20%</f>
        <v>960000</v>
      </c>
      <c r="I86" s="133">
        <f>+I84*20%</f>
        <v>1008000</v>
      </c>
      <c r="J86" s="125">
        <f>+J84*20%</f>
        <v>1008000</v>
      </c>
    </row>
    <row r="87" spans="2:10" ht="16" x14ac:dyDescent="0.2">
      <c r="B87" s="806" t="s">
        <v>802</v>
      </c>
      <c r="C87" s="107"/>
      <c r="D87" s="109" t="s">
        <v>113</v>
      </c>
      <c r="E87" s="119">
        <v>70000</v>
      </c>
      <c r="F87" s="119">
        <f>SUM(E87)*4*12</f>
        <v>3360000</v>
      </c>
      <c r="G87" s="85">
        <f>+E87*C88*12</f>
        <v>6720000</v>
      </c>
      <c r="H87" s="119">
        <f>+E87*C88*12*1</f>
        <v>6720000</v>
      </c>
      <c r="I87" s="85">
        <f>+H87*1.05</f>
        <v>7056000</v>
      </c>
      <c r="J87" s="119">
        <f>+I87*1</f>
        <v>7056000</v>
      </c>
    </row>
    <row r="88" spans="2:10" ht="16" x14ac:dyDescent="0.2">
      <c r="B88" s="807"/>
      <c r="C88" s="107">
        <v>8</v>
      </c>
      <c r="D88" s="109" t="s">
        <v>114</v>
      </c>
      <c r="E88" s="119">
        <v>5000</v>
      </c>
      <c r="F88" s="119">
        <f>SUM(E88)*4*12</f>
        <v>240000</v>
      </c>
      <c r="G88" s="85">
        <f>+E88*C88*8</f>
        <v>320000</v>
      </c>
      <c r="H88" s="119">
        <f>+E88*C88*12*1</f>
        <v>480000</v>
      </c>
      <c r="I88" s="85">
        <f>+H88*1.05</f>
        <v>504000</v>
      </c>
      <c r="J88" s="119">
        <f>+I88*1</f>
        <v>504000</v>
      </c>
    </row>
    <row r="89" spans="2:10" ht="16" x14ac:dyDescent="0.2">
      <c r="B89" s="807"/>
      <c r="C89" s="107"/>
      <c r="D89" s="113" t="s">
        <v>115</v>
      </c>
      <c r="E89" s="120">
        <f>+E87*20%</f>
        <v>14000</v>
      </c>
      <c r="F89" s="120">
        <f>SUM(F87)*0.2</f>
        <v>672000</v>
      </c>
      <c r="G89" s="114">
        <f>+G87*20%</f>
        <v>1344000</v>
      </c>
      <c r="H89" s="120">
        <f>+H87*20%</f>
        <v>1344000</v>
      </c>
      <c r="I89" s="114">
        <f>+I87*20%</f>
        <v>1411200</v>
      </c>
      <c r="J89" s="120">
        <f>+J87*20%</f>
        <v>1411200</v>
      </c>
    </row>
    <row r="90" spans="2:10" ht="16" x14ac:dyDescent="0.2">
      <c r="B90" s="782" t="s">
        <v>123</v>
      </c>
      <c r="C90" s="106"/>
      <c r="D90" s="108" t="s">
        <v>113</v>
      </c>
      <c r="E90" s="124">
        <v>65000</v>
      </c>
      <c r="F90" s="124">
        <f>SUM(E90)*12</f>
        <v>780000</v>
      </c>
      <c r="G90" s="84">
        <f>+E90*C91*12</f>
        <v>1560000</v>
      </c>
      <c r="H90" s="124">
        <f>+E90*C91*12*1</f>
        <v>1560000</v>
      </c>
      <c r="I90" s="84">
        <f>+H90*1.05</f>
        <v>1638000</v>
      </c>
      <c r="J90" s="124">
        <f>+I90*1</f>
        <v>1638000</v>
      </c>
    </row>
    <row r="91" spans="2:10" ht="16" x14ac:dyDescent="0.2">
      <c r="B91" s="782"/>
      <c r="C91" s="106">
        <v>2</v>
      </c>
      <c r="D91" s="108" t="s">
        <v>114</v>
      </c>
      <c r="E91" s="124">
        <v>5000</v>
      </c>
      <c r="F91" s="124">
        <f>SUM(E91)*12</f>
        <v>60000</v>
      </c>
      <c r="G91" s="84">
        <f>+E91*C91*12</f>
        <v>120000</v>
      </c>
      <c r="H91" s="124">
        <f>+E91*C91*12*1</f>
        <v>120000</v>
      </c>
      <c r="I91" s="84">
        <f>+H91*1.05</f>
        <v>126000</v>
      </c>
      <c r="J91" s="124">
        <f>+I91*1</f>
        <v>126000</v>
      </c>
    </row>
    <row r="92" spans="2:10" ht="16" x14ac:dyDescent="0.2">
      <c r="B92" s="782"/>
      <c r="C92" s="106"/>
      <c r="D92" s="111" t="s">
        <v>115</v>
      </c>
      <c r="E92" s="125">
        <f>+E90*20%</f>
        <v>13000</v>
      </c>
      <c r="F92" s="125">
        <f>SUM(F90)*0.2</f>
        <v>156000</v>
      </c>
      <c r="G92" s="133">
        <f>+G90*20%</f>
        <v>312000</v>
      </c>
      <c r="H92" s="125">
        <f>+H90*20%</f>
        <v>312000</v>
      </c>
      <c r="I92" s="133">
        <f>+I90*20%</f>
        <v>327600</v>
      </c>
      <c r="J92" s="125">
        <f>+J90*20%</f>
        <v>327600</v>
      </c>
    </row>
    <row r="93" spans="2:10" ht="16" x14ac:dyDescent="0.2">
      <c r="B93" s="788"/>
      <c r="C93" s="107"/>
      <c r="D93" s="109"/>
      <c r="E93" s="119"/>
      <c r="F93" s="119"/>
      <c r="G93" s="85"/>
      <c r="H93" s="119"/>
      <c r="I93" s="85"/>
      <c r="J93" s="119"/>
    </row>
    <row r="94" spans="2:10" ht="16" x14ac:dyDescent="0.2">
      <c r="B94" s="788"/>
      <c r="C94" s="107"/>
      <c r="D94" s="109"/>
      <c r="E94" s="119"/>
      <c r="F94" s="119"/>
      <c r="G94" s="85"/>
      <c r="H94" s="119"/>
      <c r="I94" s="85"/>
      <c r="J94" s="119"/>
    </row>
    <row r="95" spans="2:10" ht="16" x14ac:dyDescent="0.2">
      <c r="B95" s="788"/>
      <c r="C95" s="107"/>
      <c r="D95" s="113"/>
      <c r="E95" s="120"/>
      <c r="F95" s="120"/>
      <c r="G95" s="114"/>
      <c r="H95" s="120"/>
      <c r="I95" s="114"/>
      <c r="J95" s="120"/>
    </row>
    <row r="96" spans="2:10" ht="16" x14ac:dyDescent="0.2">
      <c r="B96" s="134"/>
      <c r="C96" s="106"/>
      <c r="D96" s="108"/>
      <c r="E96" s="124"/>
      <c r="F96" s="124"/>
      <c r="G96" s="84"/>
      <c r="H96" s="124"/>
      <c r="I96" s="84"/>
      <c r="J96" s="124"/>
    </row>
    <row r="97" spans="2:10" ht="16" x14ac:dyDescent="0.2">
      <c r="B97" s="134"/>
      <c r="C97" s="106"/>
      <c r="D97" s="111"/>
      <c r="E97" s="125"/>
      <c r="F97" s="125"/>
      <c r="G97" s="133"/>
      <c r="H97" s="125"/>
      <c r="I97" s="133"/>
      <c r="J97" s="125"/>
    </row>
    <row r="98" spans="2:10" ht="16" x14ac:dyDescent="0.2">
      <c r="B98" s="134"/>
      <c r="C98" s="106"/>
      <c r="D98" s="111"/>
      <c r="E98" s="125"/>
      <c r="F98" s="125"/>
      <c r="G98" s="133"/>
      <c r="H98" s="125"/>
      <c r="I98" s="133"/>
      <c r="J98" s="125"/>
    </row>
    <row r="99" spans="2:10" ht="16" x14ac:dyDescent="0.2">
      <c r="B99" s="129" t="s">
        <v>120</v>
      </c>
      <c r="C99" s="130">
        <f>+SUM(C60:C98)</f>
        <v>26</v>
      </c>
      <c r="D99" s="108"/>
      <c r="E99" s="124"/>
      <c r="F99" s="124"/>
      <c r="G99" s="84"/>
      <c r="H99" s="124"/>
      <c r="I99" s="84"/>
      <c r="J99" s="124"/>
    </row>
    <row r="100" spans="2:10" ht="16" x14ac:dyDescent="0.2">
      <c r="B100" s="798" t="s">
        <v>119</v>
      </c>
      <c r="C100" s="799"/>
      <c r="D100" s="799"/>
      <c r="E100" s="800"/>
      <c r="F100" s="126">
        <f>SUM(F60)+F63+F78+F87</f>
        <v>10320000</v>
      </c>
      <c r="G100" s="127">
        <f>SUM(G63+G69+G75+G78+G84+G87+G90)</f>
        <v>21420000</v>
      </c>
      <c r="H100" s="127">
        <f t="shared" ref="H100:I102" si="2">SUM(H60+H63+H66+H69+H72+H75+H78+H84+H87+H90)</f>
        <v>33420000</v>
      </c>
      <c r="I100" s="127">
        <f t="shared" si="2"/>
        <v>35091000</v>
      </c>
      <c r="J100" s="127">
        <f>SUM(J90+J87+J84+J78+J75+J72+J69+J66+J63+J60)</f>
        <v>35091000</v>
      </c>
    </row>
    <row r="101" spans="2:10" ht="16" x14ac:dyDescent="0.2">
      <c r="B101" s="798" t="s">
        <v>118</v>
      </c>
      <c r="C101" s="799"/>
      <c r="D101" s="799"/>
      <c r="E101" s="800"/>
      <c r="F101" s="126">
        <f>SUM(F91)+F88+F79+F64+F61</f>
        <v>1080000</v>
      </c>
      <c r="G101" s="126">
        <f>SUM(G64+G70+G76+G79+G85+G88+G91)</f>
        <v>1880000</v>
      </c>
      <c r="H101" s="126">
        <f t="shared" si="2"/>
        <v>3420000</v>
      </c>
      <c r="I101" s="126">
        <f t="shared" si="2"/>
        <v>3591000</v>
      </c>
      <c r="J101" s="126">
        <f>SUM(J61+J64+J67+J70+J73+J76+J79+J85+J88+J91)</f>
        <v>3591000</v>
      </c>
    </row>
    <row r="102" spans="2:10" ht="16" x14ac:dyDescent="0.2">
      <c r="B102" s="801" t="s">
        <v>798</v>
      </c>
      <c r="C102" s="802"/>
      <c r="D102" s="802"/>
      <c r="E102" s="803"/>
      <c r="F102" s="128">
        <f>SUM(F92)+F89+F80+F65+F62</f>
        <v>2220000</v>
      </c>
      <c r="G102" s="128">
        <f>SUM(G65+G71+G77+G80+G86+G89+G92)</f>
        <v>4284000</v>
      </c>
      <c r="H102" s="128">
        <f t="shared" si="2"/>
        <v>6684000</v>
      </c>
      <c r="I102" s="128">
        <f t="shared" si="2"/>
        <v>7018200</v>
      </c>
      <c r="J102" s="128">
        <f>SUM(J62+J65+J68+J71+J74+J77+J80+J86+J89+J92)</f>
        <v>7018200</v>
      </c>
    </row>
    <row r="103" spans="2:10" ht="16" x14ac:dyDescent="0.2">
      <c r="B103" s="795" t="s">
        <v>799</v>
      </c>
      <c r="C103" s="796"/>
      <c r="D103" s="796"/>
      <c r="E103" s="797"/>
      <c r="F103" s="131"/>
      <c r="G103" s="132">
        <f>+G102+G101+G100</f>
        <v>27584000</v>
      </c>
      <c r="H103" s="132">
        <f>+H102+H101+H100</f>
        <v>43524000</v>
      </c>
      <c r="I103" s="132">
        <f>+I102+I101+I100</f>
        <v>45700200</v>
      </c>
      <c r="J103" s="132">
        <f>+J102+J101+J100</f>
        <v>45700200</v>
      </c>
    </row>
    <row r="108" spans="2:10" ht="24" x14ac:dyDescent="0.3">
      <c r="B108" s="789" t="s">
        <v>307</v>
      </c>
      <c r="C108" s="790"/>
      <c r="D108" s="790"/>
      <c r="E108" s="790"/>
      <c r="F108" s="790"/>
      <c r="G108" s="790"/>
      <c r="H108" s="790"/>
      <c r="I108" s="790"/>
      <c r="J108" s="791"/>
    </row>
    <row r="109" spans="2:10" ht="16" x14ac:dyDescent="0.2">
      <c r="B109" s="89" t="s">
        <v>59</v>
      </c>
      <c r="C109" s="89" t="s">
        <v>117</v>
      </c>
      <c r="D109" s="787" t="s">
        <v>116</v>
      </c>
      <c r="E109" s="787"/>
      <c r="F109" s="89">
        <v>2026</v>
      </c>
      <c r="G109" s="89">
        <v>2027</v>
      </c>
      <c r="H109" s="89">
        <v>2028</v>
      </c>
      <c r="I109" s="89">
        <v>2029</v>
      </c>
      <c r="J109" s="89">
        <v>2030</v>
      </c>
    </row>
    <row r="110" spans="2:10" ht="16" x14ac:dyDescent="0.2">
      <c r="B110" s="785" t="s">
        <v>291</v>
      </c>
      <c r="C110" s="105"/>
      <c r="D110" s="108" t="s">
        <v>113</v>
      </c>
      <c r="E110" s="116">
        <v>225000</v>
      </c>
      <c r="F110" s="123">
        <f>SUM(E110)*12</f>
        <v>2700000</v>
      </c>
      <c r="G110" s="85">
        <f>+E110*C111*12</f>
        <v>2700000</v>
      </c>
      <c r="H110" s="123">
        <f>+E110*12</f>
        <v>2700000</v>
      </c>
      <c r="I110" s="110">
        <f>+H110*1</f>
        <v>2700000</v>
      </c>
      <c r="J110" s="123">
        <f>+I110*1.1</f>
        <v>2970000.0000000005</v>
      </c>
    </row>
    <row r="111" spans="2:10" ht="16" x14ac:dyDescent="0.2">
      <c r="B111" s="786"/>
      <c r="C111" s="106">
        <v>1</v>
      </c>
      <c r="D111" s="108" t="s">
        <v>114</v>
      </c>
      <c r="E111" s="117">
        <v>25000</v>
      </c>
      <c r="F111" s="124">
        <f>SUM(E111)*12</f>
        <v>300000</v>
      </c>
      <c r="G111" s="85">
        <f>+E111*C111*12</f>
        <v>300000</v>
      </c>
      <c r="H111" s="124">
        <f>+E111*12</f>
        <v>300000</v>
      </c>
      <c r="I111" s="110">
        <f>+H111*1</f>
        <v>300000</v>
      </c>
      <c r="J111" s="124">
        <f>+I111*1.05</f>
        <v>315000</v>
      </c>
    </row>
    <row r="112" spans="2:10" ht="16" x14ac:dyDescent="0.2">
      <c r="B112" s="786"/>
      <c r="C112" s="106"/>
      <c r="D112" s="111" t="s">
        <v>115</v>
      </c>
      <c r="E112" s="118">
        <f>+E110*20%</f>
        <v>45000</v>
      </c>
      <c r="F112" s="125">
        <f>SUM(F110)*0.2</f>
        <v>540000</v>
      </c>
      <c r="G112" s="114">
        <f>+G110*20%</f>
        <v>540000</v>
      </c>
      <c r="H112" s="118">
        <f>+H110*20%</f>
        <v>540000</v>
      </c>
      <c r="I112" s="112">
        <f>+I110*20%</f>
        <v>540000</v>
      </c>
      <c r="J112" s="118">
        <f>+J110*20%</f>
        <v>594000.00000000012</v>
      </c>
    </row>
    <row r="113" spans="2:10" ht="16" x14ac:dyDescent="0.2">
      <c r="B113" s="788" t="s">
        <v>124</v>
      </c>
      <c r="C113" s="107"/>
      <c r="D113" s="109" t="s">
        <v>113</v>
      </c>
      <c r="E113" s="119">
        <v>190000</v>
      </c>
      <c r="F113" s="119">
        <f>SUM(E113)*12</f>
        <v>2280000</v>
      </c>
      <c r="G113" s="85">
        <f>+E113*C114*12</f>
        <v>2280000</v>
      </c>
      <c r="H113" s="119">
        <f>+E113*C114*12</f>
        <v>2280000</v>
      </c>
      <c r="I113" s="85">
        <f>+H113*1</f>
        <v>2280000</v>
      </c>
      <c r="J113" s="119">
        <f>+I113*1.1</f>
        <v>2508000</v>
      </c>
    </row>
    <row r="114" spans="2:10" ht="16" x14ac:dyDescent="0.2">
      <c r="B114" s="788"/>
      <c r="C114" s="107">
        <v>1</v>
      </c>
      <c r="D114" s="109" t="s">
        <v>114</v>
      </c>
      <c r="E114" s="119">
        <v>15000</v>
      </c>
      <c r="F114" s="119">
        <f>SUM(E114)*12</f>
        <v>180000</v>
      </c>
      <c r="G114" s="85">
        <f>+E114*C114*12</f>
        <v>180000</v>
      </c>
      <c r="H114" s="119">
        <f>+E114*12</f>
        <v>180000</v>
      </c>
      <c r="I114" s="85">
        <f>+H114*1</f>
        <v>180000</v>
      </c>
      <c r="J114" s="119">
        <f>+I114*1.05</f>
        <v>189000</v>
      </c>
    </row>
    <row r="115" spans="2:10" ht="16" x14ac:dyDescent="0.2">
      <c r="B115" s="788"/>
      <c r="C115" s="107"/>
      <c r="D115" s="113" t="s">
        <v>115</v>
      </c>
      <c r="E115" s="120">
        <f>+E113*20%</f>
        <v>38000</v>
      </c>
      <c r="F115" s="120">
        <f>SUM(F113)*0.2</f>
        <v>456000</v>
      </c>
      <c r="G115" s="114">
        <f>+G113*20%</f>
        <v>456000</v>
      </c>
      <c r="H115" s="120">
        <f>+H113*20%</f>
        <v>456000</v>
      </c>
      <c r="I115" s="114">
        <f>+I113*20%</f>
        <v>456000</v>
      </c>
      <c r="J115" s="120">
        <f>+J113*20%</f>
        <v>501600</v>
      </c>
    </row>
    <row r="116" spans="2:10" ht="16" x14ac:dyDescent="0.2">
      <c r="B116" s="782" t="s">
        <v>125</v>
      </c>
      <c r="C116" s="106"/>
      <c r="D116" s="108" t="s">
        <v>113</v>
      </c>
      <c r="E116" s="121">
        <v>125000</v>
      </c>
      <c r="F116" s="121"/>
      <c r="G116" s="80"/>
      <c r="H116" s="121">
        <f>+E116*12</f>
        <v>1500000</v>
      </c>
      <c r="I116" s="80">
        <f>+H116*1</f>
        <v>1500000</v>
      </c>
      <c r="J116" s="121">
        <f>+I116*1.1</f>
        <v>1650000.0000000002</v>
      </c>
    </row>
    <row r="117" spans="2:10" ht="16" x14ac:dyDescent="0.2">
      <c r="B117" s="782"/>
      <c r="C117" s="106">
        <v>1</v>
      </c>
      <c r="D117" s="108" t="s">
        <v>114</v>
      </c>
      <c r="E117" s="121">
        <v>15000</v>
      </c>
      <c r="F117" s="121"/>
      <c r="G117" s="80"/>
      <c r="H117" s="121">
        <f>+E117*12</f>
        <v>180000</v>
      </c>
      <c r="I117" s="80">
        <f>+H117*1</f>
        <v>180000</v>
      </c>
      <c r="J117" s="121">
        <f>+I117*1.05</f>
        <v>189000</v>
      </c>
    </row>
    <row r="118" spans="2:10" ht="16" x14ac:dyDescent="0.2">
      <c r="B118" s="782"/>
      <c r="C118" s="106"/>
      <c r="D118" s="111" t="s">
        <v>115</v>
      </c>
      <c r="E118" s="122">
        <f>+E116*20%</f>
        <v>25000</v>
      </c>
      <c r="F118" s="122"/>
      <c r="G118" s="115"/>
      <c r="H118" s="122">
        <f>+H116*20%</f>
        <v>300000</v>
      </c>
      <c r="I118" s="115">
        <f>+I116*20%</f>
        <v>300000</v>
      </c>
      <c r="J118" s="122">
        <f>+J116*20%</f>
        <v>330000.00000000006</v>
      </c>
    </row>
    <row r="119" spans="2:10" ht="16" x14ac:dyDescent="0.2">
      <c r="B119" s="788" t="s">
        <v>801</v>
      </c>
      <c r="C119" s="107"/>
      <c r="D119" s="109" t="s">
        <v>113</v>
      </c>
      <c r="E119" s="119">
        <v>125000</v>
      </c>
      <c r="F119" s="119"/>
      <c r="G119" s="85"/>
      <c r="H119" s="119">
        <f>+E119*C120*12</f>
        <v>3000000</v>
      </c>
      <c r="I119" s="85">
        <f>+H119*1</f>
        <v>3000000</v>
      </c>
      <c r="J119" s="119">
        <f>+I119*1.1</f>
        <v>3300000.0000000005</v>
      </c>
    </row>
    <row r="120" spans="2:10" ht="16" x14ac:dyDescent="0.2">
      <c r="B120" s="788"/>
      <c r="C120" s="107">
        <v>2</v>
      </c>
      <c r="D120" s="109" t="s">
        <v>114</v>
      </c>
      <c r="E120" s="119">
        <v>25000</v>
      </c>
      <c r="F120" s="119"/>
      <c r="G120" s="85"/>
      <c r="H120" s="119">
        <f>+E120*C120*12</f>
        <v>600000</v>
      </c>
      <c r="I120" s="85">
        <f>+H120*1</f>
        <v>600000</v>
      </c>
      <c r="J120" s="119">
        <f>+I120*1.05</f>
        <v>630000</v>
      </c>
    </row>
    <row r="121" spans="2:10" ht="16" x14ac:dyDescent="0.2">
      <c r="B121" s="788"/>
      <c r="C121" s="107"/>
      <c r="D121" s="113" t="s">
        <v>115</v>
      </c>
      <c r="E121" s="120">
        <f>+E119*20%</f>
        <v>25000</v>
      </c>
      <c r="F121" s="120"/>
      <c r="G121" s="114"/>
      <c r="H121" s="120">
        <f>+H119*20%</f>
        <v>600000</v>
      </c>
      <c r="I121" s="114">
        <f>+I119*20%</f>
        <v>600000</v>
      </c>
      <c r="J121" s="120">
        <f>+J119*20%</f>
        <v>660000.00000000012</v>
      </c>
    </row>
    <row r="122" spans="2:10" ht="16" x14ac:dyDescent="0.2">
      <c r="B122" s="781" t="s">
        <v>296</v>
      </c>
      <c r="C122" s="106"/>
      <c r="D122" s="108" t="s">
        <v>113</v>
      </c>
      <c r="E122" s="124">
        <v>75000</v>
      </c>
      <c r="F122" s="124"/>
      <c r="G122" s="84">
        <f>+E122*C123*1</f>
        <v>300000</v>
      </c>
      <c r="H122" s="124">
        <f>+E122*C123*12</f>
        <v>3600000</v>
      </c>
      <c r="I122" s="84">
        <f>+H122*1</f>
        <v>3600000</v>
      </c>
      <c r="J122" s="124">
        <f>+I122*1.1</f>
        <v>3960000.0000000005</v>
      </c>
    </row>
    <row r="123" spans="2:10" ht="16" x14ac:dyDescent="0.2">
      <c r="B123" s="782"/>
      <c r="C123" s="106">
        <v>4</v>
      </c>
      <c r="D123" s="108" t="s">
        <v>114</v>
      </c>
      <c r="E123" s="124">
        <v>15000</v>
      </c>
      <c r="F123" s="124"/>
      <c r="G123" s="84">
        <f>+E123*C123*1</f>
        <v>60000</v>
      </c>
      <c r="H123" s="124">
        <f>+E123*C123*12</f>
        <v>720000</v>
      </c>
      <c r="I123" s="84">
        <f>+H123*1</f>
        <v>720000</v>
      </c>
      <c r="J123" s="124">
        <f>+I123*1.05</f>
        <v>756000</v>
      </c>
    </row>
    <row r="124" spans="2:10" ht="16" x14ac:dyDescent="0.2">
      <c r="B124" s="782"/>
      <c r="C124" s="106"/>
      <c r="D124" s="111" t="s">
        <v>115</v>
      </c>
      <c r="E124" s="125">
        <f>+E122*20%</f>
        <v>15000</v>
      </c>
      <c r="F124" s="125"/>
      <c r="G124" s="133">
        <f>+G122*20%</f>
        <v>60000</v>
      </c>
      <c r="H124" s="125">
        <f>+H122*20%</f>
        <v>720000</v>
      </c>
      <c r="I124" s="133">
        <f>+I122*20%</f>
        <v>720000</v>
      </c>
      <c r="J124" s="125">
        <f>+J122*20%</f>
        <v>792000.00000000012</v>
      </c>
    </row>
    <row r="125" spans="2:10" ht="16" x14ac:dyDescent="0.2">
      <c r="B125" s="806" t="s">
        <v>803</v>
      </c>
      <c r="C125" s="107"/>
      <c r="D125" s="109" t="s">
        <v>113</v>
      </c>
      <c r="E125" s="119">
        <v>75000</v>
      </c>
      <c r="F125" s="119">
        <f>SUM(E125)*4*12</f>
        <v>3600000</v>
      </c>
      <c r="G125" s="85">
        <f>+E125*C126*4</f>
        <v>2400000</v>
      </c>
      <c r="H125" s="119">
        <f>+E125*C126*12</f>
        <v>7200000</v>
      </c>
      <c r="I125" s="85">
        <f>+H125*1</f>
        <v>7200000</v>
      </c>
      <c r="J125" s="119">
        <f>+I125*1.1</f>
        <v>7920000.0000000009</v>
      </c>
    </row>
    <row r="126" spans="2:10" ht="16" x14ac:dyDescent="0.2">
      <c r="B126" s="807"/>
      <c r="C126" s="107">
        <v>8</v>
      </c>
      <c r="D126" s="109" t="s">
        <v>114</v>
      </c>
      <c r="E126" s="119">
        <v>15000</v>
      </c>
      <c r="F126" s="119">
        <f>SUM(E126)*4*12</f>
        <v>720000</v>
      </c>
      <c r="G126" s="85">
        <f>+E126*C126*3</f>
        <v>360000</v>
      </c>
      <c r="H126" s="119">
        <f>+E126*C126*12</f>
        <v>1440000</v>
      </c>
      <c r="I126" s="85">
        <f>+H126*1</f>
        <v>1440000</v>
      </c>
      <c r="J126" s="119">
        <f>+I126*1.05</f>
        <v>1512000</v>
      </c>
    </row>
    <row r="127" spans="2:10" ht="16" x14ac:dyDescent="0.2">
      <c r="B127" s="807"/>
      <c r="C127" s="107"/>
      <c r="D127" s="113" t="s">
        <v>115</v>
      </c>
      <c r="E127" s="120">
        <f>+E125*20%</f>
        <v>15000</v>
      </c>
      <c r="F127" s="120">
        <f>SUM(F125)*0.2</f>
        <v>720000</v>
      </c>
      <c r="G127" s="114">
        <f>+G125*20%</f>
        <v>480000</v>
      </c>
      <c r="H127" s="120">
        <f>+H125*20%</f>
        <v>1440000</v>
      </c>
      <c r="I127" s="114">
        <f>+I125*20%</f>
        <v>1440000</v>
      </c>
      <c r="J127" s="120">
        <f>+J125*20%</f>
        <v>1584000.0000000002</v>
      </c>
    </row>
    <row r="128" spans="2:10" ht="16" x14ac:dyDescent="0.2">
      <c r="B128" s="782" t="s">
        <v>123</v>
      </c>
      <c r="C128" s="106"/>
      <c r="D128" s="108" t="s">
        <v>113</v>
      </c>
      <c r="E128" s="124">
        <v>65000</v>
      </c>
      <c r="F128" s="124">
        <f>SUM(E128)*12</f>
        <v>780000</v>
      </c>
      <c r="G128" s="84">
        <f>+E128*C129*3</f>
        <v>390000</v>
      </c>
      <c r="H128" s="124">
        <f>+E128*C129*12</f>
        <v>1560000</v>
      </c>
      <c r="I128" s="84">
        <f>+H128*1</f>
        <v>1560000</v>
      </c>
      <c r="J128" s="124">
        <f>+I128*1.1</f>
        <v>1716000.0000000002</v>
      </c>
    </row>
    <row r="129" spans="2:10" ht="16" x14ac:dyDescent="0.2">
      <c r="B129" s="782"/>
      <c r="C129" s="106">
        <v>2</v>
      </c>
      <c r="D129" s="108" t="s">
        <v>114</v>
      </c>
      <c r="E129" s="124">
        <v>5000</v>
      </c>
      <c r="F129" s="124">
        <f>SUM(E129)*12</f>
        <v>60000</v>
      </c>
      <c r="G129" s="84">
        <f>+E129*C129*3</f>
        <v>30000</v>
      </c>
      <c r="H129" s="124">
        <f>+E129*C129*12</f>
        <v>120000</v>
      </c>
      <c r="I129" s="84">
        <f>+H129*1</f>
        <v>120000</v>
      </c>
      <c r="J129" s="124">
        <f>+I129*1.05</f>
        <v>126000</v>
      </c>
    </row>
    <row r="130" spans="2:10" ht="16" x14ac:dyDescent="0.2">
      <c r="B130" s="782"/>
      <c r="C130" s="106"/>
      <c r="D130" s="111" t="s">
        <v>115</v>
      </c>
      <c r="E130" s="125">
        <f>+E128*20%</f>
        <v>13000</v>
      </c>
      <c r="F130" s="125">
        <f>SUM(F128)*0.2</f>
        <v>156000</v>
      </c>
      <c r="G130" s="133">
        <f>+G128*20%</f>
        <v>78000</v>
      </c>
      <c r="H130" s="125">
        <f>+H128*20%</f>
        <v>312000</v>
      </c>
      <c r="I130" s="133">
        <f>+I128*20%</f>
        <v>312000</v>
      </c>
      <c r="J130" s="125">
        <f>+J128*20%</f>
        <v>343200.00000000006</v>
      </c>
    </row>
    <row r="131" spans="2:10" ht="16" x14ac:dyDescent="0.2">
      <c r="B131" s="134"/>
      <c r="C131" s="106"/>
      <c r="D131" s="111"/>
      <c r="E131" s="125"/>
      <c r="F131" s="125"/>
      <c r="G131" s="133"/>
      <c r="H131" s="125"/>
      <c r="I131" s="133"/>
      <c r="J131" s="125"/>
    </row>
    <row r="132" spans="2:10" ht="16" x14ac:dyDescent="0.2">
      <c r="B132" s="129" t="s">
        <v>120</v>
      </c>
      <c r="C132" s="130">
        <f>+SUM(C110:C131)</f>
        <v>19</v>
      </c>
      <c r="D132" s="108"/>
      <c r="E132" s="124"/>
      <c r="F132" s="124"/>
      <c r="G132" s="84"/>
      <c r="H132" s="124"/>
      <c r="I132" s="84"/>
      <c r="J132" s="124"/>
    </row>
    <row r="133" spans="2:10" ht="16" x14ac:dyDescent="0.2">
      <c r="B133" s="798" t="s">
        <v>119</v>
      </c>
      <c r="C133" s="799"/>
      <c r="D133" s="799"/>
      <c r="E133" s="800"/>
      <c r="F133" s="126">
        <f>SUM(F110+F125+F113+F128)</f>
        <v>9360000</v>
      </c>
      <c r="G133" s="127">
        <f>SUM(G110+G113+G122+G125+G128)</f>
        <v>8070000</v>
      </c>
      <c r="H133" s="127">
        <f t="shared" ref="H133:J134" si="3">SUM(H110+H113+H116+H119+H122+H125+H128)</f>
        <v>21840000</v>
      </c>
      <c r="I133" s="127">
        <f t="shared" si="3"/>
        <v>21840000</v>
      </c>
      <c r="J133" s="127">
        <f t="shared" si="3"/>
        <v>24024000</v>
      </c>
    </row>
    <row r="134" spans="2:10" ht="16" x14ac:dyDescent="0.2">
      <c r="B134" s="798" t="s">
        <v>118</v>
      </c>
      <c r="C134" s="799"/>
      <c r="D134" s="799"/>
      <c r="E134" s="800"/>
      <c r="F134" s="126">
        <f>SUM(F129+F126+F114+F111)</f>
        <v>1260000</v>
      </c>
      <c r="G134" s="126">
        <f>SUM(G111+G113+G123+G126+G129)</f>
        <v>3030000</v>
      </c>
      <c r="H134" s="126">
        <f t="shared" si="3"/>
        <v>3540000</v>
      </c>
      <c r="I134" s="126">
        <f t="shared" si="3"/>
        <v>3540000</v>
      </c>
      <c r="J134" s="126">
        <f t="shared" si="3"/>
        <v>3717000</v>
      </c>
    </row>
    <row r="135" spans="2:10" ht="16" x14ac:dyDescent="0.2">
      <c r="B135" s="801" t="s">
        <v>798</v>
      </c>
      <c r="C135" s="802"/>
      <c r="D135" s="802"/>
      <c r="E135" s="803"/>
      <c r="F135" s="128">
        <f>SUM(F130)+F127+F115+F112</f>
        <v>1872000</v>
      </c>
      <c r="G135" s="128">
        <f>SUM(G112+G115+G124+G127+G130)</f>
        <v>1614000</v>
      </c>
      <c r="H135" s="128">
        <f>SUM(H130+H127+H124+H121+H118+H115+H112)</f>
        <v>4368000</v>
      </c>
      <c r="I135" s="128">
        <f>SUM(I130+I127+I124+I121+I118+I115+I112)</f>
        <v>4368000</v>
      </c>
      <c r="J135" s="128">
        <f>SUM(J130+J127+J124+J121+J118+J115+J112)</f>
        <v>4804800</v>
      </c>
    </row>
    <row r="136" spans="2:10" ht="16" x14ac:dyDescent="0.2">
      <c r="B136" s="795" t="s">
        <v>799</v>
      </c>
      <c r="C136" s="796"/>
      <c r="D136" s="796"/>
      <c r="E136" s="797"/>
      <c r="F136" s="131"/>
      <c r="G136" s="132">
        <f>+G135+G134+G133</f>
        <v>12714000</v>
      </c>
      <c r="H136" s="132">
        <f>+H135+H134+H133</f>
        <v>29748000</v>
      </c>
      <c r="I136" s="132">
        <f>+I135+I134+I133</f>
        <v>29748000</v>
      </c>
      <c r="J136" s="132">
        <f>+J135+J134+J133</f>
        <v>32545800</v>
      </c>
    </row>
    <row r="139" spans="2:10" ht="19" thickBot="1" x14ac:dyDescent="0.25">
      <c r="B139" s="135"/>
    </row>
    <row r="140" spans="2:10" ht="24" x14ac:dyDescent="0.3">
      <c r="B140" s="813" t="s">
        <v>196</v>
      </c>
      <c r="C140" s="814"/>
      <c r="D140" s="814"/>
      <c r="E140" s="814"/>
      <c r="F140" s="814"/>
      <c r="G140" s="814"/>
      <c r="H140" s="814"/>
      <c r="I140" s="814"/>
      <c r="J140" s="815"/>
    </row>
    <row r="141" spans="2:10" ht="16" x14ac:dyDescent="0.2">
      <c r="B141" s="259" t="s">
        <v>59</v>
      </c>
      <c r="C141" s="89" t="s">
        <v>117</v>
      </c>
      <c r="D141" s="787" t="s">
        <v>804</v>
      </c>
      <c r="E141" s="787"/>
      <c r="F141" s="89">
        <v>2026</v>
      </c>
      <c r="G141" s="89">
        <v>2027</v>
      </c>
      <c r="H141" s="89">
        <v>2028</v>
      </c>
      <c r="I141" s="89">
        <v>2029</v>
      </c>
      <c r="J141" s="89">
        <v>2030</v>
      </c>
    </row>
    <row r="142" spans="2:10" ht="16" x14ac:dyDescent="0.2">
      <c r="B142" s="816" t="s">
        <v>288</v>
      </c>
      <c r="C142" s="136">
        <f>+C48</f>
        <v>15</v>
      </c>
      <c r="D142" s="79" t="s">
        <v>129</v>
      </c>
      <c r="E142" s="79"/>
      <c r="F142" s="82">
        <f>SUM(F49:F50)/10</f>
        <v>1038000</v>
      </c>
      <c r="G142" s="82">
        <f>SUM(G49:G50)/10</f>
        <v>2181000</v>
      </c>
      <c r="H142" s="82">
        <f t="shared" ref="H142:J142" si="4">SUM(H49:H50)/10</f>
        <v>2985900</v>
      </c>
      <c r="I142" s="82">
        <f t="shared" si="4"/>
        <v>4258695</v>
      </c>
      <c r="J142" s="82">
        <f t="shared" si="4"/>
        <v>4291770</v>
      </c>
    </row>
    <row r="143" spans="2:10" ht="16" x14ac:dyDescent="0.2">
      <c r="B143" s="817"/>
      <c r="C143" s="137"/>
      <c r="D143" s="334" t="s">
        <v>128</v>
      </c>
      <c r="E143" s="334"/>
      <c r="F143" s="335">
        <f>SUM(F51)/10</f>
        <v>160800</v>
      </c>
      <c r="G143" s="335">
        <f>SUM(G50)/10</f>
        <v>219000</v>
      </c>
      <c r="H143" s="335">
        <f>SUM(H51)/10</f>
        <v>697440</v>
      </c>
      <c r="I143" s="335">
        <f>SUM(I51)/10</f>
        <v>734292</v>
      </c>
      <c r="J143" s="335">
        <f>SUM(J51)/10</f>
        <v>768312</v>
      </c>
    </row>
    <row r="144" spans="2:10" ht="16" x14ac:dyDescent="0.2">
      <c r="B144" s="816" t="s">
        <v>306</v>
      </c>
      <c r="C144" s="136">
        <f>+C99</f>
        <v>26</v>
      </c>
      <c r="D144" s="79" t="s">
        <v>129</v>
      </c>
      <c r="E144" s="79"/>
      <c r="F144" s="82">
        <f>SUM(F100:F101)</f>
        <v>11400000</v>
      </c>
      <c r="G144" s="82">
        <f>+G100+G101</f>
        <v>23300000</v>
      </c>
      <c r="H144" s="82">
        <f>+H100+H101</f>
        <v>36840000</v>
      </c>
      <c r="I144" s="82">
        <f>+I100+I101</f>
        <v>38682000</v>
      </c>
      <c r="J144" s="262">
        <f>+J100+J101</f>
        <v>38682000</v>
      </c>
    </row>
    <row r="145" spans="2:12" ht="16" x14ac:dyDescent="0.2">
      <c r="B145" s="817"/>
      <c r="C145" s="137"/>
      <c r="D145" s="334" t="s">
        <v>128</v>
      </c>
      <c r="E145" s="334"/>
      <c r="F145" s="335">
        <f>SUM(F102)</f>
        <v>2220000</v>
      </c>
      <c r="G145" s="335">
        <f>+G102</f>
        <v>4284000</v>
      </c>
      <c r="H145" s="335">
        <f>+H102</f>
        <v>6684000</v>
      </c>
      <c r="I145" s="335">
        <f>+I102</f>
        <v>7018200</v>
      </c>
      <c r="J145" s="336">
        <f>+J102</f>
        <v>7018200</v>
      </c>
    </row>
    <row r="146" spans="2:12" ht="16" x14ac:dyDescent="0.2">
      <c r="B146" s="816" t="s">
        <v>307</v>
      </c>
      <c r="C146" s="136">
        <f>+C132</f>
        <v>19</v>
      </c>
      <c r="D146" s="79" t="s">
        <v>129</v>
      </c>
      <c r="E146" s="79"/>
      <c r="F146" s="82">
        <f>SUM(F133:F134)</f>
        <v>10620000</v>
      </c>
      <c r="G146" s="82">
        <f>+G133+G134</f>
        <v>11100000</v>
      </c>
      <c r="H146" s="82">
        <f>+H133+H134</f>
        <v>25380000</v>
      </c>
      <c r="I146" s="82">
        <f>+I133+I134</f>
        <v>25380000</v>
      </c>
      <c r="J146" s="262">
        <f>+J133+J134</f>
        <v>27741000</v>
      </c>
    </row>
    <row r="147" spans="2:12" ht="16" x14ac:dyDescent="0.2">
      <c r="B147" s="817"/>
      <c r="C147" s="137"/>
      <c r="D147" s="334" t="s">
        <v>128</v>
      </c>
      <c r="E147" s="334"/>
      <c r="F147" s="335">
        <f>SUM(F135)</f>
        <v>1872000</v>
      </c>
      <c r="G147" s="335">
        <f>+G135</f>
        <v>1614000</v>
      </c>
      <c r="H147" s="335">
        <f>+H135</f>
        <v>4368000</v>
      </c>
      <c r="I147" s="335">
        <f>+I135</f>
        <v>4368000</v>
      </c>
      <c r="J147" s="336">
        <f>+J135</f>
        <v>4804800</v>
      </c>
    </row>
    <row r="148" spans="2:12" ht="16" x14ac:dyDescent="0.2">
      <c r="B148" s="808" t="s">
        <v>130</v>
      </c>
      <c r="C148" s="809"/>
      <c r="D148" s="809"/>
      <c r="E148" s="810"/>
      <c r="F148" s="337">
        <f>SUM(F142)+F144+F146</f>
        <v>23058000</v>
      </c>
      <c r="G148" s="337">
        <f>SUM(G142:G142)+G144+G146</f>
        <v>36581000</v>
      </c>
      <c r="H148" s="337">
        <f t="shared" ref="H148:J149" si="5">SUM(H142)+H144+H146</f>
        <v>65205900</v>
      </c>
      <c r="I148" s="337">
        <f t="shared" si="5"/>
        <v>68320695</v>
      </c>
      <c r="J148" s="338">
        <f t="shared" si="5"/>
        <v>70714770</v>
      </c>
      <c r="L148" s="69">
        <f>SUM(J142:J147)</f>
        <v>83306082</v>
      </c>
    </row>
    <row r="149" spans="2:12" ht="16" x14ac:dyDescent="0.2">
      <c r="B149" s="811" t="s">
        <v>798</v>
      </c>
      <c r="C149" s="812"/>
      <c r="D149" s="812"/>
      <c r="E149" s="812"/>
      <c r="F149" s="444">
        <f>SUM(F143)+F145+F147</f>
        <v>4252800</v>
      </c>
      <c r="G149" s="444">
        <f>+G143+G145+G147</f>
        <v>6117000</v>
      </c>
      <c r="H149" s="444">
        <f t="shared" si="5"/>
        <v>11749440</v>
      </c>
      <c r="I149" s="444">
        <f t="shared" si="5"/>
        <v>12120492</v>
      </c>
      <c r="J149" s="445">
        <f t="shared" si="5"/>
        <v>12591312</v>
      </c>
    </row>
    <row r="150" spans="2:12" ht="17" thickBot="1" x14ac:dyDescent="0.25">
      <c r="B150" s="339" t="s">
        <v>203</v>
      </c>
      <c r="C150" s="340">
        <f>+SUM(C142:C147)</f>
        <v>60</v>
      </c>
      <c r="D150" s="792" t="s">
        <v>805</v>
      </c>
      <c r="E150" s="793"/>
      <c r="F150" s="341">
        <f>SUM(F148:F149)</f>
        <v>27310800</v>
      </c>
      <c r="G150" s="341">
        <f>+SUM(G148:G149)</f>
        <v>42698000</v>
      </c>
      <c r="H150" s="341">
        <f>+SUM(H148:H149)</f>
        <v>76955340</v>
      </c>
      <c r="I150" s="341">
        <f>+SUM(I148:I149)</f>
        <v>80441187</v>
      </c>
      <c r="J150" s="342">
        <f>+SUM(J148:J149)</f>
        <v>83306082</v>
      </c>
    </row>
    <row r="151" spans="2:12" ht="16" x14ac:dyDescent="0.2">
      <c r="B151" s="79"/>
      <c r="C151" s="79"/>
      <c r="D151" s="79"/>
      <c r="E151" s="79"/>
      <c r="F151" s="79"/>
      <c r="G151" s="79"/>
      <c r="H151" s="79"/>
      <c r="I151" s="79"/>
      <c r="J151" s="79"/>
    </row>
    <row r="152" spans="2:12" ht="16" x14ac:dyDescent="0.2">
      <c r="B152" s="79"/>
      <c r="C152" s="79"/>
      <c r="D152" s="79"/>
      <c r="E152" s="79"/>
      <c r="F152" s="79"/>
      <c r="G152" s="79"/>
      <c r="H152" s="79"/>
      <c r="I152" s="79"/>
      <c r="J152" s="79"/>
    </row>
    <row r="153" spans="2:12" ht="16" customHeight="1" x14ac:dyDescent="0.2"/>
    <row r="231" ht="18" customHeight="1" x14ac:dyDescent="0.2"/>
    <row r="232" ht="18" customHeight="1" x14ac:dyDescent="0.2"/>
    <row r="233" ht="18" customHeight="1" x14ac:dyDescent="0.2"/>
  </sheetData>
  <mergeCells count="60">
    <mergeCell ref="B148:E148"/>
    <mergeCell ref="B149:E149"/>
    <mergeCell ref="B134:E134"/>
    <mergeCell ref="B135:E135"/>
    <mergeCell ref="B136:E136"/>
    <mergeCell ref="B140:J140"/>
    <mergeCell ref="D141:E141"/>
    <mergeCell ref="B142:B143"/>
    <mergeCell ref="B144:B145"/>
    <mergeCell ref="B146:B147"/>
    <mergeCell ref="B122:B124"/>
    <mergeCell ref="B116:B118"/>
    <mergeCell ref="B125:B127"/>
    <mergeCell ref="B128:B130"/>
    <mergeCell ref="B133:E133"/>
    <mergeCell ref="B84:B86"/>
    <mergeCell ref="B87:B89"/>
    <mergeCell ref="B90:B92"/>
    <mergeCell ref="B113:B115"/>
    <mergeCell ref="B119:B121"/>
    <mergeCell ref="B58:J58"/>
    <mergeCell ref="D59:E59"/>
    <mergeCell ref="B60:B62"/>
    <mergeCell ref="D109:E109"/>
    <mergeCell ref="B110:B112"/>
    <mergeCell ref="B69:B71"/>
    <mergeCell ref="B72:B74"/>
    <mergeCell ref="B75:B77"/>
    <mergeCell ref="B78:B80"/>
    <mergeCell ref="B81:B83"/>
    <mergeCell ref="B100:E100"/>
    <mergeCell ref="B101:E101"/>
    <mergeCell ref="B102:E102"/>
    <mergeCell ref="B103:E103"/>
    <mergeCell ref="B108:J108"/>
    <mergeCell ref="B93:B95"/>
    <mergeCell ref="D150:E150"/>
    <mergeCell ref="B17:B19"/>
    <mergeCell ref="B20:B22"/>
    <mergeCell ref="B23:B25"/>
    <mergeCell ref="B32:B34"/>
    <mergeCell ref="B26:B28"/>
    <mergeCell ref="B29:B31"/>
    <mergeCell ref="B63:B65"/>
    <mergeCell ref="B66:B68"/>
    <mergeCell ref="B52:E52"/>
    <mergeCell ref="B49:E49"/>
    <mergeCell ref="B50:E50"/>
    <mergeCell ref="B51:E51"/>
    <mergeCell ref="B35:B37"/>
    <mergeCell ref="B38:B40"/>
    <mergeCell ref="B41:B43"/>
    <mergeCell ref="B14:B16"/>
    <mergeCell ref="C53:E53"/>
    <mergeCell ref="A1:G1"/>
    <mergeCell ref="B8:B10"/>
    <mergeCell ref="D7:E7"/>
    <mergeCell ref="B11:B13"/>
    <mergeCell ref="B6:J6"/>
    <mergeCell ref="B44:B46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5:J82"/>
  <sheetViews>
    <sheetView showGridLines="0" topLeftCell="C67" zoomScale="125" zoomScaleNormal="125" zoomScalePageLayoutView="130" workbookViewId="0">
      <selection activeCell="A33" sqref="A33:XFD33"/>
    </sheetView>
  </sheetViews>
  <sheetFormatPr baseColWidth="10" defaultColWidth="10.83203125" defaultRowHeight="16" x14ac:dyDescent="0.2"/>
  <cols>
    <col min="1" max="2" width="10.83203125" style="79"/>
    <col min="3" max="3" width="21.5" style="79" customWidth="1"/>
    <col min="4" max="4" width="2.1640625" style="79" customWidth="1"/>
    <col min="5" max="5" width="39.33203125" style="79" customWidth="1"/>
    <col min="6" max="10" width="17.83203125" style="79" customWidth="1"/>
    <col min="11" max="11" width="2.5" style="79" customWidth="1"/>
    <col min="12" max="16384" width="10.83203125" style="79"/>
  </cols>
  <sheetData>
    <row r="5" spans="5:10" x14ac:dyDescent="0.2">
      <c r="E5" s="818" t="s">
        <v>308</v>
      </c>
      <c r="F5" s="819"/>
      <c r="G5" s="819"/>
      <c r="H5" s="819"/>
      <c r="I5" s="819"/>
      <c r="J5" s="820"/>
    </row>
    <row r="6" spans="5:10" x14ac:dyDescent="0.2">
      <c r="E6" s="89" t="s">
        <v>79</v>
      </c>
      <c r="F6" s="143">
        <v>2026</v>
      </c>
      <c r="G6" s="143">
        <v>2027</v>
      </c>
      <c r="H6" s="143">
        <v>2028</v>
      </c>
      <c r="I6" s="143">
        <v>2029</v>
      </c>
      <c r="J6" s="143">
        <v>2030</v>
      </c>
    </row>
    <row r="7" spans="5:10" ht="17" x14ac:dyDescent="0.2">
      <c r="E7" s="325" t="s">
        <v>201</v>
      </c>
      <c r="F7" s="174">
        <f>1000*10*6</f>
        <v>60000</v>
      </c>
      <c r="G7" s="174">
        <f>SUM(F7)*2</f>
        <v>120000</v>
      </c>
      <c r="H7" s="174">
        <f t="shared" ref="H7:J8" si="0">+G7*1.1</f>
        <v>132000</v>
      </c>
      <c r="I7" s="174">
        <f t="shared" si="0"/>
        <v>145200</v>
      </c>
      <c r="J7" s="326">
        <f t="shared" si="0"/>
        <v>159720</v>
      </c>
    </row>
    <row r="8" spans="5:10" x14ac:dyDescent="0.2">
      <c r="E8" s="97" t="s">
        <v>198</v>
      </c>
      <c r="F8" s="173">
        <f>5500*12</f>
        <v>66000</v>
      </c>
      <c r="G8" s="173">
        <f>SUM(F8)*2</f>
        <v>132000</v>
      </c>
      <c r="H8" s="173">
        <f t="shared" si="0"/>
        <v>145200</v>
      </c>
      <c r="I8" s="173">
        <f t="shared" si="0"/>
        <v>159720</v>
      </c>
      <c r="J8" s="327">
        <f t="shared" si="0"/>
        <v>175692</v>
      </c>
    </row>
    <row r="9" spans="5:10" ht="17" x14ac:dyDescent="0.2">
      <c r="E9" s="325" t="s">
        <v>149</v>
      </c>
      <c r="F9" s="174">
        <f>50*500*15*6</f>
        <v>2250000</v>
      </c>
      <c r="G9" s="174">
        <f>SUM(F9)*1.2</f>
        <v>2700000</v>
      </c>
      <c r="H9" s="174">
        <f t="shared" ref="H9:J22" si="1">+G9*1.1</f>
        <v>2970000.0000000005</v>
      </c>
      <c r="I9" s="174">
        <f>+H9*1.1</f>
        <v>3267000.0000000009</v>
      </c>
      <c r="J9" s="326">
        <f>+I9*1.1</f>
        <v>3593700.0000000014</v>
      </c>
    </row>
    <row r="10" spans="5:10" ht="17" x14ac:dyDescent="0.2">
      <c r="E10" s="328" t="s">
        <v>150</v>
      </c>
      <c r="F10" s="173">
        <f>50000*6</f>
        <v>300000</v>
      </c>
      <c r="G10" s="173">
        <f t="shared" ref="G10:G22" si="2">SUM(F10)*2</f>
        <v>600000</v>
      </c>
      <c r="H10" s="173">
        <f t="shared" si="1"/>
        <v>660000</v>
      </c>
      <c r="I10" s="174">
        <f t="shared" si="1"/>
        <v>726000.00000000012</v>
      </c>
      <c r="J10" s="326">
        <f t="shared" si="1"/>
        <v>798600.00000000023</v>
      </c>
    </row>
    <row r="11" spans="5:10" ht="17" x14ac:dyDescent="0.2">
      <c r="E11" s="325" t="s">
        <v>151</v>
      </c>
      <c r="F11" s="174">
        <v>150000</v>
      </c>
      <c r="G11" s="174">
        <f t="shared" si="2"/>
        <v>300000</v>
      </c>
      <c r="H11" s="174">
        <f t="shared" si="1"/>
        <v>330000</v>
      </c>
      <c r="I11" s="173">
        <f t="shared" si="1"/>
        <v>363000.00000000006</v>
      </c>
      <c r="J11" s="327">
        <f t="shared" si="1"/>
        <v>399300.00000000012</v>
      </c>
    </row>
    <row r="12" spans="5:10" ht="17" x14ac:dyDescent="0.2">
      <c r="E12" s="328" t="s">
        <v>152</v>
      </c>
      <c r="F12" s="173">
        <f>10*500*30*6</f>
        <v>900000</v>
      </c>
      <c r="G12" s="173">
        <f t="shared" si="2"/>
        <v>1800000</v>
      </c>
      <c r="H12" s="173">
        <f t="shared" si="1"/>
        <v>1980000.0000000002</v>
      </c>
      <c r="I12" s="174">
        <f t="shared" si="1"/>
        <v>2178000.0000000005</v>
      </c>
      <c r="J12" s="326">
        <f t="shared" si="1"/>
        <v>2395800.0000000009</v>
      </c>
    </row>
    <row r="13" spans="5:10" ht="17" x14ac:dyDescent="0.2">
      <c r="E13" s="325" t="s">
        <v>153</v>
      </c>
      <c r="F13" s="174">
        <v>600000</v>
      </c>
      <c r="G13" s="174">
        <f t="shared" si="2"/>
        <v>1200000</v>
      </c>
      <c r="H13" s="174">
        <f t="shared" si="1"/>
        <v>1320000</v>
      </c>
      <c r="I13" s="174">
        <f t="shared" si="1"/>
        <v>1452000.0000000002</v>
      </c>
      <c r="J13" s="326">
        <f t="shared" si="1"/>
        <v>1597200.0000000005</v>
      </c>
    </row>
    <row r="14" spans="5:10" ht="17" x14ac:dyDescent="0.2">
      <c r="E14" s="328" t="s">
        <v>154</v>
      </c>
      <c r="F14" s="173">
        <f>+(3000*2)+(12000*3)</f>
        <v>42000</v>
      </c>
      <c r="G14" s="173">
        <f t="shared" si="2"/>
        <v>84000</v>
      </c>
      <c r="H14" s="173">
        <f t="shared" si="1"/>
        <v>92400.000000000015</v>
      </c>
      <c r="I14" s="173">
        <f t="shared" si="1"/>
        <v>101640.00000000003</v>
      </c>
      <c r="J14" s="327">
        <f t="shared" si="1"/>
        <v>111804.00000000004</v>
      </c>
    </row>
    <row r="15" spans="5:10" ht="17" x14ac:dyDescent="0.2">
      <c r="E15" s="325" t="s">
        <v>155</v>
      </c>
      <c r="F15" s="174">
        <f>2000*120</f>
        <v>240000</v>
      </c>
      <c r="G15" s="174">
        <f t="shared" si="2"/>
        <v>480000</v>
      </c>
      <c r="H15" s="174">
        <f t="shared" si="1"/>
        <v>528000</v>
      </c>
      <c r="I15" s="174">
        <f t="shared" si="1"/>
        <v>580800</v>
      </c>
      <c r="J15" s="326">
        <f t="shared" si="1"/>
        <v>638880</v>
      </c>
    </row>
    <row r="16" spans="5:10" ht="17" x14ac:dyDescent="0.2">
      <c r="E16" s="328" t="s">
        <v>156</v>
      </c>
      <c r="F16" s="173">
        <v>150000</v>
      </c>
      <c r="G16" s="173">
        <f t="shared" si="2"/>
        <v>300000</v>
      </c>
      <c r="H16" s="173">
        <f t="shared" si="1"/>
        <v>330000</v>
      </c>
      <c r="I16" s="174">
        <f t="shared" si="1"/>
        <v>363000.00000000006</v>
      </c>
      <c r="J16" s="326">
        <f t="shared" si="1"/>
        <v>399300.00000000012</v>
      </c>
    </row>
    <row r="17" spans="4:10" ht="17" x14ac:dyDescent="0.2">
      <c r="E17" s="325" t="s">
        <v>199</v>
      </c>
      <c r="F17" s="174">
        <v>500000</v>
      </c>
      <c r="G17" s="174">
        <f t="shared" si="2"/>
        <v>1000000</v>
      </c>
      <c r="H17" s="174">
        <f t="shared" si="1"/>
        <v>1100000</v>
      </c>
      <c r="I17" s="173">
        <f t="shared" si="1"/>
        <v>1210000</v>
      </c>
      <c r="J17" s="327">
        <f t="shared" si="1"/>
        <v>1331000</v>
      </c>
    </row>
    <row r="18" spans="4:10" ht="17" x14ac:dyDescent="0.2">
      <c r="E18" s="328" t="s">
        <v>157</v>
      </c>
      <c r="F18" s="173">
        <v>500000</v>
      </c>
      <c r="G18" s="173">
        <f t="shared" si="2"/>
        <v>1000000</v>
      </c>
      <c r="H18" s="173">
        <f t="shared" si="1"/>
        <v>1100000</v>
      </c>
      <c r="I18" s="174">
        <f t="shared" si="1"/>
        <v>1210000</v>
      </c>
      <c r="J18" s="326">
        <f t="shared" si="1"/>
        <v>1331000</v>
      </c>
    </row>
    <row r="19" spans="4:10" ht="17" x14ac:dyDescent="0.2">
      <c r="E19" s="325" t="s">
        <v>160</v>
      </c>
      <c r="F19" s="174">
        <v>150000</v>
      </c>
      <c r="G19" s="174">
        <f t="shared" si="2"/>
        <v>300000</v>
      </c>
      <c r="H19" s="174">
        <f t="shared" si="1"/>
        <v>330000</v>
      </c>
      <c r="I19" s="174">
        <f t="shared" si="1"/>
        <v>363000.00000000006</v>
      </c>
      <c r="J19" s="326">
        <f t="shared" si="1"/>
        <v>399300.00000000012</v>
      </c>
    </row>
    <row r="20" spans="4:10" x14ac:dyDescent="0.2">
      <c r="E20" s="329" t="s">
        <v>806</v>
      </c>
      <c r="F20" s="173">
        <v>250000</v>
      </c>
      <c r="G20" s="173">
        <f t="shared" si="2"/>
        <v>500000</v>
      </c>
      <c r="H20" s="173">
        <f t="shared" si="1"/>
        <v>550000</v>
      </c>
      <c r="I20" s="173">
        <f t="shared" si="1"/>
        <v>605000</v>
      </c>
      <c r="J20" s="327">
        <f t="shared" si="1"/>
        <v>665500</v>
      </c>
    </row>
    <row r="21" spans="4:10" ht="17" x14ac:dyDescent="0.2">
      <c r="E21" s="325" t="s">
        <v>200</v>
      </c>
      <c r="F21" s="174">
        <v>100000</v>
      </c>
      <c r="G21" s="174">
        <f t="shared" si="2"/>
        <v>200000</v>
      </c>
      <c r="H21" s="174">
        <f t="shared" si="1"/>
        <v>220000.00000000003</v>
      </c>
      <c r="I21" s="174">
        <f t="shared" si="1"/>
        <v>242000.00000000006</v>
      </c>
      <c r="J21" s="326">
        <f t="shared" si="1"/>
        <v>266200.00000000006</v>
      </c>
    </row>
    <row r="22" spans="4:10" ht="17" x14ac:dyDescent="0.2">
      <c r="E22" s="328" t="s">
        <v>158</v>
      </c>
      <c r="F22" s="173">
        <v>200000</v>
      </c>
      <c r="G22" s="173">
        <f t="shared" si="2"/>
        <v>400000</v>
      </c>
      <c r="H22" s="173">
        <f t="shared" si="1"/>
        <v>440000.00000000006</v>
      </c>
      <c r="I22" s="174">
        <f t="shared" si="1"/>
        <v>484000.00000000012</v>
      </c>
      <c r="J22" s="326">
        <f t="shared" si="1"/>
        <v>532400.00000000012</v>
      </c>
    </row>
    <row r="23" spans="4:10" ht="14.5" customHeight="1" x14ac:dyDescent="0.2">
      <c r="E23" s="97"/>
      <c r="J23" s="327">
        <f t="shared" ref="J23" si="3">+I23*1.1</f>
        <v>0</v>
      </c>
    </row>
    <row r="24" spans="4:10" x14ac:dyDescent="0.2">
      <c r="E24" s="392" t="s">
        <v>159</v>
      </c>
      <c r="F24" s="393">
        <f>SUM(F7:F22)</f>
        <v>6458000</v>
      </c>
      <c r="G24" s="393">
        <f>SUM(G7:G22)</f>
        <v>11116000</v>
      </c>
      <c r="H24" s="393">
        <f>SUM(H7:H22)</f>
        <v>12227600</v>
      </c>
      <c r="I24" s="393">
        <f>SUM(I7:I22)</f>
        <v>13450360.000000002</v>
      </c>
      <c r="J24" s="394">
        <f>SUM(J7:J22)</f>
        <v>14795396.000000004</v>
      </c>
    </row>
    <row r="25" spans="4:10" x14ac:dyDescent="0.2">
      <c r="D25" s="89"/>
      <c r="E25" s="89" t="s">
        <v>792</v>
      </c>
      <c r="F25" s="395">
        <f>SUM(F24)/10</f>
        <v>645800</v>
      </c>
      <c r="G25" s="395">
        <f>SUM(G24)/10</f>
        <v>1111600</v>
      </c>
      <c r="H25" s="395">
        <f t="shared" ref="H25:J25" si="4">SUM(H24)/10</f>
        <v>1222760</v>
      </c>
      <c r="I25" s="395">
        <f t="shared" si="4"/>
        <v>1345036.0000000002</v>
      </c>
      <c r="J25" s="395">
        <f t="shared" si="4"/>
        <v>1479539.6000000003</v>
      </c>
    </row>
    <row r="29" spans="4:10" x14ac:dyDescent="0.2">
      <c r="E29" s="818" t="s">
        <v>304</v>
      </c>
      <c r="F29" s="819"/>
      <c r="G29" s="819"/>
      <c r="H29" s="819"/>
      <c r="I29" s="819"/>
      <c r="J29" s="820"/>
    </row>
    <row r="30" spans="4:10" x14ac:dyDescent="0.2">
      <c r="E30" s="89" t="s">
        <v>79</v>
      </c>
      <c r="F30" s="143">
        <v>2026</v>
      </c>
      <c r="G30" s="143">
        <v>2027</v>
      </c>
      <c r="H30" s="143">
        <v>2028</v>
      </c>
      <c r="I30" s="143">
        <v>2029</v>
      </c>
      <c r="J30" s="143">
        <v>2030</v>
      </c>
    </row>
    <row r="31" spans="4:10" ht="17" x14ac:dyDescent="0.2">
      <c r="E31" s="325" t="s">
        <v>201</v>
      </c>
      <c r="F31" s="174">
        <f>SUM(F7)/2</f>
        <v>30000</v>
      </c>
      <c r="G31" s="174">
        <f>SUM(F31)*2</f>
        <v>60000</v>
      </c>
      <c r="H31" s="174">
        <f>+G31*1.1</f>
        <v>66000</v>
      </c>
      <c r="I31" s="174">
        <f>+H31*1.1</f>
        <v>72600</v>
      </c>
      <c r="J31" s="326">
        <f>+I31*1.1</f>
        <v>79860</v>
      </c>
    </row>
    <row r="32" spans="4:10" x14ac:dyDescent="0.2">
      <c r="E32" s="97" t="s">
        <v>198</v>
      </c>
      <c r="F32" s="173">
        <f>SUM(F8)/2</f>
        <v>33000</v>
      </c>
      <c r="G32" s="173">
        <f>SUM(F32)*2</f>
        <v>66000</v>
      </c>
      <c r="H32" s="173">
        <f>SUM(G32)*1.1</f>
        <v>72600</v>
      </c>
      <c r="I32" s="173">
        <f>+H32*1.1</f>
        <v>79860</v>
      </c>
      <c r="J32" s="327">
        <f>+I32*1.1</f>
        <v>87846</v>
      </c>
    </row>
    <row r="33" spans="5:10" x14ac:dyDescent="0.2">
      <c r="E33" s="229" t="s">
        <v>225</v>
      </c>
      <c r="F33" s="173">
        <v>500000</v>
      </c>
      <c r="G33" s="173">
        <f>SUM(F33)</f>
        <v>500000</v>
      </c>
      <c r="H33" s="173">
        <f>SUM(F33)*1.1</f>
        <v>550000</v>
      </c>
      <c r="I33" s="173">
        <f>SUM(F33)*1.1</f>
        <v>550000</v>
      </c>
      <c r="J33" s="327">
        <f>SUM(I33)*1.1</f>
        <v>605000</v>
      </c>
    </row>
    <row r="34" spans="5:10" ht="17" x14ac:dyDescent="0.2">
      <c r="E34" s="325" t="s">
        <v>149</v>
      </c>
      <c r="F34" s="174">
        <f>50*500*15*6</f>
        <v>2250000</v>
      </c>
      <c r="G34" s="174">
        <f>SUM(F34)*2</f>
        <v>4500000</v>
      </c>
      <c r="H34" s="174">
        <f t="shared" ref="H34:J36" si="5">+G34*1.1</f>
        <v>4950000</v>
      </c>
      <c r="I34" s="174">
        <f t="shared" si="5"/>
        <v>5445000</v>
      </c>
      <c r="J34" s="326">
        <f t="shared" si="5"/>
        <v>5989500.0000000009</v>
      </c>
    </row>
    <row r="35" spans="5:10" ht="17" x14ac:dyDescent="0.2">
      <c r="E35" s="328" t="s">
        <v>150</v>
      </c>
      <c r="F35" s="173">
        <f>SUM(F10)/2</f>
        <v>150000</v>
      </c>
      <c r="G35" s="173">
        <f>SUM(F35)*2</f>
        <v>300000</v>
      </c>
      <c r="H35" s="173">
        <f t="shared" si="5"/>
        <v>330000</v>
      </c>
      <c r="I35" s="173">
        <f t="shared" si="5"/>
        <v>363000.00000000006</v>
      </c>
      <c r="J35" s="327">
        <f t="shared" si="5"/>
        <v>399300.00000000012</v>
      </c>
    </row>
    <row r="36" spans="5:10" ht="17" x14ac:dyDescent="0.2">
      <c r="E36" s="325" t="s">
        <v>151</v>
      </c>
      <c r="F36" s="174">
        <f>SUM(F11)/2</f>
        <v>75000</v>
      </c>
      <c r="G36" s="174">
        <f>SUM(F36)*2</f>
        <v>150000</v>
      </c>
      <c r="H36" s="174">
        <f t="shared" si="5"/>
        <v>165000</v>
      </c>
      <c r="I36" s="174">
        <f t="shared" si="5"/>
        <v>181500.00000000003</v>
      </c>
      <c r="J36" s="326">
        <f t="shared" si="5"/>
        <v>199650.00000000006</v>
      </c>
    </row>
    <row r="37" spans="5:10" ht="17" x14ac:dyDescent="0.2">
      <c r="E37" s="328" t="s">
        <v>152</v>
      </c>
      <c r="F37" s="173">
        <f>SUM(F12)/4</f>
        <v>225000</v>
      </c>
      <c r="G37" s="173">
        <f>SUM(F37)*2</f>
        <v>450000</v>
      </c>
      <c r="H37" s="173">
        <f>SUM(G37)*1.1</f>
        <v>495000.00000000006</v>
      </c>
      <c r="I37" s="173">
        <f>+H37*1.1</f>
        <v>544500.00000000012</v>
      </c>
      <c r="J37" s="327">
        <f>+I37*1.1</f>
        <v>598950.00000000023</v>
      </c>
    </row>
    <row r="38" spans="5:10" ht="17" x14ac:dyDescent="0.2">
      <c r="E38" s="325" t="s">
        <v>153</v>
      </c>
      <c r="F38" s="174">
        <v>0</v>
      </c>
      <c r="G38" s="174">
        <v>250000</v>
      </c>
      <c r="H38" s="174">
        <f>SUM(G38)*1.1</f>
        <v>275000</v>
      </c>
      <c r="I38" s="174">
        <f>+H38*1.1</f>
        <v>302500</v>
      </c>
      <c r="J38" s="326">
        <f>+I38*1.1</f>
        <v>332750</v>
      </c>
    </row>
    <row r="39" spans="5:10" ht="17" x14ac:dyDescent="0.2">
      <c r="E39" s="328" t="s">
        <v>154</v>
      </c>
      <c r="F39" s="173">
        <v>0</v>
      </c>
      <c r="G39" s="173">
        <v>0</v>
      </c>
      <c r="H39" s="173">
        <v>0</v>
      </c>
      <c r="I39" s="173">
        <v>0</v>
      </c>
      <c r="J39" s="327">
        <v>0</v>
      </c>
    </row>
    <row r="40" spans="5:10" ht="17" x14ac:dyDescent="0.2">
      <c r="E40" s="325" t="s">
        <v>155</v>
      </c>
      <c r="F40" s="174">
        <f>SUM(F15)/2</f>
        <v>120000</v>
      </c>
      <c r="G40" s="174">
        <f>SUM(F40)*2</f>
        <v>240000</v>
      </c>
      <c r="H40" s="174">
        <f>SUM(G40)*1.1</f>
        <v>264000</v>
      </c>
      <c r="I40" s="174">
        <f t="shared" ref="I40:J43" si="6">+H40*1.1</f>
        <v>290400</v>
      </c>
      <c r="J40" s="326">
        <f t="shared" si="6"/>
        <v>319440</v>
      </c>
    </row>
    <row r="41" spans="5:10" ht="17" x14ac:dyDescent="0.2">
      <c r="E41" s="328" t="s">
        <v>156</v>
      </c>
      <c r="F41" s="173">
        <f>SUM(F16)/2</f>
        <v>75000</v>
      </c>
      <c r="G41" s="173">
        <f>SUM(F41*2)</f>
        <v>150000</v>
      </c>
      <c r="H41" s="173">
        <f>+G41*1.1</f>
        <v>165000</v>
      </c>
      <c r="I41" s="173">
        <f t="shared" si="6"/>
        <v>181500.00000000003</v>
      </c>
      <c r="J41" s="327">
        <f t="shared" si="6"/>
        <v>199650.00000000006</v>
      </c>
    </row>
    <row r="42" spans="5:10" ht="17" x14ac:dyDescent="0.2">
      <c r="E42" s="325" t="s">
        <v>157</v>
      </c>
      <c r="F42" s="174">
        <f>SUM(F18)/4</f>
        <v>125000</v>
      </c>
      <c r="G42" s="174">
        <f>SUM(F42)*2</f>
        <v>250000</v>
      </c>
      <c r="H42" s="174">
        <f>+G42*1.1</f>
        <v>275000</v>
      </c>
      <c r="I42" s="174">
        <f t="shared" si="6"/>
        <v>302500</v>
      </c>
      <c r="J42" s="326">
        <f t="shared" si="6"/>
        <v>332750</v>
      </c>
    </row>
    <row r="43" spans="5:10" ht="17" x14ac:dyDescent="0.2">
      <c r="E43" s="328" t="s">
        <v>160</v>
      </c>
      <c r="F43" s="173">
        <v>0</v>
      </c>
      <c r="G43" s="173">
        <v>0</v>
      </c>
      <c r="H43" s="173">
        <f>+G43*1.1</f>
        <v>0</v>
      </c>
      <c r="I43" s="173">
        <f t="shared" si="6"/>
        <v>0</v>
      </c>
      <c r="J43" s="327">
        <f t="shared" si="6"/>
        <v>0</v>
      </c>
    </row>
    <row r="44" spans="5:10" ht="17" x14ac:dyDescent="0.2">
      <c r="E44" s="325" t="s">
        <v>161</v>
      </c>
      <c r="F44" s="174">
        <f>+'CA Elevage'!C220</f>
        <v>0</v>
      </c>
      <c r="G44" s="174">
        <v>0</v>
      </c>
      <c r="H44" s="174">
        <f>SUM(G44)*1.3</f>
        <v>0</v>
      </c>
      <c r="I44" s="174">
        <f>SUM(H44)*2</f>
        <v>0</v>
      </c>
      <c r="J44" s="326">
        <f>SUM(I44)*1.3</f>
        <v>0</v>
      </c>
    </row>
    <row r="45" spans="5:10" ht="17" x14ac:dyDescent="0.2">
      <c r="E45" s="328" t="s">
        <v>200</v>
      </c>
      <c r="F45" s="173">
        <f>SUM(F21)/2</f>
        <v>50000</v>
      </c>
      <c r="G45" s="173">
        <f>SUM(F45)*2</f>
        <v>100000</v>
      </c>
      <c r="H45" s="173">
        <f>SUM(G45)*1.1</f>
        <v>110000.00000000001</v>
      </c>
      <c r="I45" s="173">
        <f>+H45*1.1</f>
        <v>121000.00000000003</v>
      </c>
      <c r="J45" s="327">
        <f>+I45*1.1</f>
        <v>133100.00000000003</v>
      </c>
    </row>
    <row r="46" spans="5:10" ht="17" x14ac:dyDescent="0.2">
      <c r="E46" s="325" t="s">
        <v>158</v>
      </c>
      <c r="F46" s="174">
        <f>SUM(F22)/2</f>
        <v>100000</v>
      </c>
      <c r="G46" s="174">
        <f>SUM(F46)*2</f>
        <v>200000</v>
      </c>
      <c r="H46" s="174">
        <f>+G46*1.1</f>
        <v>220000.00000000003</v>
      </c>
      <c r="I46" s="174">
        <f>+H46*1.1</f>
        <v>242000.00000000006</v>
      </c>
      <c r="J46" s="326">
        <f>+I46*1.1</f>
        <v>266200.00000000006</v>
      </c>
    </row>
    <row r="47" spans="5:10" x14ac:dyDescent="0.2">
      <c r="E47" s="97"/>
      <c r="F47" s="173"/>
      <c r="G47" s="173"/>
      <c r="H47" s="173"/>
      <c r="I47" s="173"/>
      <c r="J47" s="327"/>
    </row>
    <row r="48" spans="5:10" x14ac:dyDescent="0.2">
      <c r="E48" s="330" t="s">
        <v>159</v>
      </c>
      <c r="F48" s="331">
        <f>SUM(F31:F47)</f>
        <v>3733000</v>
      </c>
      <c r="G48" s="331">
        <f>SUM(G31:G47)</f>
        <v>7216000</v>
      </c>
      <c r="H48" s="331">
        <f>SUM(H31:H47)</f>
        <v>7937600</v>
      </c>
      <c r="I48" s="331">
        <f>SUM(I31:I47)</f>
        <v>8676360</v>
      </c>
      <c r="J48" s="332">
        <f>SUM(J31:J47)</f>
        <v>9543996</v>
      </c>
    </row>
    <row r="53" spans="5:10" x14ac:dyDescent="0.2">
      <c r="E53" s="818" t="s">
        <v>305</v>
      </c>
      <c r="F53" s="819"/>
      <c r="G53" s="819"/>
      <c r="H53" s="819"/>
      <c r="I53" s="819"/>
      <c r="J53" s="820"/>
    </row>
    <row r="54" spans="5:10" x14ac:dyDescent="0.2">
      <c r="E54" s="89" t="s">
        <v>79</v>
      </c>
      <c r="F54" s="143">
        <v>2026</v>
      </c>
      <c r="G54" s="143">
        <v>2027</v>
      </c>
      <c r="H54" s="143">
        <v>2028</v>
      </c>
      <c r="I54" s="143">
        <v>2029</v>
      </c>
      <c r="J54" s="143">
        <v>2030</v>
      </c>
    </row>
    <row r="55" spans="5:10" ht="17" x14ac:dyDescent="0.2">
      <c r="E55" s="325" t="s">
        <v>201</v>
      </c>
      <c r="F55" s="174">
        <f>SUM(F31)/2</f>
        <v>15000</v>
      </c>
      <c r="G55" s="174">
        <f>SUM(F55)*2</f>
        <v>30000</v>
      </c>
      <c r="H55" s="174">
        <f>+G55*1.1</f>
        <v>33000</v>
      </c>
      <c r="I55" s="174">
        <f>+H55*1.1</f>
        <v>36300</v>
      </c>
      <c r="J55" s="326">
        <f>+I55*1.1</f>
        <v>39930</v>
      </c>
    </row>
    <row r="56" spans="5:10" x14ac:dyDescent="0.2">
      <c r="E56" s="97" t="s">
        <v>198</v>
      </c>
      <c r="F56" s="173">
        <f>SUM(F32)/2</f>
        <v>16500</v>
      </c>
      <c r="G56" s="173">
        <f>SUM(F56)*2</f>
        <v>33000</v>
      </c>
      <c r="H56" s="173">
        <f>SUM(G56)*1.1</f>
        <v>36300</v>
      </c>
      <c r="I56" s="173">
        <f>+H56*1.1</f>
        <v>39930</v>
      </c>
      <c r="J56" s="327">
        <f>+I56*1.1</f>
        <v>43923</v>
      </c>
    </row>
    <row r="57" spans="5:10" x14ac:dyDescent="0.2">
      <c r="E57" s="229" t="s">
        <v>225</v>
      </c>
      <c r="F57" s="173">
        <v>500000</v>
      </c>
      <c r="G57" s="173">
        <f>SUM(F57)</f>
        <v>500000</v>
      </c>
      <c r="H57" s="173">
        <f>SUM(F57)*1.1</f>
        <v>550000</v>
      </c>
      <c r="I57" s="173">
        <f>SUM(F57)*1.1</f>
        <v>550000</v>
      </c>
      <c r="J57" s="327">
        <f>SUM(I57)*1.1</f>
        <v>605000</v>
      </c>
    </row>
    <row r="58" spans="5:10" ht="17" x14ac:dyDescent="0.2">
      <c r="E58" s="325" t="s">
        <v>149</v>
      </c>
      <c r="F58" s="174">
        <f>25*500*15*6</f>
        <v>1125000</v>
      </c>
      <c r="G58" s="174">
        <f>SUM(F58)*2</f>
        <v>2250000</v>
      </c>
      <c r="H58" s="174">
        <f t="shared" ref="H58:J60" si="7">+G58*1.1</f>
        <v>2475000</v>
      </c>
      <c r="I58" s="174">
        <f t="shared" si="7"/>
        <v>2722500</v>
      </c>
      <c r="J58" s="326">
        <f t="shared" si="7"/>
        <v>2994750.0000000005</v>
      </c>
    </row>
    <row r="59" spans="5:10" ht="17" x14ac:dyDescent="0.2">
      <c r="E59" s="328" t="s">
        <v>150</v>
      </c>
      <c r="F59" s="173">
        <f>SUM(F35)</f>
        <v>150000</v>
      </c>
      <c r="G59" s="173">
        <f>SUM(F59)*2</f>
        <v>300000</v>
      </c>
      <c r="H59" s="173">
        <f t="shared" si="7"/>
        <v>330000</v>
      </c>
      <c r="I59" s="173">
        <f t="shared" si="7"/>
        <v>363000.00000000006</v>
      </c>
      <c r="J59" s="327">
        <f t="shared" si="7"/>
        <v>399300.00000000012</v>
      </c>
    </row>
    <row r="60" spans="5:10" ht="17" x14ac:dyDescent="0.2">
      <c r="E60" s="325" t="s">
        <v>151</v>
      </c>
      <c r="F60" s="174">
        <f>SUM(F35)/2</f>
        <v>75000</v>
      </c>
      <c r="G60" s="174">
        <f>SUM(F60)*2</f>
        <v>150000</v>
      </c>
      <c r="H60" s="174">
        <f t="shared" si="7"/>
        <v>165000</v>
      </c>
      <c r="I60" s="174">
        <f t="shared" si="7"/>
        <v>181500.00000000003</v>
      </c>
      <c r="J60" s="326">
        <f t="shared" si="7"/>
        <v>199650.00000000006</v>
      </c>
    </row>
    <row r="61" spans="5:10" ht="17" x14ac:dyDescent="0.2">
      <c r="E61" s="328" t="s">
        <v>152</v>
      </c>
      <c r="F61" s="173">
        <f>SUM(F36)/2</f>
        <v>37500</v>
      </c>
      <c r="G61" s="173">
        <f>SUM(F61)*2</f>
        <v>75000</v>
      </c>
      <c r="H61" s="173">
        <f>SUM(G61)*1.1</f>
        <v>82500</v>
      </c>
      <c r="I61" s="173">
        <f>+H61*1.1</f>
        <v>90750.000000000015</v>
      </c>
      <c r="J61" s="327">
        <f>+I61*1.1</f>
        <v>99825.000000000029</v>
      </c>
    </row>
    <row r="62" spans="5:10" ht="17" x14ac:dyDescent="0.2">
      <c r="E62" s="325" t="s">
        <v>153</v>
      </c>
      <c r="F62" s="174">
        <v>0</v>
      </c>
      <c r="G62" s="174">
        <v>250000</v>
      </c>
      <c r="H62" s="174">
        <f>SUM(G62)*1.1</f>
        <v>275000</v>
      </c>
      <c r="I62" s="174">
        <f>+H62*1.1</f>
        <v>302500</v>
      </c>
      <c r="J62" s="326">
        <f>+I62*1.1</f>
        <v>332750</v>
      </c>
    </row>
    <row r="63" spans="5:10" ht="17" x14ac:dyDescent="0.2">
      <c r="E63" s="328" t="s">
        <v>154</v>
      </c>
      <c r="F63" s="173">
        <v>0</v>
      </c>
      <c r="G63" s="173">
        <v>0</v>
      </c>
      <c r="H63" s="173">
        <v>0</v>
      </c>
      <c r="I63" s="173">
        <v>0</v>
      </c>
      <c r="J63" s="327">
        <v>0</v>
      </c>
    </row>
    <row r="64" spans="5:10" ht="17" x14ac:dyDescent="0.2">
      <c r="E64" s="325" t="s">
        <v>155</v>
      </c>
      <c r="F64" s="174">
        <f>SUM(F39)/2</f>
        <v>0</v>
      </c>
      <c r="G64" s="174">
        <f>SUM(F64)*2</f>
        <v>0</v>
      </c>
      <c r="H64" s="174">
        <f>SUM(G64)*1.1</f>
        <v>0</v>
      </c>
      <c r="I64" s="174">
        <f t="shared" ref="I64:J67" si="8">+H64*1.1</f>
        <v>0</v>
      </c>
      <c r="J64" s="326">
        <f t="shared" si="8"/>
        <v>0</v>
      </c>
    </row>
    <row r="65" spans="5:10" ht="17" x14ac:dyDescent="0.2">
      <c r="E65" s="328" t="s">
        <v>156</v>
      </c>
      <c r="F65" s="173">
        <f>SUM(F40)/2</f>
        <v>60000</v>
      </c>
      <c r="G65" s="173">
        <f>SUM(F65*2)</f>
        <v>120000</v>
      </c>
      <c r="H65" s="173">
        <f>+G65*1.1</f>
        <v>132000</v>
      </c>
      <c r="I65" s="173">
        <f t="shared" si="8"/>
        <v>145200</v>
      </c>
      <c r="J65" s="327">
        <f t="shared" si="8"/>
        <v>159720</v>
      </c>
    </row>
    <row r="66" spans="5:10" ht="17" x14ac:dyDescent="0.2">
      <c r="E66" s="325" t="s">
        <v>157</v>
      </c>
      <c r="F66" s="174">
        <f>SUM(F42)/4</f>
        <v>31250</v>
      </c>
      <c r="G66" s="174">
        <f>SUM(F66)*2</f>
        <v>62500</v>
      </c>
      <c r="H66" s="174">
        <f>+G66*1.1</f>
        <v>68750</v>
      </c>
      <c r="I66" s="174">
        <f t="shared" si="8"/>
        <v>75625</v>
      </c>
      <c r="J66" s="326">
        <f t="shared" si="8"/>
        <v>83187.5</v>
      </c>
    </row>
    <row r="67" spans="5:10" ht="17" x14ac:dyDescent="0.2">
      <c r="E67" s="328" t="s">
        <v>160</v>
      </c>
      <c r="F67" s="173">
        <v>0</v>
      </c>
      <c r="G67" s="173">
        <v>0</v>
      </c>
      <c r="H67" s="173">
        <f>+G67*1.1</f>
        <v>0</v>
      </c>
      <c r="I67" s="173">
        <f t="shared" si="8"/>
        <v>0</v>
      </c>
      <c r="J67" s="327">
        <f t="shared" si="8"/>
        <v>0</v>
      </c>
    </row>
    <row r="68" spans="5:10" ht="17" x14ac:dyDescent="0.2">
      <c r="E68" s="325" t="s">
        <v>161</v>
      </c>
      <c r="F68" s="174">
        <f>+'CA Elevage'!C244</f>
        <v>0</v>
      </c>
      <c r="G68" s="174">
        <v>0</v>
      </c>
      <c r="H68" s="174">
        <f>SUM(G68)*1.3</f>
        <v>0</v>
      </c>
      <c r="I68" s="174">
        <f>SUM(H68)*2</f>
        <v>0</v>
      </c>
      <c r="J68" s="326">
        <f>SUM(I68)*1.3</f>
        <v>0</v>
      </c>
    </row>
    <row r="69" spans="5:10" ht="17" x14ac:dyDescent="0.2">
      <c r="E69" s="328" t="s">
        <v>200</v>
      </c>
      <c r="F69" s="173">
        <f>SUM(F45)/2</f>
        <v>25000</v>
      </c>
      <c r="G69" s="173">
        <f>SUM(F69)*2</f>
        <v>50000</v>
      </c>
      <c r="H69" s="173">
        <f>SUM(G69)*1.1</f>
        <v>55000.000000000007</v>
      </c>
      <c r="I69" s="173">
        <f>+H69*1.1</f>
        <v>60500.000000000015</v>
      </c>
      <c r="J69" s="327">
        <f>+I69*1.1</f>
        <v>66550.000000000015</v>
      </c>
    </row>
    <row r="70" spans="5:10" ht="17" x14ac:dyDescent="0.2">
      <c r="E70" s="325" t="s">
        <v>158</v>
      </c>
      <c r="F70" s="174">
        <f>SUM(F46)/2</f>
        <v>50000</v>
      </c>
      <c r="G70" s="174">
        <f>SUM(F70)*2</f>
        <v>100000</v>
      </c>
      <c r="H70" s="174">
        <f>+G70*1.1</f>
        <v>110000.00000000001</v>
      </c>
      <c r="I70" s="174">
        <f>+H70*1.1</f>
        <v>121000.00000000003</v>
      </c>
      <c r="J70" s="326">
        <f>+I70*1.1</f>
        <v>133100.00000000003</v>
      </c>
    </row>
    <row r="71" spans="5:10" x14ac:dyDescent="0.2">
      <c r="E71" s="97"/>
      <c r="F71" s="173"/>
      <c r="G71" s="173"/>
      <c r="H71" s="173"/>
      <c r="I71" s="173"/>
      <c r="J71" s="327"/>
    </row>
    <row r="72" spans="5:10" x14ac:dyDescent="0.2">
      <c r="E72" s="330" t="s">
        <v>159</v>
      </c>
      <c r="F72" s="331">
        <f>SUM(F54:F71)</f>
        <v>2087276</v>
      </c>
      <c r="G72" s="331">
        <f>SUM(G55:G71)</f>
        <v>3920500</v>
      </c>
      <c r="H72" s="331">
        <f t="shared" ref="H72" si="9">SUM(H54:H71)</f>
        <v>4314578</v>
      </c>
      <c r="I72" s="331">
        <f t="shared" ref="I72" si="10">SUM(I55:I71)</f>
        <v>4688805</v>
      </c>
      <c r="J72" s="331">
        <f t="shared" ref="J72" si="11">SUM(J54:J71)</f>
        <v>5159715.5000000009</v>
      </c>
    </row>
    <row r="75" spans="5:10" ht="17" thickBot="1" x14ac:dyDescent="0.25"/>
    <row r="76" spans="5:10" x14ac:dyDescent="0.2">
      <c r="E76" s="821" t="s">
        <v>205</v>
      </c>
      <c r="F76" s="822"/>
      <c r="G76" s="822"/>
      <c r="H76" s="822"/>
      <c r="I76" s="822"/>
      <c r="J76" s="823"/>
    </row>
    <row r="77" spans="5:10" x14ac:dyDescent="0.2">
      <c r="E77" s="259" t="s">
        <v>162</v>
      </c>
      <c r="F77" s="143">
        <v>2026</v>
      </c>
      <c r="G77" s="143">
        <v>2027</v>
      </c>
      <c r="H77" s="143">
        <v>2028</v>
      </c>
      <c r="I77" s="143">
        <v>2029</v>
      </c>
      <c r="J77" s="333">
        <v>2030</v>
      </c>
    </row>
    <row r="78" spans="5:10" x14ac:dyDescent="0.2">
      <c r="E78" s="401" t="s">
        <v>308</v>
      </c>
      <c r="F78" s="139">
        <f>SUM(F25)</f>
        <v>645800</v>
      </c>
      <c r="G78" s="139">
        <f>SUM(G25)</f>
        <v>1111600</v>
      </c>
      <c r="H78" s="139">
        <f t="shared" ref="H78:J78" si="12">SUM(H25)</f>
        <v>1222760</v>
      </c>
      <c r="I78" s="139">
        <f t="shared" si="12"/>
        <v>1345036.0000000002</v>
      </c>
      <c r="J78" s="291">
        <f t="shared" si="12"/>
        <v>1479539.6000000003</v>
      </c>
    </row>
    <row r="79" spans="5:10" x14ac:dyDescent="0.2">
      <c r="E79" s="397" t="s">
        <v>304</v>
      </c>
      <c r="F79" s="230">
        <f>+F48</f>
        <v>3733000</v>
      </c>
      <c r="G79" s="230">
        <f>+G48</f>
        <v>7216000</v>
      </c>
      <c r="H79" s="230">
        <f>+H48</f>
        <v>7937600</v>
      </c>
      <c r="I79" s="230">
        <f>+I48</f>
        <v>8676360</v>
      </c>
      <c r="J79" s="290">
        <f>+J48</f>
        <v>9543996</v>
      </c>
    </row>
    <row r="80" spans="5:10" x14ac:dyDescent="0.2">
      <c r="E80" s="396" t="s">
        <v>305</v>
      </c>
      <c r="F80" s="139">
        <f>+F72</f>
        <v>2087276</v>
      </c>
      <c r="G80" s="139">
        <f>+G72</f>
        <v>3920500</v>
      </c>
      <c r="H80" s="139">
        <f>+H72</f>
        <v>4314578</v>
      </c>
      <c r="I80" s="139">
        <f>+I72</f>
        <v>4688805</v>
      </c>
      <c r="J80" s="291">
        <f>+J72</f>
        <v>5159715.5000000009</v>
      </c>
    </row>
    <row r="81" spans="5:10" ht="17" thickBot="1" x14ac:dyDescent="0.25">
      <c r="E81" s="398"/>
      <c r="F81" s="230"/>
      <c r="G81" s="230"/>
      <c r="H81" s="230"/>
      <c r="I81" s="230"/>
      <c r="J81" s="290"/>
    </row>
    <row r="82" spans="5:10" ht="17" thickBot="1" x14ac:dyDescent="0.25">
      <c r="E82" s="293" t="s">
        <v>57</v>
      </c>
      <c r="F82" s="399">
        <f>+SUM(F78:F81)</f>
        <v>6466076</v>
      </c>
      <c r="G82" s="399">
        <f>+SUM(G78:G81)</f>
        <v>12248100</v>
      </c>
      <c r="H82" s="399">
        <f>+SUM(H78:H81)</f>
        <v>13474938</v>
      </c>
      <c r="I82" s="399">
        <f>+SUM(I78:I81)</f>
        <v>14710201</v>
      </c>
      <c r="J82" s="400">
        <f>+SUM(J78:J81)</f>
        <v>16183251.100000001</v>
      </c>
    </row>
  </sheetData>
  <mergeCells count="4">
    <mergeCell ref="E5:J5"/>
    <mergeCell ref="E29:J29"/>
    <mergeCell ref="E53:J53"/>
    <mergeCell ref="E76:J76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F65"/>
  <sheetViews>
    <sheetView showGridLines="0" topLeftCell="A49" zoomScale="125" zoomScaleNormal="125" workbookViewId="0">
      <selection activeCell="C31" sqref="C31"/>
    </sheetView>
  </sheetViews>
  <sheetFormatPr baseColWidth="10" defaultRowHeight="15" x14ac:dyDescent="0.2"/>
  <cols>
    <col min="2" max="2" width="4.6640625" customWidth="1"/>
    <col min="3" max="3" width="48.1640625" customWidth="1"/>
    <col min="4" max="4" width="11.1640625" customWidth="1"/>
    <col min="5" max="6" width="17.83203125" customWidth="1"/>
    <col min="7" max="7" width="3.83203125" customWidth="1"/>
  </cols>
  <sheetData>
    <row r="1" spans="3:6" ht="16" x14ac:dyDescent="0.2">
      <c r="C1" s="79"/>
      <c r="D1" s="79"/>
      <c r="E1" s="79"/>
      <c r="F1" s="79"/>
    </row>
    <row r="2" spans="3:6" ht="16" x14ac:dyDescent="0.2">
      <c r="C2" s="79"/>
      <c r="D2" s="79"/>
      <c r="E2" s="79"/>
      <c r="F2" s="79"/>
    </row>
    <row r="3" spans="3:6" ht="16" x14ac:dyDescent="0.2">
      <c r="C3" s="79"/>
      <c r="D3" s="79"/>
      <c r="E3" s="79"/>
      <c r="F3" s="79"/>
    </row>
    <row r="4" spans="3:6" ht="16" x14ac:dyDescent="0.2">
      <c r="C4" s="79"/>
      <c r="D4" s="79"/>
      <c r="E4" s="79"/>
      <c r="F4" s="79"/>
    </row>
    <row r="5" spans="3:6" ht="16" x14ac:dyDescent="0.2">
      <c r="C5" s="779" t="s">
        <v>99</v>
      </c>
      <c r="D5" s="779"/>
      <c r="E5" s="779"/>
      <c r="F5" s="779"/>
    </row>
    <row r="6" spans="3:6" ht="16" x14ac:dyDescent="0.2">
      <c r="C6" s="89" t="s">
        <v>79</v>
      </c>
      <c r="D6" s="89" t="s">
        <v>33</v>
      </c>
      <c r="E6" s="89" t="s">
        <v>131</v>
      </c>
      <c r="F6" s="89" t="s">
        <v>132</v>
      </c>
    </row>
    <row r="7" spans="3:6" ht="16" x14ac:dyDescent="0.2">
      <c r="C7" s="391" t="s">
        <v>297</v>
      </c>
      <c r="D7" s="225">
        <v>1</v>
      </c>
      <c r="E7" s="226">
        <v>250000</v>
      </c>
      <c r="F7" s="227">
        <f>+E7*D7</f>
        <v>250000</v>
      </c>
    </row>
    <row r="8" spans="3:6" ht="16" x14ac:dyDescent="0.2">
      <c r="C8" s="388" t="s">
        <v>298</v>
      </c>
      <c r="D8" s="192">
        <v>1</v>
      </c>
      <c r="E8" s="139">
        <v>150000</v>
      </c>
      <c r="F8" s="228">
        <f t="shared" ref="F8:F14" si="0">+E8*D8</f>
        <v>150000</v>
      </c>
    </row>
    <row r="9" spans="3:6" ht="16" x14ac:dyDescent="0.2">
      <c r="C9" s="389" t="s">
        <v>807</v>
      </c>
      <c r="D9" s="79">
        <v>1</v>
      </c>
      <c r="E9" s="230">
        <v>450000</v>
      </c>
      <c r="F9" s="231">
        <f t="shared" si="0"/>
        <v>450000</v>
      </c>
    </row>
    <row r="10" spans="3:6" ht="16" x14ac:dyDescent="0.2">
      <c r="C10" s="388" t="s">
        <v>808</v>
      </c>
      <c r="D10" s="192">
        <v>1</v>
      </c>
      <c r="E10" s="139">
        <v>1650000</v>
      </c>
      <c r="F10" s="228">
        <f t="shared" si="0"/>
        <v>1650000</v>
      </c>
    </row>
    <row r="11" spans="3:6" ht="16" x14ac:dyDescent="0.2">
      <c r="C11" s="380" t="s">
        <v>299</v>
      </c>
      <c r="D11" s="234">
        <v>2</v>
      </c>
      <c r="E11" s="140">
        <v>750000</v>
      </c>
      <c r="F11" s="235">
        <f t="shared" si="0"/>
        <v>1500000</v>
      </c>
    </row>
    <row r="12" spans="3:6" ht="16" x14ac:dyDescent="0.2">
      <c r="C12" s="232" t="s">
        <v>100</v>
      </c>
      <c r="D12" s="192">
        <v>0</v>
      </c>
      <c r="E12" s="139">
        <v>5000000</v>
      </c>
      <c r="F12" s="228">
        <f t="shared" si="0"/>
        <v>0</v>
      </c>
    </row>
    <row r="13" spans="3:6" ht="16" x14ac:dyDescent="0.2">
      <c r="C13" s="97" t="s">
        <v>97</v>
      </c>
      <c r="D13" s="79">
        <v>0</v>
      </c>
      <c r="E13" s="110">
        <v>1000000</v>
      </c>
      <c r="F13" s="231">
        <f t="shared" si="0"/>
        <v>0</v>
      </c>
    </row>
    <row r="14" spans="3:6" ht="16" x14ac:dyDescent="0.2">
      <c r="C14" s="232" t="s">
        <v>101</v>
      </c>
      <c r="D14" s="192">
        <v>1</v>
      </c>
      <c r="E14" s="139">
        <v>1000000</v>
      </c>
      <c r="F14" s="228">
        <f t="shared" si="0"/>
        <v>1000000</v>
      </c>
    </row>
    <row r="15" spans="3:6" ht="16" x14ac:dyDescent="0.2">
      <c r="C15" s="97"/>
      <c r="D15" s="79"/>
      <c r="E15" s="79"/>
      <c r="F15" s="236"/>
    </row>
    <row r="16" spans="3:6" ht="16" x14ac:dyDescent="0.2">
      <c r="C16" s="99"/>
      <c r="D16" s="237"/>
      <c r="E16" s="238" t="s">
        <v>51</v>
      </c>
      <c r="F16" s="239">
        <f>+SUM(F7:F14)</f>
        <v>5000000</v>
      </c>
    </row>
    <row r="17" spans="3:6" ht="16" x14ac:dyDescent="0.2">
      <c r="C17" s="79"/>
      <c r="D17" s="79"/>
      <c r="E17" s="79"/>
      <c r="F17" s="79"/>
    </row>
    <row r="18" spans="3:6" ht="16" x14ac:dyDescent="0.2">
      <c r="C18" s="79"/>
      <c r="D18" s="79"/>
      <c r="E18" s="79"/>
      <c r="F18" s="79"/>
    </row>
    <row r="19" spans="3:6" ht="16" x14ac:dyDescent="0.2">
      <c r="C19" s="79"/>
      <c r="D19" s="79"/>
      <c r="E19" s="79"/>
      <c r="F19" s="79"/>
    </row>
    <row r="20" spans="3:6" ht="16" x14ac:dyDescent="0.2">
      <c r="C20" s="79"/>
      <c r="D20" s="79"/>
      <c r="E20" s="79"/>
      <c r="F20" s="79"/>
    </row>
    <row r="21" spans="3:6" ht="16" x14ac:dyDescent="0.2">
      <c r="C21" s="818" t="s">
        <v>104</v>
      </c>
      <c r="D21" s="819"/>
      <c r="E21" s="819"/>
      <c r="F21" s="820"/>
    </row>
    <row r="22" spans="3:6" ht="16" x14ac:dyDescent="0.2">
      <c r="C22" s="89" t="s">
        <v>79</v>
      </c>
      <c r="D22" s="89" t="s">
        <v>33</v>
      </c>
      <c r="E22" s="89" t="s">
        <v>131</v>
      </c>
      <c r="F22" s="89" t="s">
        <v>132</v>
      </c>
    </row>
    <row r="23" spans="3:6" ht="16" x14ac:dyDescent="0.2">
      <c r="C23" s="97" t="s">
        <v>98</v>
      </c>
      <c r="D23" s="79">
        <v>0</v>
      </c>
      <c r="E23" s="230">
        <v>5000000</v>
      </c>
      <c r="F23" s="231">
        <f>+E23*D23</f>
        <v>0</v>
      </c>
    </row>
    <row r="24" spans="3:6" ht="16" x14ac:dyDescent="0.2">
      <c r="C24" s="388" t="s">
        <v>300</v>
      </c>
      <c r="D24" s="192">
        <v>1</v>
      </c>
      <c r="E24" s="139">
        <v>3000000</v>
      </c>
      <c r="F24" s="228">
        <f>SUM(E24)/10</f>
        <v>300000</v>
      </c>
    </row>
    <row r="25" spans="3:6" ht="16" x14ac:dyDescent="0.2">
      <c r="C25" s="389" t="s">
        <v>809</v>
      </c>
      <c r="D25" s="79">
        <v>1</v>
      </c>
      <c r="E25" s="230">
        <v>6000000</v>
      </c>
      <c r="F25" s="231">
        <f>SUM(E25)/10</f>
        <v>600000</v>
      </c>
    </row>
    <row r="26" spans="3:6" ht="16" x14ac:dyDescent="0.2">
      <c r="C26" s="388" t="s">
        <v>301</v>
      </c>
      <c r="D26" s="192">
        <v>1</v>
      </c>
      <c r="E26" s="139">
        <v>4000000</v>
      </c>
      <c r="F26" s="228">
        <f t="shared" ref="F26" si="1">SUM(E26)/10</f>
        <v>400000</v>
      </c>
    </row>
    <row r="27" spans="3:6" ht="16" x14ac:dyDescent="0.2">
      <c r="C27" s="389" t="s">
        <v>810</v>
      </c>
      <c r="D27" s="79">
        <v>4</v>
      </c>
      <c r="E27" s="230">
        <v>300000</v>
      </c>
      <c r="F27" s="231">
        <f>SUM(D27*E27)/10</f>
        <v>120000</v>
      </c>
    </row>
    <row r="28" spans="3:6" ht="16" x14ac:dyDescent="0.2">
      <c r="C28" s="388" t="s">
        <v>811</v>
      </c>
      <c r="D28" s="192">
        <v>4</v>
      </c>
      <c r="E28" s="139">
        <v>300000</v>
      </c>
      <c r="F28" s="231">
        <f t="shared" ref="F28:F31" si="2">SUM(D28*E28)/10</f>
        <v>120000</v>
      </c>
    </row>
    <row r="29" spans="3:6" ht="16" x14ac:dyDescent="0.2">
      <c r="C29" s="389" t="s">
        <v>302</v>
      </c>
      <c r="D29" s="79">
        <v>1</v>
      </c>
      <c r="E29" s="230">
        <v>800000</v>
      </c>
      <c r="F29" s="231">
        <f t="shared" si="2"/>
        <v>80000</v>
      </c>
    </row>
    <row r="30" spans="3:6" ht="16" x14ac:dyDescent="0.2">
      <c r="C30" s="388" t="s">
        <v>303</v>
      </c>
      <c r="D30" s="192">
        <v>4</v>
      </c>
      <c r="E30" s="139">
        <v>350000</v>
      </c>
      <c r="F30" s="231">
        <f t="shared" si="2"/>
        <v>140000</v>
      </c>
    </row>
    <row r="31" spans="3:6" ht="16" x14ac:dyDescent="0.2">
      <c r="C31" s="389" t="s">
        <v>812</v>
      </c>
      <c r="D31" s="234">
        <v>4</v>
      </c>
      <c r="E31" s="230">
        <v>200000</v>
      </c>
      <c r="F31" s="231">
        <f t="shared" si="2"/>
        <v>80000</v>
      </c>
    </row>
    <row r="32" spans="3:6" ht="16" x14ac:dyDescent="0.2">
      <c r="C32" s="97"/>
      <c r="D32" s="79"/>
      <c r="E32" s="230"/>
      <c r="F32" s="231"/>
    </row>
    <row r="33" spans="3:6" ht="16" x14ac:dyDescent="0.2">
      <c r="C33" s="99"/>
      <c r="D33" s="237"/>
      <c r="E33" s="238" t="s">
        <v>51</v>
      </c>
      <c r="F33" s="240">
        <f>+SUM(F23:F31)</f>
        <v>1840000</v>
      </c>
    </row>
    <row r="34" spans="3:6" ht="16" x14ac:dyDescent="0.2">
      <c r="C34" s="79"/>
      <c r="D34" s="79"/>
      <c r="E34" s="141"/>
      <c r="F34" s="141"/>
    </row>
    <row r="35" spans="3:6" ht="16" x14ac:dyDescent="0.2">
      <c r="C35" s="79"/>
      <c r="D35" s="79"/>
      <c r="E35" s="141"/>
      <c r="F35" s="141"/>
    </row>
    <row r="36" spans="3:6" ht="16" x14ac:dyDescent="0.2">
      <c r="C36" s="79"/>
      <c r="D36" s="79"/>
      <c r="E36" s="141"/>
      <c r="F36" s="141"/>
    </row>
    <row r="37" spans="3:6" ht="16" x14ac:dyDescent="0.2">
      <c r="C37" s="79"/>
      <c r="D37" s="79"/>
      <c r="E37" s="141"/>
      <c r="F37" s="141"/>
    </row>
    <row r="38" spans="3:6" ht="16" x14ac:dyDescent="0.2">
      <c r="C38" s="79"/>
      <c r="D38" s="79"/>
      <c r="E38" s="141"/>
      <c r="F38" s="141"/>
    </row>
    <row r="39" spans="3:6" ht="17" thickBot="1" x14ac:dyDescent="0.25">
      <c r="C39" s="79"/>
      <c r="D39" s="79"/>
      <c r="E39" s="80"/>
      <c r="F39" s="80"/>
    </row>
    <row r="40" spans="3:6" ht="17" thickBot="1" x14ac:dyDescent="0.25">
      <c r="C40" s="827" t="s">
        <v>105</v>
      </c>
      <c r="D40" s="828"/>
      <c r="E40" s="828"/>
      <c r="F40" s="829"/>
    </row>
    <row r="41" spans="3:6" ht="16" x14ac:dyDescent="0.2">
      <c r="C41" s="830" t="s">
        <v>79</v>
      </c>
      <c r="D41" s="831"/>
      <c r="E41" s="832"/>
      <c r="F41" s="292" t="s">
        <v>132</v>
      </c>
    </row>
    <row r="42" spans="3:6" ht="16" x14ac:dyDescent="0.2">
      <c r="C42" s="264" t="s">
        <v>56</v>
      </c>
      <c r="D42" s="79"/>
      <c r="E42" s="230"/>
      <c r="F42" s="290">
        <f>+'Amenag, Infrastr et Equipemt '!D59</f>
        <v>257000000</v>
      </c>
    </row>
    <row r="43" spans="3:6" ht="16" x14ac:dyDescent="0.2">
      <c r="C43" s="279" t="s">
        <v>78</v>
      </c>
      <c r="D43" s="192"/>
      <c r="E43" s="139"/>
      <c r="F43" s="291">
        <f>+'Amenag, Infrastr et Equipemt '!L59</f>
        <v>140400000</v>
      </c>
    </row>
    <row r="44" spans="3:6" ht="16" x14ac:dyDescent="0.2">
      <c r="C44" s="264" t="s">
        <v>102</v>
      </c>
      <c r="D44" s="79"/>
      <c r="E44" s="230"/>
      <c r="F44" s="290">
        <f>+'Mat bureau &amp; Mat roulants'!L68</f>
        <v>4800000</v>
      </c>
    </row>
    <row r="45" spans="3:6" ht="16" x14ac:dyDescent="0.2">
      <c r="C45" s="264" t="s">
        <v>197</v>
      </c>
      <c r="D45" s="79"/>
      <c r="E45" s="230"/>
      <c r="F45" s="290">
        <f>SUM('Mat bureau &amp; Mat roulants'!R68)</f>
        <v>1745000</v>
      </c>
    </row>
    <row r="46" spans="3:6" ht="16" x14ac:dyDescent="0.2">
      <c r="C46" s="279" t="s">
        <v>93</v>
      </c>
      <c r="D46" s="192"/>
      <c r="E46" s="139"/>
      <c r="F46" s="291">
        <f>+'Mat bureau &amp; Mat roulants'!F68</f>
        <v>3597500</v>
      </c>
    </row>
    <row r="47" spans="3:6" ht="17" thickBot="1" x14ac:dyDescent="0.25">
      <c r="C47" s="264"/>
      <c r="D47" s="79"/>
      <c r="E47" s="79"/>
      <c r="F47" s="265"/>
    </row>
    <row r="48" spans="3:6" ht="17" thickBot="1" x14ac:dyDescent="0.25">
      <c r="C48" s="281"/>
      <c r="D48" s="282"/>
      <c r="E48" s="293" t="s">
        <v>51</v>
      </c>
      <c r="F48" s="285">
        <f>+SUM(F42:F47)</f>
        <v>407542500</v>
      </c>
    </row>
    <row r="49" spans="3:6" ht="16" x14ac:dyDescent="0.2">
      <c r="C49" s="79"/>
      <c r="D49" s="79"/>
      <c r="E49" s="79"/>
      <c r="F49" s="79"/>
    </row>
    <row r="50" spans="3:6" ht="16" x14ac:dyDescent="0.2">
      <c r="C50" s="79"/>
      <c r="D50" s="79"/>
      <c r="E50" s="79"/>
      <c r="F50" s="79"/>
    </row>
    <row r="51" spans="3:6" ht="16" x14ac:dyDescent="0.2">
      <c r="C51" s="79"/>
      <c r="D51" s="79"/>
      <c r="E51" s="79"/>
      <c r="F51" s="79"/>
    </row>
    <row r="52" spans="3:6" ht="16" x14ac:dyDescent="0.2">
      <c r="C52" s="79"/>
      <c r="D52" s="79"/>
      <c r="E52" s="79"/>
      <c r="F52" s="79"/>
    </row>
    <row r="53" spans="3:6" ht="17" thickBot="1" x14ac:dyDescent="0.25">
      <c r="C53" s="79"/>
      <c r="D53" s="79"/>
      <c r="E53" s="79"/>
      <c r="F53" s="79"/>
    </row>
    <row r="54" spans="3:6" ht="16" x14ac:dyDescent="0.2">
      <c r="C54" s="821" t="s">
        <v>103</v>
      </c>
      <c r="D54" s="822"/>
      <c r="E54" s="822"/>
      <c r="F54" s="823"/>
    </row>
    <row r="55" spans="3:6" ht="16" x14ac:dyDescent="0.2">
      <c r="C55" s="824" t="s">
        <v>79</v>
      </c>
      <c r="D55" s="825"/>
      <c r="E55" s="826"/>
      <c r="F55" s="289" t="s">
        <v>81</v>
      </c>
    </row>
    <row r="56" spans="3:6" ht="16" x14ac:dyDescent="0.2">
      <c r="C56" s="264" t="str">
        <f>+C5</f>
        <v>CHARGES IMMOBILISEES</v>
      </c>
      <c r="D56" s="79"/>
      <c r="E56" s="230"/>
      <c r="F56" s="290">
        <f>+F16</f>
        <v>5000000</v>
      </c>
    </row>
    <row r="57" spans="3:6" ht="16" x14ac:dyDescent="0.2">
      <c r="C57" s="279" t="str">
        <f>+C21</f>
        <v>IMMOBILISATIONS INCORPORELLES - TOTAL DU GROUPE HARAZ</v>
      </c>
      <c r="D57" s="192"/>
      <c r="E57" s="139"/>
      <c r="F57" s="291">
        <f>+F33</f>
        <v>1840000</v>
      </c>
    </row>
    <row r="58" spans="3:6" ht="16" x14ac:dyDescent="0.2">
      <c r="C58" s="264" t="str">
        <f>+C40</f>
        <v xml:space="preserve">IMMOBILISATIONS CORPORELLES - TOTAL DU GROUPE HARAZ </v>
      </c>
      <c r="D58" s="79"/>
      <c r="E58" s="230"/>
      <c r="F58" s="290">
        <f>+F48</f>
        <v>407542500</v>
      </c>
    </row>
    <row r="59" spans="3:6" ht="17" thickBot="1" x14ac:dyDescent="0.25">
      <c r="C59" s="264"/>
      <c r="D59" s="79"/>
      <c r="E59" s="79"/>
      <c r="F59" s="265"/>
    </row>
    <row r="60" spans="3:6" ht="17" thickBot="1" x14ac:dyDescent="0.25">
      <c r="C60" s="281"/>
      <c r="D60" s="282"/>
      <c r="E60" s="293" t="s">
        <v>51</v>
      </c>
      <c r="F60" s="285">
        <f>+SUM(F56:F59)</f>
        <v>414382500</v>
      </c>
    </row>
    <row r="61" spans="3:6" ht="16" x14ac:dyDescent="0.2">
      <c r="C61" s="79"/>
      <c r="D61" s="79"/>
      <c r="E61" s="79"/>
      <c r="F61" s="79"/>
    </row>
    <row r="62" spans="3:6" ht="16" x14ac:dyDescent="0.2">
      <c r="C62" s="79"/>
      <c r="D62" s="79"/>
      <c r="E62" s="79"/>
      <c r="F62" s="79"/>
    </row>
    <row r="63" spans="3:6" ht="16" x14ac:dyDescent="0.2">
      <c r="C63" s="79"/>
      <c r="D63" s="79"/>
      <c r="E63" s="79"/>
      <c r="F63" s="79"/>
    </row>
    <row r="64" spans="3:6" ht="16" x14ac:dyDescent="0.2">
      <c r="C64" s="79"/>
      <c r="D64" s="79"/>
      <c r="E64" s="79"/>
      <c r="F64" s="79"/>
    </row>
    <row r="65" spans="3:6" ht="16" x14ac:dyDescent="0.2">
      <c r="C65" s="79"/>
      <c r="D65" s="79"/>
      <c r="E65" s="79"/>
      <c r="F65" s="79"/>
    </row>
  </sheetData>
  <mergeCells count="6">
    <mergeCell ref="C55:E55"/>
    <mergeCell ref="C5:F5"/>
    <mergeCell ref="C21:F21"/>
    <mergeCell ref="C40:F40"/>
    <mergeCell ref="C41:E41"/>
    <mergeCell ref="C54:F54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J25"/>
  <sheetViews>
    <sheetView showGridLines="0" tabSelected="1" zoomScale="125" zoomScaleNormal="125" workbookViewId="0">
      <selection activeCell="D13" sqref="D13"/>
    </sheetView>
  </sheetViews>
  <sheetFormatPr baseColWidth="10" defaultRowHeight="15" x14ac:dyDescent="0.2"/>
  <cols>
    <col min="3" max="3" width="38.83203125" customWidth="1"/>
    <col min="4" max="10" width="17.83203125" customWidth="1"/>
  </cols>
  <sheetData>
    <row r="1" spans="3:10" ht="16" thickBot="1" x14ac:dyDescent="0.25"/>
    <row r="2" spans="3:10" ht="22" thickBot="1" x14ac:dyDescent="0.3">
      <c r="C2" s="833" t="s">
        <v>207</v>
      </c>
      <c r="D2" s="834"/>
      <c r="E2" s="834"/>
      <c r="F2" s="834"/>
      <c r="G2" s="834"/>
      <c r="H2" s="834"/>
      <c r="I2" s="834"/>
      <c r="J2" s="835"/>
    </row>
    <row r="3" spans="3:10" ht="16" x14ac:dyDescent="0.2">
      <c r="C3" s="294" t="s">
        <v>148</v>
      </c>
      <c r="D3" s="295" t="s">
        <v>138</v>
      </c>
      <c r="E3" s="295" t="s">
        <v>141</v>
      </c>
      <c r="F3" s="295">
        <v>2026</v>
      </c>
      <c r="G3" s="295">
        <v>2027</v>
      </c>
      <c r="H3" s="295">
        <v>2028</v>
      </c>
      <c r="I3" s="295">
        <v>2029</v>
      </c>
      <c r="J3" s="295">
        <v>2030</v>
      </c>
    </row>
    <row r="4" spans="3:10" ht="16" x14ac:dyDescent="0.2">
      <c r="C4" s="264" t="s">
        <v>175</v>
      </c>
      <c r="D4" s="230">
        <f>+'Diverses charges immobilisées'!F16</f>
        <v>5000000</v>
      </c>
      <c r="E4" s="230">
        <v>3</v>
      </c>
      <c r="F4" s="230"/>
      <c r="G4" s="230">
        <f>+D4/E4</f>
        <v>1666666.6666666667</v>
      </c>
      <c r="H4" s="230">
        <f t="shared" ref="H4:J6" si="0">+G4</f>
        <v>1666666.6666666667</v>
      </c>
      <c r="I4" s="230">
        <f t="shared" si="0"/>
        <v>1666666.6666666667</v>
      </c>
      <c r="J4" s="290"/>
    </row>
    <row r="5" spans="3:10" ht="16" x14ac:dyDescent="0.2">
      <c r="C5" s="279" t="s">
        <v>136</v>
      </c>
      <c r="D5" s="139">
        <f>+'Diverses charges immobilisées'!F33</f>
        <v>1840000</v>
      </c>
      <c r="E5" s="139">
        <v>10</v>
      </c>
      <c r="F5" s="139"/>
      <c r="G5" s="139">
        <f>+D5/E5</f>
        <v>184000</v>
      </c>
      <c r="H5" s="139">
        <f t="shared" si="0"/>
        <v>184000</v>
      </c>
      <c r="I5" s="139">
        <f t="shared" si="0"/>
        <v>184000</v>
      </c>
      <c r="J5" s="291">
        <f t="shared" si="0"/>
        <v>184000</v>
      </c>
    </row>
    <row r="6" spans="3:10" ht="16" x14ac:dyDescent="0.2">
      <c r="C6" s="264" t="s">
        <v>137</v>
      </c>
      <c r="D6" s="230">
        <v>100000000</v>
      </c>
      <c r="E6" s="230">
        <v>30</v>
      </c>
      <c r="F6" s="230"/>
      <c r="G6" s="230">
        <f>SUM(D6)/30</f>
        <v>3333333.3333333335</v>
      </c>
      <c r="H6" s="230">
        <f t="shared" si="0"/>
        <v>3333333.3333333335</v>
      </c>
      <c r="I6" s="230">
        <f t="shared" si="0"/>
        <v>3333333.3333333335</v>
      </c>
      <c r="J6" s="290">
        <f t="shared" si="0"/>
        <v>3333333.3333333335</v>
      </c>
    </row>
    <row r="7" spans="3:10" ht="16" x14ac:dyDescent="0.2">
      <c r="C7" s="279" t="s">
        <v>813</v>
      </c>
      <c r="D7" s="139">
        <f>SUM('Amenag, Infrastr et Equipemt '!D59)</f>
        <v>257000000</v>
      </c>
      <c r="E7" s="139">
        <v>20</v>
      </c>
      <c r="F7" s="139"/>
      <c r="G7" s="139">
        <f>+D7/E7</f>
        <v>12850000</v>
      </c>
      <c r="H7" s="139">
        <f t="shared" ref="H7:J11" si="1">+G7</f>
        <v>12850000</v>
      </c>
      <c r="I7" s="139">
        <f t="shared" si="1"/>
        <v>12850000</v>
      </c>
      <c r="J7" s="291">
        <f t="shared" si="1"/>
        <v>12850000</v>
      </c>
    </row>
    <row r="8" spans="3:10" ht="16" x14ac:dyDescent="0.2">
      <c r="C8" s="264" t="s">
        <v>814</v>
      </c>
      <c r="D8" s="230">
        <f>+'Amenag, Infrastr et Equipemt '!L59</f>
        <v>140400000</v>
      </c>
      <c r="E8" s="230">
        <v>10</v>
      </c>
      <c r="F8" s="230"/>
      <c r="G8" s="230">
        <f>+D8/E8</f>
        <v>14040000</v>
      </c>
      <c r="H8" s="230">
        <f t="shared" si="1"/>
        <v>14040000</v>
      </c>
      <c r="I8" s="230">
        <f t="shared" si="1"/>
        <v>14040000</v>
      </c>
      <c r="J8" s="290">
        <f t="shared" si="1"/>
        <v>14040000</v>
      </c>
    </row>
    <row r="9" spans="3:10" ht="16" x14ac:dyDescent="0.2">
      <c r="C9" s="279" t="s">
        <v>140</v>
      </c>
      <c r="D9" s="139">
        <f>+'Mat bureau &amp; Mat roulants'!L68</f>
        <v>4800000</v>
      </c>
      <c r="E9" s="139">
        <v>5</v>
      </c>
      <c r="F9" s="139"/>
      <c r="G9" s="139">
        <f>+D9/E9</f>
        <v>960000</v>
      </c>
      <c r="H9" s="139">
        <f t="shared" si="1"/>
        <v>960000</v>
      </c>
      <c r="I9" s="139">
        <f t="shared" si="1"/>
        <v>960000</v>
      </c>
      <c r="J9" s="291">
        <f t="shared" si="1"/>
        <v>960000</v>
      </c>
    </row>
    <row r="10" spans="3:10" ht="16" x14ac:dyDescent="0.2">
      <c r="C10" s="264" t="s">
        <v>139</v>
      </c>
      <c r="D10" s="230">
        <f>+'Mat bureau &amp; Mat roulants'!F68</f>
        <v>3597500</v>
      </c>
      <c r="E10" s="230">
        <v>5</v>
      </c>
      <c r="F10" s="230"/>
      <c r="G10" s="230">
        <f>+D10/E10</f>
        <v>719500</v>
      </c>
      <c r="H10" s="230">
        <f t="shared" si="1"/>
        <v>719500</v>
      </c>
      <c r="I10" s="230">
        <f t="shared" si="1"/>
        <v>719500</v>
      </c>
      <c r="J10" s="290">
        <f t="shared" si="1"/>
        <v>719500</v>
      </c>
    </row>
    <row r="11" spans="3:10" ht="16" x14ac:dyDescent="0.2">
      <c r="C11" s="279" t="s">
        <v>147</v>
      </c>
      <c r="D11" s="139">
        <f>+'Mat bureau &amp; Mat roulants'!R68</f>
        <v>1745000</v>
      </c>
      <c r="E11" s="139">
        <v>3</v>
      </c>
      <c r="F11" s="139"/>
      <c r="G11" s="139">
        <f>+D11/E11</f>
        <v>581666.66666666663</v>
      </c>
      <c r="H11" s="139">
        <f t="shared" si="1"/>
        <v>581666.66666666663</v>
      </c>
      <c r="I11" s="139">
        <f t="shared" si="1"/>
        <v>581666.66666666663</v>
      </c>
      <c r="J11" s="291">
        <f t="shared" si="1"/>
        <v>581666.66666666663</v>
      </c>
    </row>
    <row r="12" spans="3:10" ht="16" x14ac:dyDescent="0.2">
      <c r="C12" s="264"/>
      <c r="D12" s="230"/>
      <c r="E12" s="230"/>
      <c r="F12" s="230"/>
      <c r="G12" s="230"/>
      <c r="H12" s="230"/>
      <c r="I12" s="230"/>
      <c r="J12" s="290"/>
    </row>
    <row r="13" spans="3:10" ht="17" thickBot="1" x14ac:dyDescent="0.25">
      <c r="C13" s="281"/>
      <c r="D13" s="296">
        <f>SUM(D4:D12)</f>
        <v>514382500</v>
      </c>
      <c r="E13" s="297" t="s">
        <v>57</v>
      </c>
      <c r="F13" s="298">
        <f>+SUM(F4:F12)</f>
        <v>0</v>
      </c>
      <c r="G13" s="298">
        <f>+SUM(G4:G12)</f>
        <v>34335166.666666664</v>
      </c>
      <c r="H13" s="298">
        <f>+SUM(H4:H12)</f>
        <v>34335166.666666664</v>
      </c>
      <c r="I13" s="298">
        <f>+SUM(I4:I12)</f>
        <v>34335166.666666664</v>
      </c>
      <c r="J13" s="267">
        <f>+SUM(J4:J12)</f>
        <v>32668500.000000004</v>
      </c>
    </row>
    <row r="14" spans="3:10" ht="16" x14ac:dyDescent="0.2">
      <c r="C14" s="79"/>
      <c r="D14" s="79"/>
      <c r="E14" s="79"/>
      <c r="F14" s="79"/>
      <c r="G14" s="79"/>
      <c r="H14" s="79"/>
      <c r="I14" s="79"/>
      <c r="J14" s="79"/>
    </row>
    <row r="15" spans="3:10" ht="16" x14ac:dyDescent="0.2">
      <c r="C15" s="79"/>
      <c r="D15" s="79"/>
      <c r="E15" s="79"/>
      <c r="F15" s="79"/>
      <c r="G15" s="79"/>
      <c r="H15" s="79"/>
      <c r="I15" s="79"/>
      <c r="J15" s="79"/>
    </row>
    <row r="16" spans="3:10" ht="16" x14ac:dyDescent="0.2">
      <c r="C16" s="79"/>
      <c r="D16" s="79"/>
      <c r="E16" s="79"/>
      <c r="F16" s="79"/>
      <c r="G16" s="79"/>
      <c r="H16" s="79"/>
      <c r="I16" s="79"/>
      <c r="J16" s="79"/>
    </row>
    <row r="17" spans="3:10" ht="16" x14ac:dyDescent="0.2">
      <c r="C17" s="79"/>
      <c r="D17" s="79"/>
      <c r="E17" s="79"/>
      <c r="F17" s="79"/>
      <c r="G17" s="79"/>
      <c r="H17" s="79"/>
      <c r="I17" s="79"/>
      <c r="J17" s="79"/>
    </row>
    <row r="18" spans="3:10" ht="16" x14ac:dyDescent="0.2">
      <c r="C18" s="79"/>
      <c r="D18" s="79"/>
      <c r="E18" s="79"/>
      <c r="F18" s="79"/>
      <c r="G18" s="79"/>
      <c r="H18" s="79"/>
      <c r="I18" s="79"/>
      <c r="J18" s="79"/>
    </row>
    <row r="19" spans="3:10" ht="16" x14ac:dyDescent="0.2">
      <c r="C19" s="79"/>
      <c r="D19" s="79"/>
      <c r="E19" s="79"/>
      <c r="F19" s="79"/>
      <c r="G19" s="79"/>
      <c r="H19" s="79"/>
      <c r="I19" s="79"/>
      <c r="J19" s="79"/>
    </row>
    <row r="20" spans="3:10" ht="16" x14ac:dyDescent="0.2">
      <c r="C20" s="79"/>
      <c r="D20" s="79"/>
      <c r="E20" s="79"/>
      <c r="F20" s="79"/>
      <c r="G20" s="79"/>
      <c r="H20" s="79"/>
      <c r="I20" s="79"/>
      <c r="J20" s="79"/>
    </row>
    <row r="21" spans="3:10" ht="16" x14ac:dyDescent="0.2">
      <c r="C21" s="79"/>
      <c r="D21" s="79"/>
      <c r="E21" s="79"/>
      <c r="F21" s="79"/>
      <c r="G21" s="79"/>
      <c r="H21" s="79"/>
      <c r="I21" s="79"/>
      <c r="J21" s="79"/>
    </row>
    <row r="22" spans="3:10" ht="16" x14ac:dyDescent="0.2">
      <c r="C22" s="79"/>
      <c r="D22" s="79"/>
      <c r="E22" s="79"/>
      <c r="F22" s="79"/>
      <c r="G22" s="79"/>
      <c r="H22" s="79"/>
      <c r="I22" s="79"/>
      <c r="J22" s="79"/>
    </row>
    <row r="23" spans="3:10" ht="16" x14ac:dyDescent="0.2">
      <c r="C23" s="79"/>
      <c r="D23" s="79"/>
      <c r="E23" s="79"/>
      <c r="F23" s="79"/>
      <c r="G23" s="79"/>
      <c r="H23" s="79"/>
      <c r="I23" s="79"/>
      <c r="J23" s="79"/>
    </row>
    <row r="24" spans="3:10" ht="16" x14ac:dyDescent="0.2">
      <c r="C24" s="79"/>
      <c r="D24" s="79"/>
      <c r="E24" s="79"/>
      <c r="F24" s="79"/>
      <c r="G24" s="79"/>
      <c r="H24" s="79"/>
      <c r="I24" s="79"/>
      <c r="J24" s="79"/>
    </row>
    <row r="25" spans="3:10" ht="16" x14ac:dyDescent="0.2">
      <c r="C25" s="79"/>
      <c r="D25" s="79"/>
      <c r="E25" s="79"/>
      <c r="F25" s="79"/>
      <c r="G25" s="79"/>
      <c r="H25" s="79"/>
      <c r="I25" s="79"/>
      <c r="J25" s="79"/>
    </row>
  </sheetData>
  <mergeCells count="1">
    <mergeCell ref="C2:J2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6EC5-2746-A341-AE90-9E25807ED97A}">
  <dimension ref="A2:S213"/>
  <sheetViews>
    <sheetView topLeftCell="A201" zoomScale="125" zoomScaleNormal="125" workbookViewId="0">
      <selection activeCell="D150" sqref="D150"/>
    </sheetView>
  </sheetViews>
  <sheetFormatPr baseColWidth="10" defaultColWidth="8.83203125" defaultRowHeight="18" x14ac:dyDescent="0.2"/>
  <cols>
    <col min="1" max="1" width="8.83203125" style="528"/>
    <col min="2" max="2" width="44.5" style="447" customWidth="1"/>
    <col min="3" max="3" width="12.33203125" style="508" customWidth="1"/>
    <col min="4" max="4" width="12.6640625" style="449" customWidth="1"/>
    <col min="5" max="6" width="12.1640625" style="449" customWidth="1"/>
    <col min="7" max="7" width="11.33203125" style="449" customWidth="1"/>
    <col min="8" max="8" width="12.33203125" style="449" customWidth="1"/>
    <col min="9" max="13" width="12.5" style="449" customWidth="1"/>
    <col min="14" max="14" width="8.83203125" style="447"/>
    <col min="15" max="15" width="26" style="447" customWidth="1"/>
    <col min="16" max="16" width="28.5" style="447" customWidth="1"/>
    <col min="17" max="17" width="16.83203125" style="447" customWidth="1"/>
    <col min="18" max="16384" width="8.83203125" style="447"/>
  </cols>
  <sheetData>
    <row r="2" spans="1:19" x14ac:dyDescent="0.2">
      <c r="D2" s="845" t="s">
        <v>815</v>
      </c>
      <c r="E2" s="846"/>
      <c r="F2" s="846"/>
      <c r="G2" s="846"/>
      <c r="H2" s="846"/>
    </row>
    <row r="3" spans="1:19" ht="19" thickBot="1" x14ac:dyDescent="0.25"/>
    <row r="4" spans="1:19" ht="19" thickBot="1" x14ac:dyDescent="0.25">
      <c r="B4" s="452"/>
      <c r="C4" s="509"/>
      <c r="D4" s="453" t="s">
        <v>424</v>
      </c>
      <c r="E4" s="453" t="s">
        <v>425</v>
      </c>
      <c r="F4" s="453" t="s">
        <v>426</v>
      </c>
      <c r="G4" s="453" t="s">
        <v>427</v>
      </c>
      <c r="H4" s="453" t="s">
        <v>428</v>
      </c>
      <c r="I4" s="453" t="s">
        <v>429</v>
      </c>
      <c r="J4" s="453" t="s">
        <v>430</v>
      </c>
      <c r="K4" s="453" t="s">
        <v>431</v>
      </c>
      <c r="L4" s="453" t="s">
        <v>432</v>
      </c>
      <c r="M4" s="453" t="s">
        <v>433</v>
      </c>
    </row>
    <row r="5" spans="1:19" ht="19" thickBot="1" x14ac:dyDescent="0.25">
      <c r="B5" s="454"/>
      <c r="C5" s="510"/>
      <c r="D5" s="455"/>
      <c r="E5" s="455"/>
      <c r="F5" s="455"/>
      <c r="G5" s="455"/>
      <c r="H5" s="455"/>
      <c r="I5" s="455"/>
      <c r="J5" s="455"/>
      <c r="K5" s="455"/>
      <c r="L5" s="455"/>
      <c r="M5" s="455"/>
    </row>
    <row r="6" spans="1:19" ht="19" thickBot="1" x14ac:dyDescent="0.25">
      <c r="B6" s="847" t="s">
        <v>461</v>
      </c>
      <c r="C6" s="848"/>
      <c r="D6" s="848"/>
      <c r="E6" s="848"/>
      <c r="F6" s="848"/>
      <c r="G6" s="848"/>
      <c r="H6" s="848"/>
      <c r="I6" s="848"/>
      <c r="J6" s="848"/>
      <c r="K6" s="848"/>
      <c r="L6" s="848"/>
      <c r="M6" s="848"/>
    </row>
    <row r="7" spans="1:19" s="525" customFormat="1" ht="19" thickBot="1" x14ac:dyDescent="0.25">
      <c r="A7" s="528">
        <v>1</v>
      </c>
      <c r="B7" s="492" t="s">
        <v>434</v>
      </c>
      <c r="C7" s="527" t="s">
        <v>466</v>
      </c>
      <c r="D7" s="457">
        <v>20</v>
      </c>
      <c r="E7" s="457">
        <f>D7</f>
        <v>20</v>
      </c>
      <c r="F7" s="457">
        <f t="shared" ref="F7:M7" si="0">E7</f>
        <v>20</v>
      </c>
      <c r="G7" s="457">
        <f t="shared" si="0"/>
        <v>20</v>
      </c>
      <c r="H7" s="457">
        <f t="shared" si="0"/>
        <v>20</v>
      </c>
      <c r="I7" s="457">
        <f t="shared" si="0"/>
        <v>20</v>
      </c>
      <c r="J7" s="457">
        <f t="shared" si="0"/>
        <v>20</v>
      </c>
      <c r="K7" s="457">
        <f t="shared" si="0"/>
        <v>20</v>
      </c>
      <c r="L7" s="457">
        <f t="shared" si="0"/>
        <v>20</v>
      </c>
      <c r="M7" s="457">
        <f t="shared" si="0"/>
        <v>20</v>
      </c>
    </row>
    <row r="8" spans="1:19" ht="19" thickBot="1" x14ac:dyDescent="0.25">
      <c r="B8" s="493" t="s">
        <v>449</v>
      </c>
      <c r="C8" s="511">
        <v>19.559999999999999</v>
      </c>
      <c r="D8" s="458">
        <f>$C8*D$7</f>
        <v>391.2</v>
      </c>
      <c r="E8" s="458">
        <f t="shared" ref="E8:M16" si="1">$C8*E$7</f>
        <v>391.2</v>
      </c>
      <c r="F8" s="458">
        <f t="shared" si="1"/>
        <v>391.2</v>
      </c>
      <c r="G8" s="458">
        <f t="shared" si="1"/>
        <v>391.2</v>
      </c>
      <c r="H8" s="458">
        <f t="shared" si="1"/>
        <v>391.2</v>
      </c>
      <c r="I8" s="458">
        <f t="shared" si="1"/>
        <v>391.2</v>
      </c>
      <c r="J8" s="458">
        <f t="shared" si="1"/>
        <v>391.2</v>
      </c>
      <c r="K8" s="458">
        <f t="shared" si="1"/>
        <v>391.2</v>
      </c>
      <c r="L8" s="458">
        <f t="shared" si="1"/>
        <v>391.2</v>
      </c>
      <c r="M8" s="458">
        <f t="shared" si="1"/>
        <v>391.2</v>
      </c>
      <c r="O8" s="447">
        <f>64000/2.5</f>
        <v>25600</v>
      </c>
      <c r="Q8" s="447" t="s">
        <v>435</v>
      </c>
    </row>
    <row r="9" spans="1:19" ht="19" thickBot="1" x14ac:dyDescent="0.25">
      <c r="B9" s="493" t="s">
        <v>450</v>
      </c>
      <c r="C9" s="511">
        <f>100*120/88</f>
        <v>136.36363636363637</v>
      </c>
      <c r="D9" s="458">
        <f t="shared" ref="D9:M16" si="2">$C9*D$7</f>
        <v>2727.2727272727275</v>
      </c>
      <c r="E9" s="458">
        <f t="shared" si="1"/>
        <v>2727.2727272727275</v>
      </c>
      <c r="F9" s="458">
        <f t="shared" si="1"/>
        <v>2727.2727272727275</v>
      </c>
      <c r="G9" s="458">
        <f t="shared" si="1"/>
        <v>2727.2727272727275</v>
      </c>
      <c r="H9" s="458">
        <f t="shared" si="1"/>
        <v>2727.2727272727275</v>
      </c>
      <c r="I9" s="458">
        <f t="shared" si="1"/>
        <v>2727.2727272727275</v>
      </c>
      <c r="J9" s="458">
        <f t="shared" si="1"/>
        <v>2727.2727272727275</v>
      </c>
      <c r="K9" s="458">
        <f t="shared" si="1"/>
        <v>2727.2727272727275</v>
      </c>
      <c r="L9" s="458">
        <f t="shared" si="1"/>
        <v>2727.2727272727275</v>
      </c>
      <c r="M9" s="458">
        <f t="shared" si="1"/>
        <v>2727.2727272727275</v>
      </c>
      <c r="P9" s="447" t="s">
        <v>436</v>
      </c>
      <c r="Q9" s="450">
        <v>10</v>
      </c>
      <c r="R9" s="450"/>
      <c r="S9" s="450"/>
    </row>
    <row r="10" spans="1:19" ht="19" thickBot="1" x14ac:dyDescent="0.25">
      <c r="B10" s="493" t="s">
        <v>451</v>
      </c>
      <c r="C10" s="511">
        <f>1350*1.5*2.5/88</f>
        <v>57.528409090909093</v>
      </c>
      <c r="D10" s="458">
        <f t="shared" si="2"/>
        <v>1150.568181818182</v>
      </c>
      <c r="E10" s="458">
        <f t="shared" si="2"/>
        <v>1150.568181818182</v>
      </c>
      <c r="F10" s="458">
        <f t="shared" si="2"/>
        <v>1150.568181818182</v>
      </c>
      <c r="G10" s="458">
        <f t="shared" si="2"/>
        <v>1150.568181818182</v>
      </c>
      <c r="H10" s="458">
        <f t="shared" si="2"/>
        <v>1150.568181818182</v>
      </c>
      <c r="I10" s="458">
        <f t="shared" si="2"/>
        <v>1150.568181818182</v>
      </c>
      <c r="J10" s="458">
        <f t="shared" si="2"/>
        <v>1150.568181818182</v>
      </c>
      <c r="K10" s="458">
        <f t="shared" si="2"/>
        <v>1150.568181818182</v>
      </c>
      <c r="L10" s="458">
        <f t="shared" si="2"/>
        <v>1150.568181818182</v>
      </c>
      <c r="M10" s="458">
        <f t="shared" si="2"/>
        <v>1150.568181818182</v>
      </c>
      <c r="P10" s="447" t="s">
        <v>467</v>
      </c>
      <c r="Q10" s="450">
        <f>75/88</f>
        <v>0.85227272727272729</v>
      </c>
      <c r="R10" s="450"/>
      <c r="S10" s="450"/>
    </row>
    <row r="11" spans="1:19" ht="19" thickBot="1" x14ac:dyDescent="0.25">
      <c r="B11" s="493" t="s">
        <v>452</v>
      </c>
      <c r="C11" s="511">
        <f>C8</f>
        <v>19.559999999999999</v>
      </c>
      <c r="D11" s="458">
        <f t="shared" si="2"/>
        <v>391.2</v>
      </c>
      <c r="E11" s="458">
        <f t="shared" si="2"/>
        <v>391.2</v>
      </c>
      <c r="F11" s="458">
        <f t="shared" si="2"/>
        <v>391.2</v>
      </c>
      <c r="G11" s="458">
        <f t="shared" si="2"/>
        <v>391.2</v>
      </c>
      <c r="H11" s="458">
        <f t="shared" si="2"/>
        <v>391.2</v>
      </c>
      <c r="I11" s="458">
        <f t="shared" si="2"/>
        <v>391.2</v>
      </c>
      <c r="J11" s="458">
        <f t="shared" si="2"/>
        <v>391.2</v>
      </c>
      <c r="K11" s="458">
        <f t="shared" si="2"/>
        <v>391.2</v>
      </c>
      <c r="L11" s="458">
        <f t="shared" si="2"/>
        <v>391.2</v>
      </c>
      <c r="M11" s="458">
        <f t="shared" si="2"/>
        <v>391.2</v>
      </c>
      <c r="P11" s="447" t="s">
        <v>468</v>
      </c>
      <c r="Q11" s="450">
        <f>Q10*Q9</f>
        <v>8.5227272727272734</v>
      </c>
      <c r="R11" s="450"/>
      <c r="S11" s="450"/>
    </row>
    <row r="12" spans="1:19" ht="19" thickBot="1" x14ac:dyDescent="0.25">
      <c r="B12" s="493" t="s">
        <v>465</v>
      </c>
      <c r="C12" s="511">
        <f>R19</f>
        <v>36.409090909090907</v>
      </c>
      <c r="D12" s="458">
        <f t="shared" si="2"/>
        <v>728.18181818181813</v>
      </c>
      <c r="E12" s="458">
        <f t="shared" si="1"/>
        <v>728.18181818181813</v>
      </c>
      <c r="F12" s="458">
        <f t="shared" si="1"/>
        <v>728.18181818181813</v>
      </c>
      <c r="G12" s="458">
        <f t="shared" si="1"/>
        <v>728.18181818181813</v>
      </c>
      <c r="H12" s="458">
        <f t="shared" si="1"/>
        <v>728.18181818181813</v>
      </c>
      <c r="I12" s="458">
        <f t="shared" si="1"/>
        <v>728.18181818181813</v>
      </c>
      <c r="J12" s="458">
        <f t="shared" si="1"/>
        <v>728.18181818181813</v>
      </c>
      <c r="K12" s="458">
        <f t="shared" si="1"/>
        <v>728.18181818181813</v>
      </c>
      <c r="L12" s="458">
        <f t="shared" si="1"/>
        <v>728.18181818181813</v>
      </c>
      <c r="M12" s="458">
        <f t="shared" si="1"/>
        <v>728.18181818181813</v>
      </c>
      <c r="P12" s="447" t="s">
        <v>439</v>
      </c>
      <c r="Q12" s="450">
        <f>Q11*25/33</f>
        <v>6.4566115702479348</v>
      </c>
      <c r="R12" s="450"/>
      <c r="S12" s="450"/>
    </row>
    <row r="13" spans="1:19" ht="19" thickBot="1" x14ac:dyDescent="0.25">
      <c r="B13" s="493" t="s">
        <v>453</v>
      </c>
      <c r="C13" s="511">
        <f>500*1.5*2.5/88</f>
        <v>21.306818181818183</v>
      </c>
      <c r="D13" s="458">
        <f t="shared" si="2"/>
        <v>426.13636363636368</v>
      </c>
      <c r="E13" s="458">
        <f t="shared" si="1"/>
        <v>426.13636363636368</v>
      </c>
      <c r="F13" s="458">
        <f t="shared" si="1"/>
        <v>426.13636363636368</v>
      </c>
      <c r="G13" s="458">
        <f t="shared" si="1"/>
        <v>426.13636363636368</v>
      </c>
      <c r="H13" s="458">
        <f t="shared" si="1"/>
        <v>426.13636363636368</v>
      </c>
      <c r="I13" s="458">
        <f t="shared" si="1"/>
        <v>426.13636363636368</v>
      </c>
      <c r="J13" s="458">
        <f t="shared" si="1"/>
        <v>426.13636363636368</v>
      </c>
      <c r="K13" s="458">
        <f t="shared" si="1"/>
        <v>426.13636363636368</v>
      </c>
      <c r="L13" s="458">
        <f t="shared" si="1"/>
        <v>426.13636363636368</v>
      </c>
      <c r="M13" s="458">
        <f t="shared" si="1"/>
        <v>426.13636363636368</v>
      </c>
      <c r="P13" s="447" t="s">
        <v>440</v>
      </c>
      <c r="Q13" s="450">
        <v>5</v>
      </c>
      <c r="R13" s="450"/>
      <c r="S13" s="450"/>
    </row>
    <row r="14" spans="1:19" ht="19" thickBot="1" x14ac:dyDescent="0.25">
      <c r="B14" s="493" t="s">
        <v>454</v>
      </c>
      <c r="C14" s="511">
        <f>(2500*1.5*2.5)/88</f>
        <v>106.53409090909091</v>
      </c>
      <c r="D14" s="458">
        <f t="shared" si="2"/>
        <v>2130.681818181818</v>
      </c>
      <c r="E14" s="458">
        <f t="shared" si="1"/>
        <v>2130.681818181818</v>
      </c>
      <c r="F14" s="458">
        <f t="shared" si="1"/>
        <v>2130.681818181818</v>
      </c>
      <c r="G14" s="458">
        <f t="shared" si="1"/>
        <v>2130.681818181818</v>
      </c>
      <c r="H14" s="458">
        <f t="shared" si="1"/>
        <v>2130.681818181818</v>
      </c>
      <c r="I14" s="458">
        <f t="shared" si="1"/>
        <v>2130.681818181818</v>
      </c>
      <c r="J14" s="458">
        <f t="shared" si="1"/>
        <v>2130.681818181818</v>
      </c>
      <c r="K14" s="458">
        <f t="shared" si="1"/>
        <v>2130.681818181818</v>
      </c>
      <c r="L14" s="458">
        <f t="shared" si="1"/>
        <v>2130.681818181818</v>
      </c>
      <c r="M14" s="458">
        <f t="shared" si="1"/>
        <v>2130.681818181818</v>
      </c>
      <c r="P14" s="447" t="s">
        <v>441</v>
      </c>
      <c r="Q14" s="450">
        <f>Q13*Q12*2</f>
        <v>64.566115702479351</v>
      </c>
      <c r="R14" s="450"/>
      <c r="S14" s="450"/>
    </row>
    <row r="15" spans="1:19" ht="19" thickBot="1" x14ac:dyDescent="0.25">
      <c r="B15" s="493" t="s">
        <v>455</v>
      </c>
      <c r="C15" s="511">
        <f>Q14</f>
        <v>64.566115702479351</v>
      </c>
      <c r="D15" s="458">
        <f>C15*D7</f>
        <v>1291.322314049587</v>
      </c>
      <c r="E15" s="458">
        <f>D15</f>
        <v>1291.322314049587</v>
      </c>
      <c r="F15" s="458">
        <f t="shared" ref="F15:M15" si="3">E15</f>
        <v>1291.322314049587</v>
      </c>
      <c r="G15" s="458">
        <f t="shared" si="3"/>
        <v>1291.322314049587</v>
      </c>
      <c r="H15" s="458">
        <f t="shared" si="3"/>
        <v>1291.322314049587</v>
      </c>
      <c r="I15" s="458">
        <f t="shared" si="3"/>
        <v>1291.322314049587</v>
      </c>
      <c r="J15" s="458">
        <f t="shared" si="3"/>
        <v>1291.322314049587</v>
      </c>
      <c r="K15" s="458">
        <f t="shared" si="3"/>
        <v>1291.322314049587</v>
      </c>
      <c r="L15" s="458">
        <f t="shared" si="3"/>
        <v>1291.322314049587</v>
      </c>
      <c r="M15" s="458">
        <f t="shared" si="3"/>
        <v>1291.322314049587</v>
      </c>
      <c r="Q15" s="450"/>
      <c r="R15" s="450"/>
      <c r="S15" s="450"/>
    </row>
    <row r="16" spans="1:19" s="448" customFormat="1" ht="19" thickBot="1" x14ac:dyDescent="0.25">
      <c r="A16" s="529"/>
      <c r="B16" s="493" t="s">
        <v>456</v>
      </c>
      <c r="C16" s="511">
        <f>1500*2.5/88</f>
        <v>42.613636363636367</v>
      </c>
      <c r="D16" s="458">
        <f t="shared" si="2"/>
        <v>852.27272727272737</v>
      </c>
      <c r="E16" s="458">
        <f t="shared" si="1"/>
        <v>852.27272727272737</v>
      </c>
      <c r="F16" s="458">
        <f t="shared" si="1"/>
        <v>852.27272727272737</v>
      </c>
      <c r="G16" s="458">
        <f t="shared" si="1"/>
        <v>852.27272727272737</v>
      </c>
      <c r="H16" s="458">
        <f t="shared" si="1"/>
        <v>852.27272727272737</v>
      </c>
      <c r="I16" s="458">
        <f t="shared" si="1"/>
        <v>852.27272727272737</v>
      </c>
      <c r="J16" s="458">
        <f t="shared" si="1"/>
        <v>852.27272727272737</v>
      </c>
      <c r="K16" s="458">
        <f t="shared" si="1"/>
        <v>852.27272727272737</v>
      </c>
      <c r="L16" s="458">
        <f t="shared" si="1"/>
        <v>852.27272727272737</v>
      </c>
      <c r="M16" s="458">
        <f t="shared" si="1"/>
        <v>852.27272727272737</v>
      </c>
      <c r="O16" s="448" t="s">
        <v>442</v>
      </c>
      <c r="P16" s="448" t="s">
        <v>443</v>
      </c>
      <c r="Q16" s="451" t="s">
        <v>444</v>
      </c>
      <c r="R16" s="451" t="s">
        <v>445</v>
      </c>
      <c r="S16" s="451"/>
    </row>
    <row r="17" spans="1:19" s="448" customFormat="1" ht="19" thickBot="1" x14ac:dyDescent="0.25">
      <c r="A17" s="529"/>
      <c r="B17" s="494" t="s">
        <v>457</v>
      </c>
      <c r="C17" s="512">
        <f>SUM(C8:C16)</f>
        <v>504.44179752066123</v>
      </c>
      <c r="D17" s="459">
        <f>SUM(D7:D16)</f>
        <v>10108.835950413224</v>
      </c>
      <c r="E17" s="459">
        <f t="shared" ref="E17:M17" si="4">SUM(E7:E16)</f>
        <v>10108.835950413224</v>
      </c>
      <c r="F17" s="459">
        <f t="shared" si="4"/>
        <v>10108.835950413224</v>
      </c>
      <c r="G17" s="459">
        <f t="shared" si="4"/>
        <v>10108.835950413224</v>
      </c>
      <c r="H17" s="459">
        <f t="shared" si="4"/>
        <v>10108.835950413224</v>
      </c>
      <c r="I17" s="459">
        <f t="shared" si="4"/>
        <v>10108.835950413224</v>
      </c>
      <c r="J17" s="459">
        <f t="shared" si="4"/>
        <v>10108.835950413224</v>
      </c>
      <c r="K17" s="459">
        <f t="shared" si="4"/>
        <v>10108.835950413224</v>
      </c>
      <c r="L17" s="459">
        <f t="shared" si="4"/>
        <v>10108.835950413224</v>
      </c>
      <c r="M17" s="459">
        <f t="shared" si="4"/>
        <v>10108.835950413224</v>
      </c>
      <c r="O17" s="448" t="s">
        <v>446</v>
      </c>
      <c r="P17" s="448">
        <v>100</v>
      </c>
      <c r="Q17" s="451">
        <f>1200/50/88</f>
        <v>0.27272727272727271</v>
      </c>
      <c r="R17" s="451">
        <f>Q17*P17</f>
        <v>27.27272727272727</v>
      </c>
      <c r="S17" s="451"/>
    </row>
    <row r="18" spans="1:19" s="448" customFormat="1" ht="19" thickBot="1" x14ac:dyDescent="0.25">
      <c r="A18" s="529"/>
      <c r="B18" s="494" t="s">
        <v>458</v>
      </c>
      <c r="C18" s="512"/>
      <c r="D18" s="459">
        <f>700*1.5*2.5</f>
        <v>2625</v>
      </c>
      <c r="E18" s="459">
        <f>750*1.5*2.5</f>
        <v>2812.5</v>
      </c>
      <c r="F18" s="459">
        <f>775*1.5*2.5</f>
        <v>2906.25</v>
      </c>
      <c r="G18" s="459">
        <f>850*1.5*2.5</f>
        <v>3187.5</v>
      </c>
      <c r="H18" s="459">
        <f>1000*1.5*2.5</f>
        <v>3750</v>
      </c>
      <c r="I18" s="459">
        <f>H18</f>
        <v>3750</v>
      </c>
      <c r="J18" s="459">
        <f t="shared" ref="J18:M18" si="5">I18</f>
        <v>3750</v>
      </c>
      <c r="K18" s="459">
        <f t="shared" si="5"/>
        <v>3750</v>
      </c>
      <c r="L18" s="459">
        <f t="shared" si="5"/>
        <v>3750</v>
      </c>
      <c r="M18" s="459">
        <f t="shared" si="5"/>
        <v>3750</v>
      </c>
      <c r="O18" s="448" t="s">
        <v>447</v>
      </c>
      <c r="P18" s="448">
        <f>40*1.5*2.5</f>
        <v>150</v>
      </c>
      <c r="Q18" s="451">
        <f>268/50/88</f>
        <v>6.0909090909090913E-2</v>
      </c>
      <c r="R18" s="451">
        <f>Q18*P18</f>
        <v>9.1363636363636367</v>
      </c>
      <c r="S18" s="451"/>
    </row>
    <row r="19" spans="1:19" s="448" customFormat="1" ht="19" thickBot="1" x14ac:dyDescent="0.25">
      <c r="A19" s="529"/>
      <c r="B19" s="494" t="s">
        <v>469</v>
      </c>
      <c r="C19" s="512"/>
      <c r="D19" s="488">
        <v>0.5</v>
      </c>
      <c r="E19" s="488">
        <v>0.5</v>
      </c>
      <c r="F19" s="488">
        <f>E19</f>
        <v>0.5</v>
      </c>
      <c r="G19" s="488">
        <f t="shared" ref="G19:M19" si="6">F19</f>
        <v>0.5</v>
      </c>
      <c r="H19" s="488">
        <f t="shared" si="6"/>
        <v>0.5</v>
      </c>
      <c r="I19" s="488">
        <f t="shared" si="6"/>
        <v>0.5</v>
      </c>
      <c r="J19" s="488">
        <f t="shared" si="6"/>
        <v>0.5</v>
      </c>
      <c r="K19" s="488">
        <f t="shared" si="6"/>
        <v>0.5</v>
      </c>
      <c r="L19" s="488">
        <f t="shared" si="6"/>
        <v>0.5</v>
      </c>
      <c r="M19" s="488">
        <f t="shared" si="6"/>
        <v>0.5</v>
      </c>
      <c r="Q19" s="451"/>
      <c r="R19" s="451">
        <f>SUM(R17:R18)</f>
        <v>36.409090909090907</v>
      </c>
      <c r="S19" s="451"/>
    </row>
    <row r="20" spans="1:19" s="448" customFormat="1" ht="19" thickBot="1" x14ac:dyDescent="0.25">
      <c r="A20" s="529"/>
      <c r="B20" s="494" t="s">
        <v>459</v>
      </c>
      <c r="C20" s="512"/>
      <c r="D20" s="459">
        <f>D19*D18*D7</f>
        <v>26250</v>
      </c>
      <c r="E20" s="459">
        <f t="shared" ref="E20:M20" si="7">E19*E18*E7</f>
        <v>28125</v>
      </c>
      <c r="F20" s="459">
        <f t="shared" si="7"/>
        <v>29062.5</v>
      </c>
      <c r="G20" s="459">
        <f t="shared" si="7"/>
        <v>31875</v>
      </c>
      <c r="H20" s="459">
        <f t="shared" si="7"/>
        <v>37500</v>
      </c>
      <c r="I20" s="459">
        <f t="shared" si="7"/>
        <v>37500</v>
      </c>
      <c r="J20" s="459">
        <f t="shared" si="7"/>
        <v>37500</v>
      </c>
      <c r="K20" s="459">
        <f t="shared" si="7"/>
        <v>37500</v>
      </c>
      <c r="L20" s="459">
        <f t="shared" si="7"/>
        <v>37500</v>
      </c>
      <c r="M20" s="459">
        <f t="shared" si="7"/>
        <v>37500</v>
      </c>
      <c r="Q20" s="451"/>
      <c r="R20" s="451"/>
      <c r="S20" s="451"/>
    </row>
    <row r="21" spans="1:19" s="448" customFormat="1" ht="19" thickBot="1" x14ac:dyDescent="0.25">
      <c r="A21" s="529"/>
      <c r="B21" s="495"/>
      <c r="C21" s="512"/>
      <c r="D21" s="457"/>
      <c r="E21" s="457"/>
      <c r="F21" s="457"/>
      <c r="G21" s="460"/>
      <c r="H21" s="460"/>
      <c r="I21" s="460"/>
      <c r="J21" s="460"/>
      <c r="K21" s="460"/>
      <c r="L21" s="460"/>
      <c r="M21" s="460"/>
      <c r="Q21" s="451"/>
      <c r="R21" s="451"/>
      <c r="S21" s="451"/>
    </row>
    <row r="22" spans="1:19" ht="19" thickBot="1" x14ac:dyDescent="0.25">
      <c r="B22" s="496" t="s">
        <v>460</v>
      </c>
      <c r="C22" s="512"/>
      <c r="D22" s="487">
        <f>D20-D17</f>
        <v>16141.164049586776</v>
      </c>
      <c r="E22" s="487">
        <f t="shared" ref="E22:M22" si="8">E20-E17</f>
        <v>18016.164049586776</v>
      </c>
      <c r="F22" s="487">
        <f t="shared" si="8"/>
        <v>18953.664049586776</v>
      </c>
      <c r="G22" s="487">
        <f t="shared" si="8"/>
        <v>21766.164049586776</v>
      </c>
      <c r="H22" s="487">
        <f t="shared" si="8"/>
        <v>27391.164049586776</v>
      </c>
      <c r="I22" s="487">
        <f t="shared" si="8"/>
        <v>27391.164049586776</v>
      </c>
      <c r="J22" s="487">
        <f t="shared" si="8"/>
        <v>27391.164049586776</v>
      </c>
      <c r="K22" s="487">
        <f t="shared" si="8"/>
        <v>27391.164049586776</v>
      </c>
      <c r="L22" s="487">
        <f t="shared" si="8"/>
        <v>27391.164049586776</v>
      </c>
      <c r="M22" s="487">
        <f t="shared" si="8"/>
        <v>27391.164049586776</v>
      </c>
      <c r="Q22" s="450"/>
      <c r="R22" s="450"/>
      <c r="S22" s="450"/>
    </row>
    <row r="23" spans="1:19" ht="19" thickBot="1" x14ac:dyDescent="0.25">
      <c r="B23" s="491"/>
      <c r="C23" s="510"/>
      <c r="D23" s="455"/>
      <c r="E23" s="455"/>
      <c r="F23" s="455"/>
      <c r="G23" s="455"/>
      <c r="H23" s="455"/>
      <c r="I23" s="455"/>
      <c r="J23" s="455"/>
      <c r="K23" s="455"/>
      <c r="L23" s="455"/>
      <c r="M23" s="455"/>
      <c r="Q23" s="450"/>
      <c r="R23" s="450"/>
      <c r="S23" s="450"/>
    </row>
    <row r="24" spans="1:19" ht="19" thickBot="1" x14ac:dyDescent="0.25">
      <c r="A24" s="528">
        <v>2</v>
      </c>
      <c r="B24" s="849" t="s">
        <v>462</v>
      </c>
      <c r="C24" s="849"/>
      <c r="D24" s="849"/>
      <c r="E24" s="849"/>
      <c r="F24" s="849"/>
      <c r="G24" s="849"/>
      <c r="H24" s="849"/>
      <c r="I24" s="849"/>
      <c r="J24" s="849"/>
      <c r="K24" s="849"/>
      <c r="L24" s="849"/>
      <c r="M24" s="849"/>
    </row>
    <row r="25" spans="1:19" s="525" customFormat="1" ht="19" thickBot="1" x14ac:dyDescent="0.25">
      <c r="A25" s="528"/>
      <c r="B25" s="489" t="s">
        <v>434</v>
      </c>
      <c r="C25" s="519" t="s">
        <v>466</v>
      </c>
      <c r="D25" s="471">
        <v>10</v>
      </c>
      <c r="E25" s="471">
        <f>D25</f>
        <v>10</v>
      </c>
      <c r="F25" s="471">
        <f t="shared" ref="F25:M25" si="9">E25</f>
        <v>10</v>
      </c>
      <c r="G25" s="471">
        <f t="shared" si="9"/>
        <v>10</v>
      </c>
      <c r="H25" s="471">
        <f t="shared" si="9"/>
        <v>10</v>
      </c>
      <c r="I25" s="471">
        <f t="shared" si="9"/>
        <v>10</v>
      </c>
      <c r="J25" s="471">
        <f t="shared" si="9"/>
        <v>10</v>
      </c>
      <c r="K25" s="471">
        <f t="shared" si="9"/>
        <v>10</v>
      </c>
      <c r="L25" s="471">
        <f t="shared" si="9"/>
        <v>10</v>
      </c>
      <c r="M25" s="471">
        <f t="shared" si="9"/>
        <v>10</v>
      </c>
    </row>
    <row r="26" spans="1:19" ht="19" thickBot="1" x14ac:dyDescent="0.25">
      <c r="B26" s="497" t="s">
        <v>449</v>
      </c>
      <c r="C26" s="518">
        <f>C44</f>
        <v>19.559999999999999</v>
      </c>
      <c r="D26" s="468">
        <f>D$25*$C26</f>
        <v>195.6</v>
      </c>
      <c r="E26" s="468">
        <f t="shared" ref="E26:M26" si="10">E$25*$C26</f>
        <v>195.6</v>
      </c>
      <c r="F26" s="468">
        <f t="shared" si="10"/>
        <v>195.6</v>
      </c>
      <c r="G26" s="468">
        <f t="shared" si="10"/>
        <v>195.6</v>
      </c>
      <c r="H26" s="468">
        <f t="shared" si="10"/>
        <v>195.6</v>
      </c>
      <c r="I26" s="468">
        <f t="shared" si="10"/>
        <v>195.6</v>
      </c>
      <c r="J26" s="468">
        <f t="shared" si="10"/>
        <v>195.6</v>
      </c>
      <c r="K26" s="468">
        <f t="shared" si="10"/>
        <v>195.6</v>
      </c>
      <c r="L26" s="468">
        <f t="shared" si="10"/>
        <v>195.6</v>
      </c>
      <c r="M26" s="468">
        <f t="shared" si="10"/>
        <v>195.6</v>
      </c>
    </row>
    <row r="27" spans="1:19" ht="19" thickBot="1" x14ac:dyDescent="0.25">
      <c r="B27" s="493" t="s">
        <v>450</v>
      </c>
      <c r="C27" s="518">
        <f>30*100/88</f>
        <v>34.090909090909093</v>
      </c>
      <c r="D27" s="468">
        <f t="shared" ref="D27:M34" si="11">D$25*$C27</f>
        <v>340.90909090909093</v>
      </c>
      <c r="E27" s="468">
        <f t="shared" si="11"/>
        <v>340.90909090909093</v>
      </c>
      <c r="F27" s="468">
        <f t="shared" si="11"/>
        <v>340.90909090909093</v>
      </c>
      <c r="G27" s="468">
        <f t="shared" si="11"/>
        <v>340.90909090909093</v>
      </c>
      <c r="H27" s="468">
        <f t="shared" si="11"/>
        <v>340.90909090909093</v>
      </c>
      <c r="I27" s="468">
        <f t="shared" si="11"/>
        <v>340.90909090909093</v>
      </c>
      <c r="J27" s="468">
        <f t="shared" si="11"/>
        <v>340.90909090909093</v>
      </c>
      <c r="K27" s="468">
        <f t="shared" si="11"/>
        <v>340.90909090909093</v>
      </c>
      <c r="L27" s="468">
        <f t="shared" si="11"/>
        <v>340.90909090909093</v>
      </c>
      <c r="M27" s="468">
        <f t="shared" si="11"/>
        <v>340.90909090909093</v>
      </c>
    </row>
    <row r="28" spans="1:19" ht="19" thickBot="1" x14ac:dyDescent="0.25">
      <c r="B28" s="493" t="s">
        <v>451</v>
      </c>
      <c r="C28" s="518">
        <f>35</f>
        <v>35</v>
      </c>
      <c r="D28" s="468">
        <f t="shared" si="11"/>
        <v>350</v>
      </c>
      <c r="E28" s="468">
        <f t="shared" si="11"/>
        <v>350</v>
      </c>
      <c r="F28" s="468">
        <f t="shared" si="11"/>
        <v>350</v>
      </c>
      <c r="G28" s="468">
        <f t="shared" si="11"/>
        <v>350</v>
      </c>
      <c r="H28" s="468">
        <f t="shared" si="11"/>
        <v>350</v>
      </c>
      <c r="I28" s="468">
        <f t="shared" si="11"/>
        <v>350</v>
      </c>
      <c r="J28" s="468">
        <f t="shared" si="11"/>
        <v>350</v>
      </c>
      <c r="K28" s="468">
        <f t="shared" si="11"/>
        <v>350</v>
      </c>
      <c r="L28" s="468">
        <f t="shared" si="11"/>
        <v>350</v>
      </c>
      <c r="M28" s="468">
        <f t="shared" si="11"/>
        <v>350</v>
      </c>
    </row>
    <row r="29" spans="1:19" ht="19" thickBot="1" x14ac:dyDescent="0.25">
      <c r="B29" s="493" t="s">
        <v>452</v>
      </c>
      <c r="C29" s="518">
        <f>C47</f>
        <v>56.81818181818182</v>
      </c>
      <c r="D29" s="468">
        <f t="shared" si="11"/>
        <v>568.18181818181824</v>
      </c>
      <c r="E29" s="468">
        <f t="shared" si="11"/>
        <v>568.18181818181824</v>
      </c>
      <c r="F29" s="468">
        <f t="shared" si="11"/>
        <v>568.18181818181824</v>
      </c>
      <c r="G29" s="468">
        <f t="shared" si="11"/>
        <v>568.18181818181824</v>
      </c>
      <c r="H29" s="468">
        <f t="shared" si="11"/>
        <v>568.18181818181824</v>
      </c>
      <c r="I29" s="468">
        <f t="shared" si="11"/>
        <v>568.18181818181824</v>
      </c>
      <c r="J29" s="468">
        <f t="shared" si="11"/>
        <v>568.18181818181824</v>
      </c>
      <c r="K29" s="468">
        <f t="shared" si="11"/>
        <v>568.18181818181824</v>
      </c>
      <c r="L29" s="468">
        <f t="shared" si="11"/>
        <v>568.18181818181824</v>
      </c>
      <c r="M29" s="468">
        <f t="shared" si="11"/>
        <v>568.18181818181824</v>
      </c>
    </row>
    <row r="30" spans="1:19" ht="19" thickBot="1" x14ac:dyDescent="0.25">
      <c r="B30" s="493" t="s">
        <v>465</v>
      </c>
      <c r="C30" s="518">
        <f>C12</f>
        <v>36.409090909090907</v>
      </c>
      <c r="D30" s="468">
        <f t="shared" si="11"/>
        <v>364.09090909090907</v>
      </c>
      <c r="E30" s="468">
        <f t="shared" si="11"/>
        <v>364.09090909090907</v>
      </c>
      <c r="F30" s="468">
        <f t="shared" si="11"/>
        <v>364.09090909090907</v>
      </c>
      <c r="G30" s="468">
        <f t="shared" si="11"/>
        <v>364.09090909090907</v>
      </c>
      <c r="H30" s="468">
        <f t="shared" si="11"/>
        <v>364.09090909090907</v>
      </c>
      <c r="I30" s="468">
        <f t="shared" si="11"/>
        <v>364.09090909090907</v>
      </c>
      <c r="J30" s="468">
        <f t="shared" si="11"/>
        <v>364.09090909090907</v>
      </c>
      <c r="K30" s="468">
        <f t="shared" si="11"/>
        <v>364.09090909090907</v>
      </c>
      <c r="L30" s="468">
        <f t="shared" si="11"/>
        <v>364.09090909090907</v>
      </c>
      <c r="M30" s="468">
        <f t="shared" si="11"/>
        <v>364.09090909090907</v>
      </c>
    </row>
    <row r="31" spans="1:19" ht="19" thickBot="1" x14ac:dyDescent="0.25">
      <c r="B31" s="493" t="s">
        <v>453</v>
      </c>
      <c r="C31" s="518">
        <f>10000/88</f>
        <v>113.63636363636364</v>
      </c>
      <c r="D31" s="468">
        <f t="shared" si="11"/>
        <v>1136.3636363636365</v>
      </c>
      <c r="E31" s="468">
        <f t="shared" si="11"/>
        <v>1136.3636363636365</v>
      </c>
      <c r="F31" s="468">
        <f t="shared" si="11"/>
        <v>1136.3636363636365</v>
      </c>
      <c r="G31" s="468">
        <f t="shared" si="11"/>
        <v>1136.3636363636365</v>
      </c>
      <c r="H31" s="468">
        <f t="shared" si="11"/>
        <v>1136.3636363636365</v>
      </c>
      <c r="I31" s="468">
        <f t="shared" si="11"/>
        <v>1136.3636363636365</v>
      </c>
      <c r="J31" s="468">
        <f t="shared" si="11"/>
        <v>1136.3636363636365</v>
      </c>
      <c r="K31" s="468">
        <f t="shared" si="11"/>
        <v>1136.3636363636365</v>
      </c>
      <c r="L31" s="468">
        <f t="shared" si="11"/>
        <v>1136.3636363636365</v>
      </c>
      <c r="M31" s="468">
        <f t="shared" si="11"/>
        <v>1136.3636363636365</v>
      </c>
    </row>
    <row r="32" spans="1:19" ht="19" thickBot="1" x14ac:dyDescent="0.25">
      <c r="B32" s="493" t="s">
        <v>454</v>
      </c>
      <c r="C32" s="518">
        <f>34</f>
        <v>34</v>
      </c>
      <c r="D32" s="468">
        <f t="shared" si="11"/>
        <v>340</v>
      </c>
      <c r="E32" s="468">
        <f t="shared" si="11"/>
        <v>340</v>
      </c>
      <c r="F32" s="468">
        <f t="shared" si="11"/>
        <v>340</v>
      </c>
      <c r="G32" s="468">
        <f t="shared" si="11"/>
        <v>340</v>
      </c>
      <c r="H32" s="468">
        <f t="shared" si="11"/>
        <v>340</v>
      </c>
      <c r="I32" s="468">
        <f t="shared" si="11"/>
        <v>340</v>
      </c>
      <c r="J32" s="468">
        <f t="shared" si="11"/>
        <v>340</v>
      </c>
      <c r="K32" s="468">
        <f t="shared" si="11"/>
        <v>340</v>
      </c>
      <c r="L32" s="468">
        <f t="shared" si="11"/>
        <v>340</v>
      </c>
      <c r="M32" s="468">
        <f t="shared" si="11"/>
        <v>340</v>
      </c>
    </row>
    <row r="33" spans="1:13" ht="19" thickBot="1" x14ac:dyDescent="0.25">
      <c r="B33" s="493" t="s">
        <v>455</v>
      </c>
      <c r="C33" s="518">
        <f>C15/2</f>
        <v>32.283057851239676</v>
      </c>
      <c r="D33" s="468">
        <f t="shared" si="11"/>
        <v>322.83057851239676</v>
      </c>
      <c r="E33" s="468">
        <f t="shared" si="11"/>
        <v>322.83057851239676</v>
      </c>
      <c r="F33" s="468">
        <f t="shared" si="11"/>
        <v>322.83057851239676</v>
      </c>
      <c r="G33" s="468">
        <f t="shared" si="11"/>
        <v>322.83057851239676</v>
      </c>
      <c r="H33" s="468">
        <f t="shared" si="11"/>
        <v>322.83057851239676</v>
      </c>
      <c r="I33" s="468">
        <f t="shared" si="11"/>
        <v>322.83057851239676</v>
      </c>
      <c r="J33" s="468">
        <f t="shared" si="11"/>
        <v>322.83057851239676</v>
      </c>
      <c r="K33" s="468">
        <f t="shared" si="11"/>
        <v>322.83057851239676</v>
      </c>
      <c r="L33" s="468">
        <f t="shared" si="11"/>
        <v>322.83057851239676</v>
      </c>
      <c r="M33" s="468">
        <f t="shared" si="11"/>
        <v>322.83057851239676</v>
      </c>
    </row>
    <row r="34" spans="1:13" ht="19" thickBot="1" x14ac:dyDescent="0.25">
      <c r="B34" s="493" t="s">
        <v>456</v>
      </c>
      <c r="C34" s="518">
        <f>137</f>
        <v>137</v>
      </c>
      <c r="D34" s="468">
        <f t="shared" si="11"/>
        <v>1370</v>
      </c>
      <c r="E34" s="468">
        <f t="shared" si="11"/>
        <v>1370</v>
      </c>
      <c r="F34" s="468">
        <f t="shared" si="11"/>
        <v>1370</v>
      </c>
      <c r="G34" s="468">
        <f t="shared" si="11"/>
        <v>1370</v>
      </c>
      <c r="H34" s="468">
        <f t="shared" si="11"/>
        <v>1370</v>
      </c>
      <c r="I34" s="468">
        <f t="shared" si="11"/>
        <v>1370</v>
      </c>
      <c r="J34" s="468">
        <f t="shared" si="11"/>
        <v>1370</v>
      </c>
      <c r="K34" s="468">
        <f t="shared" si="11"/>
        <v>1370</v>
      </c>
      <c r="L34" s="468">
        <f t="shared" si="11"/>
        <v>1370</v>
      </c>
      <c r="M34" s="468">
        <f t="shared" si="11"/>
        <v>1370</v>
      </c>
    </row>
    <row r="35" spans="1:13" ht="19" thickBot="1" x14ac:dyDescent="0.25">
      <c r="B35" s="494" t="s">
        <v>457</v>
      </c>
      <c r="C35" s="519">
        <f>SUM(C26:C34)</f>
        <v>498.79760330578512</v>
      </c>
      <c r="D35" s="498">
        <f t="shared" ref="D35:M35" si="12">SUM(D26:D34)</f>
        <v>4987.9760330578511</v>
      </c>
      <c r="E35" s="498">
        <f t="shared" si="12"/>
        <v>4987.9760330578511</v>
      </c>
      <c r="F35" s="498">
        <f t="shared" si="12"/>
        <v>4987.9760330578511</v>
      </c>
      <c r="G35" s="498">
        <f t="shared" si="12"/>
        <v>4987.9760330578511</v>
      </c>
      <c r="H35" s="498">
        <f t="shared" si="12"/>
        <v>4987.9760330578511</v>
      </c>
      <c r="I35" s="498">
        <f t="shared" si="12"/>
        <v>4987.9760330578511</v>
      </c>
      <c r="J35" s="498">
        <f t="shared" si="12"/>
        <v>4987.9760330578511</v>
      </c>
      <c r="K35" s="498">
        <f t="shared" si="12"/>
        <v>4987.9760330578511</v>
      </c>
      <c r="L35" s="498">
        <f t="shared" si="12"/>
        <v>4987.9760330578511</v>
      </c>
      <c r="M35" s="498">
        <f t="shared" si="12"/>
        <v>4987.9760330578511</v>
      </c>
    </row>
    <row r="36" spans="1:13" ht="19" thickBot="1" x14ac:dyDescent="0.25">
      <c r="B36" s="494" t="s">
        <v>458</v>
      </c>
      <c r="C36" s="519"/>
      <c r="D36" s="498">
        <v>900</v>
      </c>
      <c r="E36" s="498">
        <v>1000</v>
      </c>
      <c r="F36" s="498">
        <f>1100</f>
        <v>1100</v>
      </c>
      <c r="G36" s="498">
        <f>F36</f>
        <v>1100</v>
      </c>
      <c r="H36" s="498">
        <f t="shared" ref="H36:M36" si="13">G36</f>
        <v>1100</v>
      </c>
      <c r="I36" s="498">
        <f t="shared" si="13"/>
        <v>1100</v>
      </c>
      <c r="J36" s="498">
        <f t="shared" si="13"/>
        <v>1100</v>
      </c>
      <c r="K36" s="498">
        <f t="shared" si="13"/>
        <v>1100</v>
      </c>
      <c r="L36" s="498">
        <f t="shared" si="13"/>
        <v>1100</v>
      </c>
      <c r="M36" s="498">
        <f t="shared" si="13"/>
        <v>1100</v>
      </c>
    </row>
    <row r="37" spans="1:13" ht="19" thickBot="1" x14ac:dyDescent="0.25">
      <c r="B37" s="494" t="s">
        <v>469</v>
      </c>
      <c r="C37" s="519"/>
      <c r="D37" s="499">
        <v>1.3</v>
      </c>
      <c r="E37" s="499">
        <f>D37</f>
        <v>1.3</v>
      </c>
      <c r="F37" s="499">
        <f t="shared" ref="F37:M37" si="14">E37</f>
        <v>1.3</v>
      </c>
      <c r="G37" s="499">
        <f t="shared" si="14"/>
        <v>1.3</v>
      </c>
      <c r="H37" s="499">
        <f t="shared" si="14"/>
        <v>1.3</v>
      </c>
      <c r="I37" s="499">
        <f t="shared" si="14"/>
        <v>1.3</v>
      </c>
      <c r="J37" s="499">
        <f t="shared" si="14"/>
        <v>1.3</v>
      </c>
      <c r="K37" s="499">
        <f t="shared" si="14"/>
        <v>1.3</v>
      </c>
      <c r="L37" s="499">
        <f t="shared" si="14"/>
        <v>1.3</v>
      </c>
      <c r="M37" s="499">
        <f t="shared" si="14"/>
        <v>1.3</v>
      </c>
    </row>
    <row r="38" spans="1:13" ht="19" thickBot="1" x14ac:dyDescent="0.25">
      <c r="B38" s="494" t="s">
        <v>459</v>
      </c>
      <c r="C38" s="519"/>
      <c r="D38" s="498">
        <f>D37*D36*D25</f>
        <v>11700</v>
      </c>
      <c r="E38" s="498">
        <f t="shared" ref="E38:M38" si="15">E37*E36*E25</f>
        <v>13000</v>
      </c>
      <c r="F38" s="498">
        <f t="shared" si="15"/>
        <v>14300</v>
      </c>
      <c r="G38" s="498">
        <f t="shared" si="15"/>
        <v>14300</v>
      </c>
      <c r="H38" s="498">
        <f t="shared" si="15"/>
        <v>14300</v>
      </c>
      <c r="I38" s="498">
        <f t="shared" si="15"/>
        <v>14300</v>
      </c>
      <c r="J38" s="498">
        <f t="shared" si="15"/>
        <v>14300</v>
      </c>
      <c r="K38" s="498">
        <f t="shared" si="15"/>
        <v>14300</v>
      </c>
      <c r="L38" s="498">
        <f t="shared" si="15"/>
        <v>14300</v>
      </c>
      <c r="M38" s="498">
        <f t="shared" si="15"/>
        <v>14300</v>
      </c>
    </row>
    <row r="39" spans="1:13" ht="19" thickBot="1" x14ac:dyDescent="0.25">
      <c r="B39" s="495"/>
      <c r="C39" s="519"/>
      <c r="D39" s="498"/>
      <c r="E39" s="498"/>
      <c r="F39" s="498"/>
      <c r="G39" s="498"/>
      <c r="H39" s="498"/>
      <c r="I39" s="498"/>
      <c r="J39" s="498"/>
      <c r="K39" s="498"/>
      <c r="L39" s="498"/>
      <c r="M39" s="498"/>
    </row>
    <row r="40" spans="1:13" ht="19" thickBot="1" x14ac:dyDescent="0.25">
      <c r="B40" s="496" t="s">
        <v>460</v>
      </c>
      <c r="C40" s="519"/>
      <c r="D40" s="498">
        <f>D38-D35</f>
        <v>6712.0239669421489</v>
      </c>
      <c r="E40" s="498">
        <f t="shared" ref="E40:M40" si="16">E38-E35</f>
        <v>8012.0239669421489</v>
      </c>
      <c r="F40" s="498">
        <f t="shared" si="16"/>
        <v>9312.0239669421499</v>
      </c>
      <c r="G40" s="498">
        <f t="shared" si="16"/>
        <v>9312.0239669421499</v>
      </c>
      <c r="H40" s="498">
        <f t="shared" si="16"/>
        <v>9312.0239669421499</v>
      </c>
      <c r="I40" s="498">
        <f t="shared" si="16"/>
        <v>9312.0239669421499</v>
      </c>
      <c r="J40" s="498">
        <f t="shared" si="16"/>
        <v>9312.0239669421499</v>
      </c>
      <c r="K40" s="498">
        <f t="shared" si="16"/>
        <v>9312.0239669421499</v>
      </c>
      <c r="L40" s="498">
        <f t="shared" si="16"/>
        <v>9312.0239669421499</v>
      </c>
      <c r="M40" s="498">
        <f t="shared" si="16"/>
        <v>9312.0239669421499</v>
      </c>
    </row>
    <row r="41" spans="1:13" ht="19" thickBot="1" x14ac:dyDescent="0.25">
      <c r="B41" s="454"/>
      <c r="C41" s="510"/>
      <c r="D41" s="456"/>
      <c r="E41" s="456"/>
      <c r="F41" s="456"/>
      <c r="G41" s="456"/>
      <c r="H41" s="456"/>
      <c r="I41" s="456"/>
      <c r="J41" s="456"/>
      <c r="K41" s="456"/>
      <c r="L41" s="456"/>
      <c r="M41" s="456"/>
    </row>
    <row r="42" spans="1:13" ht="19" thickBot="1" x14ac:dyDescent="0.25">
      <c r="A42" s="528">
        <v>3</v>
      </c>
      <c r="B42" s="836" t="s">
        <v>470</v>
      </c>
      <c r="C42" s="837"/>
      <c r="D42" s="837"/>
      <c r="E42" s="837"/>
      <c r="F42" s="837"/>
      <c r="G42" s="837"/>
      <c r="H42" s="837"/>
      <c r="I42" s="837"/>
      <c r="J42" s="837"/>
      <c r="K42" s="837"/>
      <c r="L42" s="837"/>
      <c r="M42" s="838"/>
    </row>
    <row r="43" spans="1:13" s="525" customFormat="1" ht="19" thickBot="1" x14ac:dyDescent="0.25">
      <c r="A43" s="528"/>
      <c r="B43" s="489" t="s">
        <v>434</v>
      </c>
      <c r="C43" s="516" t="s">
        <v>466</v>
      </c>
      <c r="D43" s="506">
        <v>20</v>
      </c>
      <c r="E43" s="506">
        <f>D43</f>
        <v>20</v>
      </c>
      <c r="F43" s="506">
        <f t="shared" ref="F43:M43" si="17">E43</f>
        <v>20</v>
      </c>
      <c r="G43" s="506">
        <f t="shared" si="17"/>
        <v>20</v>
      </c>
      <c r="H43" s="506">
        <f t="shared" si="17"/>
        <v>20</v>
      </c>
      <c r="I43" s="506">
        <f t="shared" si="17"/>
        <v>20</v>
      </c>
      <c r="J43" s="506">
        <f t="shared" si="17"/>
        <v>20</v>
      </c>
      <c r="K43" s="506">
        <f t="shared" si="17"/>
        <v>20</v>
      </c>
      <c r="L43" s="506">
        <f t="shared" si="17"/>
        <v>20</v>
      </c>
      <c r="M43" s="506">
        <f t="shared" si="17"/>
        <v>20</v>
      </c>
    </row>
    <row r="44" spans="1:13" ht="19" thickBot="1" x14ac:dyDescent="0.25">
      <c r="B44" s="497" t="s">
        <v>449</v>
      </c>
      <c r="C44" s="515">
        <f>C62</f>
        <v>19.559999999999999</v>
      </c>
      <c r="D44" s="463">
        <f>$C44*D$43</f>
        <v>391.2</v>
      </c>
      <c r="E44" s="463">
        <f t="shared" ref="E44:M44" si="18">$C44*E$43</f>
        <v>391.2</v>
      </c>
      <c r="F44" s="463">
        <f t="shared" si="18"/>
        <v>391.2</v>
      </c>
      <c r="G44" s="463">
        <f t="shared" si="18"/>
        <v>391.2</v>
      </c>
      <c r="H44" s="463">
        <f t="shared" si="18"/>
        <v>391.2</v>
      </c>
      <c r="I44" s="463">
        <f t="shared" si="18"/>
        <v>391.2</v>
      </c>
      <c r="J44" s="463">
        <f t="shared" si="18"/>
        <v>391.2</v>
      </c>
      <c r="K44" s="463">
        <f t="shared" si="18"/>
        <v>391.2</v>
      </c>
      <c r="L44" s="463">
        <f t="shared" si="18"/>
        <v>391.2</v>
      </c>
      <c r="M44" s="463">
        <f t="shared" si="18"/>
        <v>391.2</v>
      </c>
    </row>
    <row r="45" spans="1:13" ht="19" thickBot="1" x14ac:dyDescent="0.25">
      <c r="B45" s="493" t="s">
        <v>450</v>
      </c>
      <c r="C45" s="515">
        <f>100*75/88</f>
        <v>85.227272727272734</v>
      </c>
      <c r="D45" s="463">
        <f t="shared" ref="D45:M53" si="19">$C45*D$43</f>
        <v>1704.5454545454547</v>
      </c>
      <c r="E45" s="463">
        <f t="shared" si="19"/>
        <v>1704.5454545454547</v>
      </c>
      <c r="F45" s="463">
        <f t="shared" si="19"/>
        <v>1704.5454545454547</v>
      </c>
      <c r="G45" s="463">
        <f t="shared" si="19"/>
        <v>1704.5454545454547</v>
      </c>
      <c r="H45" s="463">
        <f t="shared" si="19"/>
        <v>1704.5454545454547</v>
      </c>
      <c r="I45" s="463">
        <f t="shared" si="19"/>
        <v>1704.5454545454547</v>
      </c>
      <c r="J45" s="463">
        <f t="shared" si="19"/>
        <v>1704.5454545454547</v>
      </c>
      <c r="K45" s="463">
        <f t="shared" si="19"/>
        <v>1704.5454545454547</v>
      </c>
      <c r="L45" s="463">
        <f t="shared" si="19"/>
        <v>1704.5454545454547</v>
      </c>
      <c r="M45" s="463">
        <f t="shared" si="19"/>
        <v>1704.5454545454547</v>
      </c>
    </row>
    <row r="46" spans="1:13" ht="19" thickBot="1" x14ac:dyDescent="0.25">
      <c r="B46" s="493" t="s">
        <v>451</v>
      </c>
      <c r="C46" s="515"/>
      <c r="D46" s="463">
        <f t="shared" si="19"/>
        <v>0</v>
      </c>
      <c r="E46" s="463">
        <f t="shared" si="19"/>
        <v>0</v>
      </c>
      <c r="F46" s="463">
        <f t="shared" si="19"/>
        <v>0</v>
      </c>
      <c r="G46" s="463">
        <f t="shared" si="19"/>
        <v>0</v>
      </c>
      <c r="H46" s="463">
        <f t="shared" si="19"/>
        <v>0</v>
      </c>
      <c r="I46" s="463">
        <f t="shared" si="19"/>
        <v>0</v>
      </c>
      <c r="J46" s="463">
        <f t="shared" si="19"/>
        <v>0</v>
      </c>
      <c r="K46" s="463">
        <f t="shared" si="19"/>
        <v>0</v>
      </c>
      <c r="L46" s="463">
        <f t="shared" si="19"/>
        <v>0</v>
      </c>
      <c r="M46" s="463">
        <f t="shared" si="19"/>
        <v>0</v>
      </c>
    </row>
    <row r="47" spans="1:13" ht="19" thickBot="1" x14ac:dyDescent="0.25">
      <c r="B47" s="493" t="s">
        <v>452</v>
      </c>
      <c r="C47" s="515">
        <f>5000/88</f>
        <v>56.81818181818182</v>
      </c>
      <c r="D47" s="463">
        <f t="shared" si="19"/>
        <v>1136.3636363636365</v>
      </c>
      <c r="E47" s="463">
        <f t="shared" si="19"/>
        <v>1136.3636363636365</v>
      </c>
      <c r="F47" s="463">
        <f t="shared" si="19"/>
        <v>1136.3636363636365</v>
      </c>
      <c r="G47" s="463">
        <f t="shared" si="19"/>
        <v>1136.3636363636365</v>
      </c>
      <c r="H47" s="463">
        <f t="shared" si="19"/>
        <v>1136.3636363636365</v>
      </c>
      <c r="I47" s="463">
        <f t="shared" si="19"/>
        <v>1136.3636363636365</v>
      </c>
      <c r="J47" s="463">
        <f t="shared" si="19"/>
        <v>1136.3636363636365</v>
      </c>
      <c r="K47" s="463">
        <f t="shared" si="19"/>
        <v>1136.3636363636365</v>
      </c>
      <c r="L47" s="463">
        <f t="shared" si="19"/>
        <v>1136.3636363636365</v>
      </c>
      <c r="M47" s="463">
        <f t="shared" si="19"/>
        <v>1136.3636363636365</v>
      </c>
    </row>
    <row r="48" spans="1:13" ht="19" thickBot="1" x14ac:dyDescent="0.25">
      <c r="B48" s="493" t="s">
        <v>465</v>
      </c>
      <c r="C48" s="515">
        <f>10000/88</f>
        <v>113.63636363636364</v>
      </c>
      <c r="D48" s="463">
        <f t="shared" si="19"/>
        <v>2272.727272727273</v>
      </c>
      <c r="E48" s="463">
        <f t="shared" si="19"/>
        <v>2272.727272727273</v>
      </c>
      <c r="F48" s="463">
        <f t="shared" si="19"/>
        <v>2272.727272727273</v>
      </c>
      <c r="G48" s="463">
        <f t="shared" si="19"/>
        <v>2272.727272727273</v>
      </c>
      <c r="H48" s="463">
        <f t="shared" si="19"/>
        <v>2272.727272727273</v>
      </c>
      <c r="I48" s="463">
        <f t="shared" si="19"/>
        <v>2272.727272727273</v>
      </c>
      <c r="J48" s="463">
        <f t="shared" si="19"/>
        <v>2272.727272727273</v>
      </c>
      <c r="K48" s="463">
        <f t="shared" si="19"/>
        <v>2272.727272727273</v>
      </c>
      <c r="L48" s="463">
        <f t="shared" si="19"/>
        <v>2272.727272727273</v>
      </c>
      <c r="M48" s="463">
        <f t="shared" si="19"/>
        <v>2272.727272727273</v>
      </c>
    </row>
    <row r="49" spans="1:18" ht="19" thickBot="1" x14ac:dyDescent="0.25">
      <c r="B49" s="493" t="s">
        <v>453</v>
      </c>
      <c r="C49" s="515">
        <f>C47+2500/88</f>
        <v>85.227272727272734</v>
      </c>
      <c r="D49" s="463">
        <f t="shared" si="19"/>
        <v>1704.5454545454547</v>
      </c>
      <c r="E49" s="463">
        <f t="shared" si="19"/>
        <v>1704.5454545454547</v>
      </c>
      <c r="F49" s="463">
        <f t="shared" si="19"/>
        <v>1704.5454545454547</v>
      </c>
      <c r="G49" s="463">
        <f t="shared" si="19"/>
        <v>1704.5454545454547</v>
      </c>
      <c r="H49" s="463">
        <f t="shared" si="19"/>
        <v>1704.5454545454547</v>
      </c>
      <c r="I49" s="463">
        <f t="shared" si="19"/>
        <v>1704.5454545454547</v>
      </c>
      <c r="J49" s="463">
        <f t="shared" si="19"/>
        <v>1704.5454545454547</v>
      </c>
      <c r="K49" s="463">
        <f t="shared" si="19"/>
        <v>1704.5454545454547</v>
      </c>
      <c r="L49" s="463">
        <f t="shared" si="19"/>
        <v>1704.5454545454547</v>
      </c>
      <c r="M49" s="463">
        <f t="shared" si="19"/>
        <v>1704.5454545454547</v>
      </c>
    </row>
    <row r="50" spans="1:18" ht="19" thickBot="1" x14ac:dyDescent="0.25">
      <c r="B50" s="493" t="s">
        <v>454</v>
      </c>
      <c r="C50" s="515">
        <f>C49</f>
        <v>85.227272727272734</v>
      </c>
      <c r="D50" s="463">
        <f t="shared" si="19"/>
        <v>1704.5454545454547</v>
      </c>
      <c r="E50" s="463">
        <f t="shared" si="19"/>
        <v>1704.5454545454547</v>
      </c>
      <c r="F50" s="463">
        <f t="shared" si="19"/>
        <v>1704.5454545454547</v>
      </c>
      <c r="G50" s="463">
        <f t="shared" si="19"/>
        <v>1704.5454545454547</v>
      </c>
      <c r="H50" s="463">
        <f t="shared" si="19"/>
        <v>1704.5454545454547</v>
      </c>
      <c r="I50" s="463">
        <f t="shared" si="19"/>
        <v>1704.5454545454547</v>
      </c>
      <c r="J50" s="463">
        <f t="shared" si="19"/>
        <v>1704.5454545454547</v>
      </c>
      <c r="K50" s="463">
        <f t="shared" si="19"/>
        <v>1704.5454545454547</v>
      </c>
      <c r="L50" s="463">
        <f t="shared" si="19"/>
        <v>1704.5454545454547</v>
      </c>
      <c r="M50" s="463">
        <f t="shared" si="19"/>
        <v>1704.5454545454547</v>
      </c>
    </row>
    <row r="51" spans="1:18" ht="19" thickBot="1" x14ac:dyDescent="0.25">
      <c r="B51" s="493" t="s">
        <v>455</v>
      </c>
      <c r="C51" s="515">
        <f>C15*2</f>
        <v>129.1322314049587</v>
      </c>
      <c r="D51" s="463">
        <f t="shared" si="19"/>
        <v>2582.644628099174</v>
      </c>
      <c r="E51" s="463">
        <f t="shared" si="19"/>
        <v>2582.644628099174</v>
      </c>
      <c r="F51" s="463">
        <f t="shared" si="19"/>
        <v>2582.644628099174</v>
      </c>
      <c r="G51" s="463">
        <f t="shared" si="19"/>
        <v>2582.644628099174</v>
      </c>
      <c r="H51" s="463">
        <f t="shared" si="19"/>
        <v>2582.644628099174</v>
      </c>
      <c r="I51" s="463">
        <f t="shared" si="19"/>
        <v>2582.644628099174</v>
      </c>
      <c r="J51" s="463">
        <f t="shared" si="19"/>
        <v>2582.644628099174</v>
      </c>
      <c r="K51" s="463">
        <f t="shared" si="19"/>
        <v>2582.644628099174</v>
      </c>
      <c r="L51" s="463">
        <f t="shared" si="19"/>
        <v>2582.644628099174</v>
      </c>
      <c r="M51" s="463">
        <f t="shared" si="19"/>
        <v>2582.644628099174</v>
      </c>
    </row>
    <row r="52" spans="1:18" ht="19" thickBot="1" x14ac:dyDescent="0.25">
      <c r="B52" s="493" t="s">
        <v>456</v>
      </c>
      <c r="C52" s="515">
        <f>10000/88</f>
        <v>113.63636363636364</v>
      </c>
      <c r="D52" s="463">
        <f t="shared" si="19"/>
        <v>2272.727272727273</v>
      </c>
      <c r="E52" s="463">
        <f t="shared" si="19"/>
        <v>2272.727272727273</v>
      </c>
      <c r="F52" s="463">
        <f t="shared" si="19"/>
        <v>2272.727272727273</v>
      </c>
      <c r="G52" s="463">
        <f t="shared" si="19"/>
        <v>2272.727272727273</v>
      </c>
      <c r="H52" s="463">
        <f t="shared" si="19"/>
        <v>2272.727272727273</v>
      </c>
      <c r="I52" s="463">
        <f t="shared" si="19"/>
        <v>2272.727272727273</v>
      </c>
      <c r="J52" s="463">
        <f t="shared" si="19"/>
        <v>2272.727272727273</v>
      </c>
      <c r="K52" s="463">
        <f t="shared" si="19"/>
        <v>2272.727272727273</v>
      </c>
      <c r="L52" s="463">
        <f t="shared" si="19"/>
        <v>2272.727272727273</v>
      </c>
      <c r="M52" s="463">
        <f t="shared" si="19"/>
        <v>2272.727272727273</v>
      </c>
    </row>
    <row r="53" spans="1:18" ht="19" thickBot="1" x14ac:dyDescent="0.25">
      <c r="B53" s="494" t="s">
        <v>457</v>
      </c>
      <c r="C53" s="516">
        <f>SUM(C44:C52)</f>
        <v>688.46495867768601</v>
      </c>
      <c r="D53" s="501">
        <f t="shared" si="19"/>
        <v>13769.29917355372</v>
      </c>
      <c r="E53" s="501">
        <f t="shared" si="19"/>
        <v>13769.29917355372</v>
      </c>
      <c r="F53" s="501">
        <f t="shared" si="19"/>
        <v>13769.29917355372</v>
      </c>
      <c r="G53" s="501">
        <f t="shared" si="19"/>
        <v>13769.29917355372</v>
      </c>
      <c r="H53" s="501">
        <f t="shared" si="19"/>
        <v>13769.29917355372</v>
      </c>
      <c r="I53" s="501">
        <f t="shared" si="19"/>
        <v>13769.29917355372</v>
      </c>
      <c r="J53" s="501">
        <f t="shared" si="19"/>
        <v>13769.29917355372</v>
      </c>
      <c r="K53" s="501">
        <f t="shared" si="19"/>
        <v>13769.29917355372</v>
      </c>
      <c r="L53" s="501">
        <f t="shared" si="19"/>
        <v>13769.29917355372</v>
      </c>
      <c r="M53" s="501">
        <f t="shared" si="19"/>
        <v>13769.29917355372</v>
      </c>
    </row>
    <row r="54" spans="1:18" ht="19" thickBot="1" x14ac:dyDescent="0.25">
      <c r="B54" s="494" t="s">
        <v>458</v>
      </c>
      <c r="C54" s="516"/>
      <c r="D54" s="501">
        <v>3750</v>
      </c>
      <c r="E54" s="501">
        <v>4000</v>
      </c>
      <c r="F54" s="501">
        <v>4250</v>
      </c>
      <c r="G54" s="501">
        <v>4500</v>
      </c>
      <c r="H54" s="501">
        <v>5000</v>
      </c>
      <c r="I54" s="501">
        <f>H54</f>
        <v>5000</v>
      </c>
      <c r="J54" s="501">
        <f t="shared" ref="J54:M55" si="20">I54</f>
        <v>5000</v>
      </c>
      <c r="K54" s="501">
        <f t="shared" si="20"/>
        <v>5000</v>
      </c>
      <c r="L54" s="501">
        <f t="shared" si="20"/>
        <v>5000</v>
      </c>
      <c r="M54" s="501">
        <f t="shared" si="20"/>
        <v>5000</v>
      </c>
    </row>
    <row r="55" spans="1:18" ht="19" thickBot="1" x14ac:dyDescent="0.25">
      <c r="B55" s="494" t="s">
        <v>469</v>
      </c>
      <c r="C55" s="516"/>
      <c r="D55" s="500">
        <v>0.28000000000000003</v>
      </c>
      <c r="E55" s="500">
        <f>D55</f>
        <v>0.28000000000000003</v>
      </c>
      <c r="F55" s="500">
        <f t="shared" ref="F55:I55" si="21">E55</f>
        <v>0.28000000000000003</v>
      </c>
      <c r="G55" s="500">
        <f t="shared" si="21"/>
        <v>0.28000000000000003</v>
      </c>
      <c r="H55" s="500">
        <f t="shared" si="21"/>
        <v>0.28000000000000003</v>
      </c>
      <c r="I55" s="500">
        <f t="shared" si="21"/>
        <v>0.28000000000000003</v>
      </c>
      <c r="J55" s="500">
        <f t="shared" si="20"/>
        <v>0.28000000000000003</v>
      </c>
      <c r="K55" s="500">
        <f t="shared" si="20"/>
        <v>0.28000000000000003</v>
      </c>
      <c r="L55" s="500">
        <f t="shared" si="20"/>
        <v>0.28000000000000003</v>
      </c>
      <c r="M55" s="500">
        <f t="shared" si="20"/>
        <v>0.28000000000000003</v>
      </c>
    </row>
    <row r="56" spans="1:18" ht="19" thickBot="1" x14ac:dyDescent="0.25">
      <c r="B56" s="494" t="s">
        <v>459</v>
      </c>
      <c r="C56" s="516"/>
      <c r="D56" s="501">
        <f>D55*D54*D43</f>
        <v>21000</v>
      </c>
      <c r="E56" s="501">
        <f t="shared" ref="E56:M56" si="22">E55*E54*E43</f>
        <v>22400</v>
      </c>
      <c r="F56" s="501">
        <f t="shared" si="22"/>
        <v>23800</v>
      </c>
      <c r="G56" s="501">
        <f t="shared" si="22"/>
        <v>25200.000000000004</v>
      </c>
      <c r="H56" s="501">
        <f t="shared" si="22"/>
        <v>28000.000000000004</v>
      </c>
      <c r="I56" s="501">
        <f t="shared" si="22"/>
        <v>28000.000000000004</v>
      </c>
      <c r="J56" s="501">
        <f t="shared" si="22"/>
        <v>28000.000000000004</v>
      </c>
      <c r="K56" s="501">
        <f t="shared" si="22"/>
        <v>28000.000000000004</v>
      </c>
      <c r="L56" s="501">
        <f t="shared" si="22"/>
        <v>28000.000000000004</v>
      </c>
      <c r="M56" s="501">
        <f t="shared" si="22"/>
        <v>28000.000000000004</v>
      </c>
    </row>
    <row r="57" spans="1:18" ht="19" thickBot="1" x14ac:dyDescent="0.25">
      <c r="B57" s="495"/>
      <c r="C57" s="516"/>
      <c r="D57" s="506"/>
      <c r="E57" s="506"/>
      <c r="F57" s="506"/>
      <c r="G57" s="506"/>
      <c r="H57" s="506"/>
      <c r="I57" s="506"/>
      <c r="J57" s="506"/>
      <c r="K57" s="506"/>
      <c r="L57" s="506"/>
      <c r="M57" s="506"/>
    </row>
    <row r="58" spans="1:18" ht="19" thickBot="1" x14ac:dyDescent="0.25">
      <c r="B58" s="496" t="s">
        <v>460</v>
      </c>
      <c r="C58" s="516"/>
      <c r="D58" s="505">
        <f>D56-D53</f>
        <v>7230.7008264462802</v>
      </c>
      <c r="E58" s="501">
        <f t="shared" ref="E58:M58" si="23">E56-E53</f>
        <v>8630.7008264462802</v>
      </c>
      <c r="F58" s="501">
        <f t="shared" si="23"/>
        <v>10030.70082644628</v>
      </c>
      <c r="G58" s="501">
        <f t="shared" si="23"/>
        <v>11430.700826446284</v>
      </c>
      <c r="H58" s="501">
        <f t="shared" si="23"/>
        <v>14230.700826446284</v>
      </c>
      <c r="I58" s="501">
        <f t="shared" si="23"/>
        <v>14230.700826446284</v>
      </c>
      <c r="J58" s="501">
        <f t="shared" si="23"/>
        <v>14230.700826446284</v>
      </c>
      <c r="K58" s="501">
        <f t="shared" si="23"/>
        <v>14230.700826446284</v>
      </c>
      <c r="L58" s="501">
        <f t="shared" si="23"/>
        <v>14230.700826446284</v>
      </c>
      <c r="M58" s="501">
        <f t="shared" si="23"/>
        <v>14230.700826446284</v>
      </c>
    </row>
    <row r="59" spans="1:18" ht="19" thickBot="1" x14ac:dyDescent="0.25">
      <c r="B59" s="454"/>
      <c r="C59" s="510"/>
      <c r="D59" s="455"/>
      <c r="E59" s="455"/>
      <c r="F59" s="455"/>
      <c r="G59" s="455"/>
      <c r="H59" s="455"/>
      <c r="I59" s="455"/>
      <c r="J59" s="455"/>
      <c r="K59" s="455"/>
      <c r="L59" s="455"/>
      <c r="M59" s="455"/>
    </row>
    <row r="60" spans="1:18" ht="19" thickBot="1" x14ac:dyDescent="0.25">
      <c r="A60" s="528">
        <v>4</v>
      </c>
      <c r="B60" s="839" t="s">
        <v>448</v>
      </c>
      <c r="C60" s="840"/>
      <c r="D60" s="840"/>
      <c r="E60" s="840"/>
      <c r="F60" s="840"/>
      <c r="G60" s="840"/>
      <c r="H60" s="840"/>
      <c r="I60" s="840"/>
      <c r="J60" s="840"/>
      <c r="K60" s="840"/>
      <c r="L60" s="840"/>
      <c r="M60" s="841"/>
    </row>
    <row r="61" spans="1:18" s="525" customFormat="1" ht="19" thickBot="1" x14ac:dyDescent="0.25">
      <c r="A61" s="528"/>
      <c r="B61" s="489" t="s">
        <v>434</v>
      </c>
      <c r="C61" s="526" t="s">
        <v>466</v>
      </c>
      <c r="D61" s="457">
        <v>10</v>
      </c>
      <c r="E61" s="457">
        <f>D61</f>
        <v>10</v>
      </c>
      <c r="F61" s="457">
        <f t="shared" ref="F61:M61" si="24">E61</f>
        <v>10</v>
      </c>
      <c r="G61" s="457">
        <f t="shared" si="24"/>
        <v>10</v>
      </c>
      <c r="H61" s="457">
        <f t="shared" si="24"/>
        <v>10</v>
      </c>
      <c r="I61" s="457">
        <f t="shared" si="24"/>
        <v>10</v>
      </c>
      <c r="J61" s="457">
        <f t="shared" si="24"/>
        <v>10</v>
      </c>
      <c r="K61" s="457">
        <f t="shared" si="24"/>
        <v>10</v>
      </c>
      <c r="L61" s="457">
        <f t="shared" si="24"/>
        <v>10</v>
      </c>
      <c r="M61" s="457">
        <f t="shared" si="24"/>
        <v>10</v>
      </c>
    </row>
    <row r="62" spans="1:18" ht="19" thickBot="1" x14ac:dyDescent="0.25">
      <c r="B62" s="497" t="s">
        <v>449</v>
      </c>
      <c r="C62" s="513">
        <v>19.559999999999999</v>
      </c>
      <c r="D62" s="458">
        <f>$C62*D$7</f>
        <v>391.2</v>
      </c>
      <c r="E62" s="458">
        <f t="shared" ref="E62:M62" si="25">$C62*E$7</f>
        <v>391.2</v>
      </c>
      <c r="F62" s="458">
        <f t="shared" si="25"/>
        <v>391.2</v>
      </c>
      <c r="G62" s="458">
        <f t="shared" si="25"/>
        <v>391.2</v>
      </c>
      <c r="H62" s="458">
        <f t="shared" si="25"/>
        <v>391.2</v>
      </c>
      <c r="I62" s="458">
        <f t="shared" si="25"/>
        <v>391.2</v>
      </c>
      <c r="J62" s="458">
        <f t="shared" si="25"/>
        <v>391.2</v>
      </c>
      <c r="K62" s="458">
        <f t="shared" si="25"/>
        <v>391.2</v>
      </c>
      <c r="L62" s="458">
        <f t="shared" si="25"/>
        <v>391.2</v>
      </c>
      <c r="M62" s="458">
        <f t="shared" si="25"/>
        <v>391.2</v>
      </c>
      <c r="Q62" s="447" t="s">
        <v>435</v>
      </c>
    </row>
    <row r="63" spans="1:18" ht="19" thickBot="1" x14ac:dyDescent="0.25">
      <c r="B63" s="493" t="s">
        <v>450</v>
      </c>
      <c r="C63" s="513">
        <f>300*6/88</f>
        <v>20.454545454545453</v>
      </c>
      <c r="D63" s="458">
        <f t="shared" ref="D63:M71" si="26">$C63*D$7</f>
        <v>409.09090909090907</v>
      </c>
      <c r="E63" s="458">
        <f t="shared" si="26"/>
        <v>409.09090909090907</v>
      </c>
      <c r="F63" s="458">
        <f t="shared" si="26"/>
        <v>409.09090909090907</v>
      </c>
      <c r="G63" s="458">
        <f t="shared" si="26"/>
        <v>409.09090909090907</v>
      </c>
      <c r="H63" s="458">
        <f t="shared" si="26"/>
        <v>409.09090909090907</v>
      </c>
      <c r="I63" s="458">
        <f t="shared" si="26"/>
        <v>409.09090909090907</v>
      </c>
      <c r="J63" s="458">
        <f t="shared" si="26"/>
        <v>409.09090909090907</v>
      </c>
      <c r="K63" s="458">
        <f t="shared" si="26"/>
        <v>409.09090909090907</v>
      </c>
      <c r="L63" s="458">
        <f t="shared" si="26"/>
        <v>409.09090909090907</v>
      </c>
      <c r="M63" s="458">
        <f t="shared" si="26"/>
        <v>409.09090909090907</v>
      </c>
      <c r="P63" s="447" t="s">
        <v>436</v>
      </c>
      <c r="Q63" s="450">
        <v>10</v>
      </c>
      <c r="R63" s="450"/>
    </row>
    <row r="64" spans="1:18" ht="19" thickBot="1" x14ac:dyDescent="0.25">
      <c r="B64" s="493" t="s">
        <v>451</v>
      </c>
      <c r="C64" s="513">
        <f>150*1.5*2.5/88</f>
        <v>6.3920454545454541</v>
      </c>
      <c r="D64" s="458">
        <f t="shared" si="26"/>
        <v>127.84090909090908</v>
      </c>
      <c r="E64" s="458">
        <f t="shared" si="26"/>
        <v>127.84090909090908</v>
      </c>
      <c r="F64" s="458">
        <f t="shared" si="26"/>
        <v>127.84090909090908</v>
      </c>
      <c r="G64" s="458">
        <f t="shared" si="26"/>
        <v>127.84090909090908</v>
      </c>
      <c r="H64" s="458">
        <f t="shared" si="26"/>
        <v>127.84090909090908</v>
      </c>
      <c r="I64" s="458">
        <f t="shared" si="26"/>
        <v>127.84090909090908</v>
      </c>
      <c r="J64" s="458">
        <f t="shared" si="26"/>
        <v>127.84090909090908</v>
      </c>
      <c r="K64" s="458">
        <f t="shared" si="26"/>
        <v>127.84090909090908</v>
      </c>
      <c r="L64" s="458">
        <f t="shared" si="26"/>
        <v>127.84090909090908</v>
      </c>
      <c r="M64" s="458">
        <f t="shared" si="26"/>
        <v>127.84090909090908</v>
      </c>
      <c r="P64" s="447" t="s">
        <v>467</v>
      </c>
      <c r="Q64" s="450">
        <f>75/88</f>
        <v>0.85227272727272729</v>
      </c>
      <c r="R64" s="450"/>
    </row>
    <row r="65" spans="1:18" ht="19" thickBot="1" x14ac:dyDescent="0.25">
      <c r="B65" s="493" t="s">
        <v>452</v>
      </c>
      <c r="C65" s="513">
        <f>C62</f>
        <v>19.559999999999999</v>
      </c>
      <c r="D65" s="458">
        <f t="shared" si="26"/>
        <v>391.2</v>
      </c>
      <c r="E65" s="458">
        <f t="shared" si="26"/>
        <v>391.2</v>
      </c>
      <c r="F65" s="458">
        <f t="shared" si="26"/>
        <v>391.2</v>
      </c>
      <c r="G65" s="458">
        <f t="shared" si="26"/>
        <v>391.2</v>
      </c>
      <c r="H65" s="458">
        <f t="shared" si="26"/>
        <v>391.2</v>
      </c>
      <c r="I65" s="458">
        <f t="shared" si="26"/>
        <v>391.2</v>
      </c>
      <c r="J65" s="458">
        <f t="shared" si="26"/>
        <v>391.2</v>
      </c>
      <c r="K65" s="458">
        <f t="shared" si="26"/>
        <v>391.2</v>
      </c>
      <c r="L65" s="458">
        <f t="shared" si="26"/>
        <v>391.2</v>
      </c>
      <c r="M65" s="458">
        <f t="shared" si="26"/>
        <v>391.2</v>
      </c>
      <c r="P65" s="447" t="s">
        <v>468</v>
      </c>
      <c r="Q65" s="450">
        <f>Q64*Q63</f>
        <v>8.5227272727272734</v>
      </c>
      <c r="R65" s="450"/>
    </row>
    <row r="66" spans="1:18" ht="19" thickBot="1" x14ac:dyDescent="0.25">
      <c r="B66" s="493" t="s">
        <v>465</v>
      </c>
      <c r="C66" s="513">
        <f>R19</f>
        <v>36.409090909090907</v>
      </c>
      <c r="D66" s="458">
        <f t="shared" si="26"/>
        <v>728.18181818181813</v>
      </c>
      <c r="E66" s="458">
        <f t="shared" si="26"/>
        <v>728.18181818181813</v>
      </c>
      <c r="F66" s="458">
        <f t="shared" si="26"/>
        <v>728.18181818181813</v>
      </c>
      <c r="G66" s="458">
        <f t="shared" si="26"/>
        <v>728.18181818181813</v>
      </c>
      <c r="H66" s="458">
        <f t="shared" si="26"/>
        <v>728.18181818181813</v>
      </c>
      <c r="I66" s="458">
        <f t="shared" si="26"/>
        <v>728.18181818181813</v>
      </c>
      <c r="J66" s="458">
        <f t="shared" si="26"/>
        <v>728.18181818181813</v>
      </c>
      <c r="K66" s="458">
        <f t="shared" si="26"/>
        <v>728.18181818181813</v>
      </c>
      <c r="L66" s="458">
        <f t="shared" si="26"/>
        <v>728.18181818181813</v>
      </c>
      <c r="M66" s="458">
        <f t="shared" si="26"/>
        <v>728.18181818181813</v>
      </c>
      <c r="P66" s="447" t="s">
        <v>439</v>
      </c>
      <c r="Q66" s="450">
        <f>Q65*25/33</f>
        <v>6.4566115702479348</v>
      </c>
      <c r="R66" s="450"/>
    </row>
    <row r="67" spans="1:18" ht="19" thickBot="1" x14ac:dyDescent="0.25">
      <c r="B67" s="493" t="s">
        <v>453</v>
      </c>
      <c r="C67" s="513">
        <f>500*1.5*2.5/88</f>
        <v>21.306818181818183</v>
      </c>
      <c r="D67" s="458">
        <f t="shared" si="26"/>
        <v>426.13636363636368</v>
      </c>
      <c r="E67" s="458">
        <f t="shared" si="26"/>
        <v>426.13636363636368</v>
      </c>
      <c r="F67" s="458">
        <f t="shared" si="26"/>
        <v>426.13636363636368</v>
      </c>
      <c r="G67" s="458">
        <f t="shared" si="26"/>
        <v>426.13636363636368</v>
      </c>
      <c r="H67" s="458">
        <f t="shared" si="26"/>
        <v>426.13636363636368</v>
      </c>
      <c r="I67" s="458">
        <f t="shared" si="26"/>
        <v>426.13636363636368</v>
      </c>
      <c r="J67" s="458">
        <f t="shared" si="26"/>
        <v>426.13636363636368</v>
      </c>
      <c r="K67" s="458">
        <f t="shared" si="26"/>
        <v>426.13636363636368</v>
      </c>
      <c r="L67" s="458">
        <f t="shared" si="26"/>
        <v>426.13636363636368</v>
      </c>
      <c r="M67" s="458">
        <f t="shared" si="26"/>
        <v>426.13636363636368</v>
      </c>
      <c r="P67" s="447" t="s">
        <v>440</v>
      </c>
      <c r="Q67" s="450">
        <v>3</v>
      </c>
      <c r="R67" s="450"/>
    </row>
    <row r="68" spans="1:18" ht="19" thickBot="1" x14ac:dyDescent="0.25">
      <c r="B68" s="493" t="s">
        <v>454</v>
      </c>
      <c r="C68" s="513">
        <f>(1000*1.5*2.5)/88</f>
        <v>42.613636363636367</v>
      </c>
      <c r="D68" s="458">
        <f t="shared" si="26"/>
        <v>852.27272727272737</v>
      </c>
      <c r="E68" s="458">
        <f t="shared" si="26"/>
        <v>852.27272727272737</v>
      </c>
      <c r="F68" s="458">
        <f t="shared" si="26"/>
        <v>852.27272727272737</v>
      </c>
      <c r="G68" s="458">
        <f t="shared" si="26"/>
        <v>852.27272727272737</v>
      </c>
      <c r="H68" s="458">
        <f t="shared" si="26"/>
        <v>852.27272727272737</v>
      </c>
      <c r="I68" s="458">
        <f t="shared" si="26"/>
        <v>852.27272727272737</v>
      </c>
      <c r="J68" s="458">
        <f t="shared" si="26"/>
        <v>852.27272727272737</v>
      </c>
      <c r="K68" s="458">
        <f t="shared" si="26"/>
        <v>852.27272727272737</v>
      </c>
      <c r="L68" s="458">
        <f t="shared" si="26"/>
        <v>852.27272727272737</v>
      </c>
      <c r="M68" s="458">
        <f t="shared" si="26"/>
        <v>852.27272727272737</v>
      </c>
      <c r="P68" s="447" t="s">
        <v>441</v>
      </c>
      <c r="Q68" s="450">
        <f>Q67*Q66*2</f>
        <v>38.739669421487605</v>
      </c>
      <c r="R68" s="450"/>
    </row>
    <row r="69" spans="1:18" ht="19" thickBot="1" x14ac:dyDescent="0.25">
      <c r="B69" s="493" t="s">
        <v>455</v>
      </c>
      <c r="C69" s="513">
        <f>Q68</f>
        <v>38.739669421487605</v>
      </c>
      <c r="D69" s="458">
        <f>C69*D7</f>
        <v>774.7933884297521</v>
      </c>
      <c r="E69" s="458">
        <f>D69</f>
        <v>774.7933884297521</v>
      </c>
      <c r="F69" s="458">
        <f t="shared" ref="F69:M69" si="27">E69</f>
        <v>774.7933884297521</v>
      </c>
      <c r="G69" s="458">
        <f t="shared" si="27"/>
        <v>774.7933884297521</v>
      </c>
      <c r="H69" s="458">
        <f t="shared" si="27"/>
        <v>774.7933884297521</v>
      </c>
      <c r="I69" s="458">
        <f t="shared" si="27"/>
        <v>774.7933884297521</v>
      </c>
      <c r="J69" s="458">
        <f t="shared" si="27"/>
        <v>774.7933884297521</v>
      </c>
      <c r="K69" s="458">
        <f t="shared" si="27"/>
        <v>774.7933884297521</v>
      </c>
      <c r="L69" s="458">
        <f t="shared" si="27"/>
        <v>774.7933884297521</v>
      </c>
      <c r="M69" s="458">
        <f t="shared" si="27"/>
        <v>774.7933884297521</v>
      </c>
      <c r="Q69" s="450"/>
      <c r="R69" s="450"/>
    </row>
    <row r="70" spans="1:18" ht="19" thickBot="1" x14ac:dyDescent="0.25">
      <c r="B70" s="493" t="s">
        <v>456</v>
      </c>
      <c r="C70" s="513">
        <f>1000*2.5/88</f>
        <v>28.40909090909091</v>
      </c>
      <c r="D70" s="458">
        <f t="shared" si="26"/>
        <v>568.18181818181824</v>
      </c>
      <c r="E70" s="458">
        <f t="shared" si="26"/>
        <v>568.18181818181824</v>
      </c>
      <c r="F70" s="458">
        <f t="shared" si="26"/>
        <v>568.18181818181824</v>
      </c>
      <c r="G70" s="458">
        <f t="shared" si="26"/>
        <v>568.18181818181824</v>
      </c>
      <c r="H70" s="458">
        <f t="shared" si="26"/>
        <v>568.18181818181824</v>
      </c>
      <c r="I70" s="458">
        <f t="shared" si="26"/>
        <v>568.18181818181824</v>
      </c>
      <c r="J70" s="458">
        <f t="shared" si="26"/>
        <v>568.18181818181824</v>
      </c>
      <c r="K70" s="458">
        <f t="shared" si="26"/>
        <v>568.18181818181824</v>
      </c>
      <c r="L70" s="458">
        <f t="shared" si="26"/>
        <v>568.18181818181824</v>
      </c>
      <c r="M70" s="458">
        <f t="shared" si="26"/>
        <v>568.18181818181824</v>
      </c>
      <c r="Q70" s="450"/>
      <c r="R70" s="450"/>
    </row>
    <row r="71" spans="1:18" ht="19" thickBot="1" x14ac:dyDescent="0.25">
      <c r="B71" s="494" t="s">
        <v>457</v>
      </c>
      <c r="C71" s="514">
        <f>SUM(C62:C70)</f>
        <v>233.44489669421489</v>
      </c>
      <c r="D71" s="487">
        <f t="shared" si="26"/>
        <v>4668.8979338842983</v>
      </c>
      <c r="E71" s="487">
        <f t="shared" si="26"/>
        <v>4668.8979338842983</v>
      </c>
      <c r="F71" s="487">
        <f t="shared" si="26"/>
        <v>4668.8979338842983</v>
      </c>
      <c r="G71" s="487">
        <f t="shared" si="26"/>
        <v>4668.8979338842983</v>
      </c>
      <c r="H71" s="487">
        <f t="shared" si="26"/>
        <v>4668.8979338842983</v>
      </c>
      <c r="I71" s="487">
        <f t="shared" si="26"/>
        <v>4668.8979338842983</v>
      </c>
      <c r="J71" s="487">
        <f t="shared" si="26"/>
        <v>4668.8979338842983</v>
      </c>
      <c r="K71" s="487">
        <f t="shared" si="26"/>
        <v>4668.8979338842983</v>
      </c>
      <c r="L71" s="487">
        <f t="shared" si="26"/>
        <v>4668.8979338842983</v>
      </c>
      <c r="M71" s="487">
        <f t="shared" si="26"/>
        <v>4668.8979338842983</v>
      </c>
      <c r="Q71" s="450"/>
      <c r="R71" s="450"/>
    </row>
    <row r="72" spans="1:18" ht="19" thickBot="1" x14ac:dyDescent="0.25">
      <c r="B72" s="494" t="s">
        <v>458</v>
      </c>
      <c r="C72" s="514"/>
      <c r="D72" s="487">
        <v>800</v>
      </c>
      <c r="E72" s="487">
        <v>900</v>
      </c>
      <c r="F72" s="487">
        <v>1000</v>
      </c>
      <c r="G72" s="487">
        <f>F72</f>
        <v>1000</v>
      </c>
      <c r="H72" s="487">
        <f t="shared" ref="H72:M72" si="28">G72</f>
        <v>1000</v>
      </c>
      <c r="I72" s="487">
        <f t="shared" si="28"/>
        <v>1000</v>
      </c>
      <c r="J72" s="487">
        <f t="shared" si="28"/>
        <v>1000</v>
      </c>
      <c r="K72" s="487">
        <f t="shared" si="28"/>
        <v>1000</v>
      </c>
      <c r="L72" s="487">
        <f t="shared" si="28"/>
        <v>1000</v>
      </c>
      <c r="M72" s="487">
        <f t="shared" si="28"/>
        <v>1000</v>
      </c>
      <c r="Q72" s="450"/>
      <c r="R72" s="450"/>
    </row>
    <row r="73" spans="1:18" ht="19" thickBot="1" x14ac:dyDescent="0.25">
      <c r="B73" s="494" t="s">
        <v>469</v>
      </c>
      <c r="C73" s="514"/>
      <c r="D73" s="486">
        <v>0.55000000000000004</v>
      </c>
      <c r="E73" s="486">
        <f>D73</f>
        <v>0.55000000000000004</v>
      </c>
      <c r="F73" s="486">
        <f t="shared" ref="F73:M73" si="29">E73</f>
        <v>0.55000000000000004</v>
      </c>
      <c r="G73" s="486">
        <f t="shared" si="29"/>
        <v>0.55000000000000004</v>
      </c>
      <c r="H73" s="486">
        <f t="shared" si="29"/>
        <v>0.55000000000000004</v>
      </c>
      <c r="I73" s="486">
        <f t="shared" si="29"/>
        <v>0.55000000000000004</v>
      </c>
      <c r="J73" s="486">
        <f t="shared" si="29"/>
        <v>0.55000000000000004</v>
      </c>
      <c r="K73" s="486">
        <f t="shared" si="29"/>
        <v>0.55000000000000004</v>
      </c>
      <c r="L73" s="486">
        <f t="shared" si="29"/>
        <v>0.55000000000000004</v>
      </c>
      <c r="M73" s="486">
        <f t="shared" si="29"/>
        <v>0.55000000000000004</v>
      </c>
      <c r="Q73" s="450"/>
      <c r="R73" s="450"/>
    </row>
    <row r="74" spans="1:18" ht="15.75" customHeight="1" thickBot="1" x14ac:dyDescent="0.25">
      <c r="B74" s="494" t="s">
        <v>459</v>
      </c>
      <c r="C74" s="514"/>
      <c r="D74" s="459">
        <f t="shared" ref="D74:M74" si="30">D73*D72*D7</f>
        <v>8800.0000000000018</v>
      </c>
      <c r="E74" s="459">
        <f t="shared" si="30"/>
        <v>9900.0000000000018</v>
      </c>
      <c r="F74" s="459">
        <f t="shared" si="30"/>
        <v>11000</v>
      </c>
      <c r="G74" s="459">
        <f t="shared" si="30"/>
        <v>11000</v>
      </c>
      <c r="H74" s="459">
        <f t="shared" si="30"/>
        <v>11000</v>
      </c>
      <c r="I74" s="459">
        <f t="shared" si="30"/>
        <v>11000</v>
      </c>
      <c r="J74" s="459">
        <f t="shared" si="30"/>
        <v>11000</v>
      </c>
      <c r="K74" s="459">
        <f t="shared" si="30"/>
        <v>11000</v>
      </c>
      <c r="L74" s="459">
        <f t="shared" si="30"/>
        <v>11000</v>
      </c>
      <c r="M74" s="459">
        <f t="shared" si="30"/>
        <v>11000</v>
      </c>
    </row>
    <row r="75" spans="1:18" ht="15.75" customHeight="1" thickBot="1" x14ac:dyDescent="0.25">
      <c r="B75" s="495"/>
      <c r="C75" s="514"/>
      <c r="D75" s="487"/>
      <c r="E75" s="487"/>
      <c r="F75" s="487"/>
      <c r="G75" s="487"/>
      <c r="H75" s="487"/>
      <c r="I75" s="487"/>
      <c r="J75" s="487"/>
      <c r="K75" s="487"/>
      <c r="L75" s="487"/>
      <c r="M75" s="487"/>
    </row>
    <row r="76" spans="1:18" ht="19" thickBot="1" x14ac:dyDescent="0.25">
      <c r="B76" s="496" t="s">
        <v>460</v>
      </c>
      <c r="C76" s="514"/>
      <c r="D76" s="487">
        <f>D74-D71</f>
        <v>4131.1020661157036</v>
      </c>
      <c r="E76" s="487">
        <f t="shared" ref="E76:M76" si="31">E74-E71</f>
        <v>5231.1020661157036</v>
      </c>
      <c r="F76" s="487">
        <f t="shared" si="31"/>
        <v>6331.1020661157017</v>
      </c>
      <c r="G76" s="487">
        <f t="shared" si="31"/>
        <v>6331.1020661157017</v>
      </c>
      <c r="H76" s="487">
        <f t="shared" si="31"/>
        <v>6331.1020661157017</v>
      </c>
      <c r="I76" s="487">
        <f t="shared" si="31"/>
        <v>6331.1020661157017</v>
      </c>
      <c r="J76" s="487">
        <f t="shared" si="31"/>
        <v>6331.1020661157017</v>
      </c>
      <c r="K76" s="487">
        <f t="shared" si="31"/>
        <v>6331.1020661157017</v>
      </c>
      <c r="L76" s="487">
        <f t="shared" si="31"/>
        <v>6331.1020661157017</v>
      </c>
      <c r="M76" s="487">
        <f t="shared" si="31"/>
        <v>6331.1020661157017</v>
      </c>
    </row>
    <row r="77" spans="1:18" ht="19" thickBot="1" x14ac:dyDescent="0.25">
      <c r="B77" s="464"/>
      <c r="C77" s="510"/>
      <c r="D77" s="455"/>
      <c r="E77" s="455"/>
      <c r="F77" s="456"/>
      <c r="G77" s="456"/>
      <c r="H77" s="456"/>
      <c r="I77" s="456"/>
      <c r="J77" s="456"/>
      <c r="K77" s="456"/>
      <c r="L77" s="456"/>
      <c r="M77" s="456"/>
    </row>
    <row r="78" spans="1:18" ht="19" thickBot="1" x14ac:dyDescent="0.25">
      <c r="B78" s="464"/>
      <c r="C78" s="510"/>
      <c r="D78" s="455"/>
      <c r="E78" s="455"/>
      <c r="F78" s="456"/>
      <c r="G78" s="456"/>
      <c r="H78" s="456"/>
      <c r="I78" s="456"/>
      <c r="J78" s="456"/>
      <c r="K78" s="456"/>
      <c r="L78" s="456"/>
      <c r="M78" s="456"/>
    </row>
    <row r="79" spans="1:18" ht="19" thickBot="1" x14ac:dyDescent="0.25">
      <c r="A79" s="528">
        <v>5</v>
      </c>
      <c r="B79" s="842" t="s">
        <v>471</v>
      </c>
      <c r="C79" s="843"/>
      <c r="D79" s="843"/>
      <c r="E79" s="843"/>
      <c r="F79" s="843"/>
      <c r="G79" s="843"/>
      <c r="H79" s="843"/>
      <c r="I79" s="843"/>
      <c r="J79" s="843"/>
      <c r="K79" s="843"/>
      <c r="L79" s="843"/>
      <c r="M79" s="844"/>
    </row>
    <row r="80" spans="1:18" s="525" customFormat="1" ht="19" thickBot="1" x14ac:dyDescent="0.25">
      <c r="A80" s="528"/>
      <c r="B80" s="489" t="s">
        <v>434</v>
      </c>
      <c r="C80" s="522" t="s">
        <v>466</v>
      </c>
      <c r="D80" s="465">
        <v>5</v>
      </c>
      <c r="E80" s="465">
        <f>D80</f>
        <v>5</v>
      </c>
      <c r="F80" s="465">
        <f t="shared" ref="F80:M80" si="32">E80</f>
        <v>5</v>
      </c>
      <c r="G80" s="465">
        <f t="shared" si="32"/>
        <v>5</v>
      </c>
      <c r="H80" s="465">
        <f t="shared" si="32"/>
        <v>5</v>
      </c>
      <c r="I80" s="465">
        <f t="shared" si="32"/>
        <v>5</v>
      </c>
      <c r="J80" s="465">
        <f t="shared" si="32"/>
        <v>5</v>
      </c>
      <c r="K80" s="465">
        <f t="shared" si="32"/>
        <v>5</v>
      </c>
      <c r="L80" s="465">
        <f t="shared" si="32"/>
        <v>5</v>
      </c>
      <c r="M80" s="465">
        <f t="shared" si="32"/>
        <v>5</v>
      </c>
    </row>
    <row r="81" spans="2:16" ht="19" thickBot="1" x14ac:dyDescent="0.25">
      <c r="B81" s="490"/>
      <c r="C81" s="518"/>
      <c r="D81" s="466"/>
      <c r="E81" s="466"/>
      <c r="F81" s="467"/>
      <c r="G81" s="467"/>
      <c r="H81" s="467"/>
      <c r="I81" s="467"/>
      <c r="J81" s="467"/>
      <c r="K81" s="467"/>
      <c r="L81" s="467"/>
      <c r="M81" s="467"/>
      <c r="O81" s="447" t="s">
        <v>436</v>
      </c>
      <c r="P81" s="447">
        <v>10</v>
      </c>
    </row>
    <row r="82" spans="2:16" ht="19" thickBot="1" x14ac:dyDescent="0.25">
      <c r="B82" s="497" t="s">
        <v>449</v>
      </c>
      <c r="C82" s="518">
        <f>1500*2.5/88</f>
        <v>42.613636363636367</v>
      </c>
      <c r="D82" s="468">
        <f>$C82*D$80</f>
        <v>213.06818181818184</v>
      </c>
      <c r="E82" s="468">
        <f t="shared" ref="E82:M82" si="33">$C82*E$80</f>
        <v>213.06818181818184</v>
      </c>
      <c r="F82" s="468">
        <f t="shared" si="33"/>
        <v>213.06818181818184</v>
      </c>
      <c r="G82" s="468">
        <f t="shared" si="33"/>
        <v>213.06818181818184</v>
      </c>
      <c r="H82" s="468">
        <f t="shared" si="33"/>
        <v>213.06818181818184</v>
      </c>
      <c r="I82" s="468">
        <f t="shared" si="33"/>
        <v>213.06818181818184</v>
      </c>
      <c r="J82" s="468">
        <f t="shared" si="33"/>
        <v>213.06818181818184</v>
      </c>
      <c r="K82" s="468">
        <f t="shared" si="33"/>
        <v>213.06818181818184</v>
      </c>
      <c r="L82" s="468">
        <f t="shared" si="33"/>
        <v>213.06818181818184</v>
      </c>
      <c r="M82" s="468">
        <f t="shared" si="33"/>
        <v>213.06818181818184</v>
      </c>
      <c r="O82" s="447" t="s">
        <v>437</v>
      </c>
      <c r="P82" s="450">
        <f>75/88</f>
        <v>0.85227272727272729</v>
      </c>
    </row>
    <row r="83" spans="2:16" ht="19" thickBot="1" x14ac:dyDescent="0.25">
      <c r="B83" s="493" t="s">
        <v>450</v>
      </c>
      <c r="C83" s="518">
        <f>4000*2.5/88</f>
        <v>113.63636363636364</v>
      </c>
      <c r="D83" s="468">
        <f t="shared" ref="D83:M90" si="34">$C83*D$80</f>
        <v>568.18181818181824</v>
      </c>
      <c r="E83" s="468">
        <f t="shared" si="34"/>
        <v>568.18181818181824</v>
      </c>
      <c r="F83" s="468">
        <f t="shared" si="34"/>
        <v>568.18181818181824</v>
      </c>
      <c r="G83" s="468">
        <f t="shared" si="34"/>
        <v>568.18181818181824</v>
      </c>
      <c r="H83" s="468">
        <f t="shared" si="34"/>
        <v>568.18181818181824</v>
      </c>
      <c r="I83" s="468">
        <f t="shared" si="34"/>
        <v>568.18181818181824</v>
      </c>
      <c r="J83" s="468">
        <f t="shared" si="34"/>
        <v>568.18181818181824</v>
      </c>
      <c r="K83" s="468">
        <f t="shared" si="34"/>
        <v>568.18181818181824</v>
      </c>
      <c r="L83" s="468">
        <f t="shared" si="34"/>
        <v>568.18181818181824</v>
      </c>
      <c r="M83" s="468">
        <f t="shared" si="34"/>
        <v>568.18181818181824</v>
      </c>
      <c r="O83" s="447" t="s">
        <v>438</v>
      </c>
      <c r="P83" s="450">
        <f>P82*P81</f>
        <v>8.5227272727272734</v>
      </c>
    </row>
    <row r="84" spans="2:16" ht="19" thickBot="1" x14ac:dyDescent="0.25">
      <c r="B84" s="493" t="s">
        <v>451</v>
      </c>
      <c r="C84" s="518"/>
      <c r="D84" s="468">
        <f t="shared" si="34"/>
        <v>0</v>
      </c>
      <c r="E84" s="468">
        <f t="shared" si="34"/>
        <v>0</v>
      </c>
      <c r="F84" s="468">
        <f t="shared" si="34"/>
        <v>0</v>
      </c>
      <c r="G84" s="468">
        <f t="shared" si="34"/>
        <v>0</v>
      </c>
      <c r="H84" s="468">
        <f t="shared" si="34"/>
        <v>0</v>
      </c>
      <c r="I84" s="468">
        <f t="shared" si="34"/>
        <v>0</v>
      </c>
      <c r="J84" s="468">
        <f t="shared" si="34"/>
        <v>0</v>
      </c>
      <c r="K84" s="468">
        <f t="shared" si="34"/>
        <v>0</v>
      </c>
      <c r="L84" s="468">
        <f t="shared" si="34"/>
        <v>0</v>
      </c>
      <c r="M84" s="468">
        <f t="shared" si="34"/>
        <v>0</v>
      </c>
      <c r="O84" s="447" t="s">
        <v>439</v>
      </c>
      <c r="P84" s="450">
        <f>P83*25/66</f>
        <v>3.2283057851239674</v>
      </c>
    </row>
    <row r="85" spans="2:16" ht="19" thickBot="1" x14ac:dyDescent="0.25">
      <c r="B85" s="493" t="s">
        <v>452</v>
      </c>
      <c r="C85" s="518">
        <f>18000*2.5/88</f>
        <v>511.36363636363637</v>
      </c>
      <c r="D85" s="468">
        <f t="shared" si="34"/>
        <v>2556.818181818182</v>
      </c>
      <c r="E85" s="468">
        <f t="shared" si="34"/>
        <v>2556.818181818182</v>
      </c>
      <c r="F85" s="468">
        <f t="shared" si="34"/>
        <v>2556.818181818182</v>
      </c>
      <c r="G85" s="468">
        <f t="shared" si="34"/>
        <v>2556.818181818182</v>
      </c>
      <c r="H85" s="468">
        <f t="shared" si="34"/>
        <v>2556.818181818182</v>
      </c>
      <c r="I85" s="468">
        <f t="shared" si="34"/>
        <v>2556.818181818182</v>
      </c>
      <c r="J85" s="468">
        <f t="shared" si="34"/>
        <v>2556.818181818182</v>
      </c>
      <c r="K85" s="468">
        <f t="shared" si="34"/>
        <v>2556.818181818182</v>
      </c>
      <c r="L85" s="468">
        <f t="shared" si="34"/>
        <v>2556.818181818182</v>
      </c>
      <c r="M85" s="468">
        <f t="shared" si="34"/>
        <v>2556.818181818182</v>
      </c>
      <c r="O85" s="447" t="s">
        <v>440</v>
      </c>
      <c r="P85" s="450">
        <v>9</v>
      </c>
    </row>
    <row r="86" spans="2:16" ht="19" thickBot="1" x14ac:dyDescent="0.25">
      <c r="B86" s="493" t="s">
        <v>465</v>
      </c>
      <c r="C86" s="518">
        <f>20000*2.5/88</f>
        <v>568.18181818181813</v>
      </c>
      <c r="D86" s="468">
        <f t="shared" si="34"/>
        <v>2840.9090909090905</v>
      </c>
      <c r="E86" s="468">
        <f t="shared" si="34"/>
        <v>2840.9090909090905</v>
      </c>
      <c r="F86" s="468">
        <f t="shared" si="34"/>
        <v>2840.9090909090905</v>
      </c>
      <c r="G86" s="468">
        <f t="shared" si="34"/>
        <v>2840.9090909090905</v>
      </c>
      <c r="H86" s="468">
        <f t="shared" si="34"/>
        <v>2840.9090909090905</v>
      </c>
      <c r="I86" s="468">
        <f t="shared" si="34"/>
        <v>2840.9090909090905</v>
      </c>
      <c r="J86" s="468">
        <f t="shared" si="34"/>
        <v>2840.9090909090905</v>
      </c>
      <c r="K86" s="468">
        <f t="shared" si="34"/>
        <v>2840.9090909090905</v>
      </c>
      <c r="L86" s="468">
        <f t="shared" si="34"/>
        <v>2840.9090909090905</v>
      </c>
      <c r="M86" s="468">
        <f t="shared" si="34"/>
        <v>2840.9090909090905</v>
      </c>
      <c r="O86" s="447" t="s">
        <v>441</v>
      </c>
      <c r="P86" s="450">
        <f>P85*P84*2</f>
        <v>58.109504132231415</v>
      </c>
    </row>
    <row r="87" spans="2:16" ht="19" thickBot="1" x14ac:dyDescent="0.25">
      <c r="B87" s="493" t="s">
        <v>453</v>
      </c>
      <c r="C87" s="518"/>
      <c r="D87" s="468">
        <f t="shared" si="34"/>
        <v>0</v>
      </c>
      <c r="E87" s="468">
        <f t="shared" si="34"/>
        <v>0</v>
      </c>
      <c r="F87" s="468">
        <f t="shared" si="34"/>
        <v>0</v>
      </c>
      <c r="G87" s="468">
        <f t="shared" si="34"/>
        <v>0</v>
      </c>
      <c r="H87" s="468">
        <f t="shared" si="34"/>
        <v>0</v>
      </c>
      <c r="I87" s="468">
        <f t="shared" si="34"/>
        <v>0</v>
      </c>
      <c r="J87" s="468">
        <f t="shared" si="34"/>
        <v>0</v>
      </c>
      <c r="K87" s="468">
        <f t="shared" si="34"/>
        <v>0</v>
      </c>
      <c r="L87" s="468">
        <f t="shared" si="34"/>
        <v>0</v>
      </c>
      <c r="M87" s="468">
        <f t="shared" si="34"/>
        <v>0</v>
      </c>
      <c r="P87" s="450"/>
    </row>
    <row r="88" spans="2:16" ht="19" thickBot="1" x14ac:dyDescent="0.25">
      <c r="B88" s="493" t="s">
        <v>454</v>
      </c>
      <c r="C88" s="518">
        <f>15000*2.5/88</f>
        <v>426.13636363636363</v>
      </c>
      <c r="D88" s="468">
        <f t="shared" si="34"/>
        <v>2130.681818181818</v>
      </c>
      <c r="E88" s="468">
        <f t="shared" si="34"/>
        <v>2130.681818181818</v>
      </c>
      <c r="F88" s="468">
        <f t="shared" si="34"/>
        <v>2130.681818181818</v>
      </c>
      <c r="G88" s="468">
        <f t="shared" si="34"/>
        <v>2130.681818181818</v>
      </c>
      <c r="H88" s="468">
        <f t="shared" si="34"/>
        <v>2130.681818181818</v>
      </c>
      <c r="I88" s="468">
        <f t="shared" si="34"/>
        <v>2130.681818181818</v>
      </c>
      <c r="J88" s="468">
        <f t="shared" si="34"/>
        <v>2130.681818181818</v>
      </c>
      <c r="K88" s="468">
        <f t="shared" si="34"/>
        <v>2130.681818181818</v>
      </c>
      <c r="L88" s="468">
        <f t="shared" si="34"/>
        <v>2130.681818181818</v>
      </c>
      <c r="M88" s="468">
        <f t="shared" si="34"/>
        <v>2130.681818181818</v>
      </c>
    </row>
    <row r="89" spans="2:16" ht="19" thickBot="1" x14ac:dyDescent="0.25">
      <c r="B89" s="493" t="s">
        <v>455</v>
      </c>
      <c r="C89" s="518">
        <f>P86</f>
        <v>58.109504132231415</v>
      </c>
      <c r="D89" s="468">
        <f t="shared" si="34"/>
        <v>290.54752066115708</v>
      </c>
      <c r="E89" s="468">
        <f t="shared" si="34"/>
        <v>290.54752066115708</v>
      </c>
      <c r="F89" s="468">
        <f t="shared" si="34"/>
        <v>290.54752066115708</v>
      </c>
      <c r="G89" s="468">
        <f t="shared" si="34"/>
        <v>290.54752066115708</v>
      </c>
      <c r="H89" s="468">
        <f t="shared" si="34"/>
        <v>290.54752066115708</v>
      </c>
      <c r="I89" s="468">
        <f t="shared" si="34"/>
        <v>290.54752066115708</v>
      </c>
      <c r="J89" s="468">
        <f t="shared" si="34"/>
        <v>290.54752066115708</v>
      </c>
      <c r="K89" s="468">
        <f t="shared" si="34"/>
        <v>290.54752066115708</v>
      </c>
      <c r="L89" s="468">
        <f t="shared" si="34"/>
        <v>290.54752066115708</v>
      </c>
      <c r="M89" s="468">
        <f t="shared" si="34"/>
        <v>290.54752066115708</v>
      </c>
    </row>
    <row r="90" spans="2:16" ht="19" thickBot="1" x14ac:dyDescent="0.25">
      <c r="B90" s="493" t="s">
        <v>456</v>
      </c>
      <c r="C90" s="518">
        <f>18500*2.5/88</f>
        <v>525.56818181818187</v>
      </c>
      <c r="D90" s="468">
        <f t="shared" si="34"/>
        <v>2627.8409090909095</v>
      </c>
      <c r="E90" s="468">
        <f t="shared" si="34"/>
        <v>2627.8409090909095</v>
      </c>
      <c r="F90" s="468">
        <f t="shared" si="34"/>
        <v>2627.8409090909095</v>
      </c>
      <c r="G90" s="468">
        <f t="shared" si="34"/>
        <v>2627.8409090909095</v>
      </c>
      <c r="H90" s="468">
        <f t="shared" si="34"/>
        <v>2627.8409090909095</v>
      </c>
      <c r="I90" s="468">
        <f t="shared" si="34"/>
        <v>2627.8409090909095</v>
      </c>
      <c r="J90" s="468">
        <f t="shared" si="34"/>
        <v>2627.8409090909095</v>
      </c>
      <c r="K90" s="468">
        <f t="shared" si="34"/>
        <v>2627.8409090909095</v>
      </c>
      <c r="L90" s="468">
        <f t="shared" si="34"/>
        <v>2627.8409090909095</v>
      </c>
      <c r="M90" s="468">
        <f t="shared" si="34"/>
        <v>2627.8409090909095</v>
      </c>
    </row>
    <row r="91" spans="2:16" ht="19" thickBot="1" x14ac:dyDescent="0.25">
      <c r="B91" s="494" t="s">
        <v>457</v>
      </c>
      <c r="C91" s="519">
        <f>SUM(C82:C90)</f>
        <v>2245.6095041322315</v>
      </c>
      <c r="D91" s="498">
        <f t="shared" ref="D91:M91" si="35">SUM(D82:D90)</f>
        <v>11228.047520661157</v>
      </c>
      <c r="E91" s="498">
        <f t="shared" si="35"/>
        <v>11228.047520661157</v>
      </c>
      <c r="F91" s="498">
        <f t="shared" si="35"/>
        <v>11228.047520661157</v>
      </c>
      <c r="G91" s="498">
        <f t="shared" si="35"/>
        <v>11228.047520661157</v>
      </c>
      <c r="H91" s="498">
        <f t="shared" si="35"/>
        <v>11228.047520661157</v>
      </c>
      <c r="I91" s="498">
        <f t="shared" si="35"/>
        <v>11228.047520661157</v>
      </c>
      <c r="J91" s="498">
        <f t="shared" si="35"/>
        <v>11228.047520661157</v>
      </c>
      <c r="K91" s="498">
        <f t="shared" si="35"/>
        <v>11228.047520661157</v>
      </c>
      <c r="L91" s="498">
        <f t="shared" si="35"/>
        <v>11228.047520661157</v>
      </c>
      <c r="M91" s="498">
        <f t="shared" si="35"/>
        <v>11228.047520661157</v>
      </c>
    </row>
    <row r="92" spans="2:16" ht="19" thickBot="1" x14ac:dyDescent="0.25">
      <c r="B92" s="494" t="s">
        <v>458</v>
      </c>
      <c r="C92" s="519"/>
      <c r="D92" s="498">
        <v>8000</v>
      </c>
      <c r="E92" s="498">
        <f>D92+1000</f>
        <v>9000</v>
      </c>
      <c r="F92" s="498">
        <f t="shared" ref="F92:H92" si="36">E92+1000</f>
        <v>10000</v>
      </c>
      <c r="G92" s="498">
        <f t="shared" si="36"/>
        <v>11000</v>
      </c>
      <c r="H92" s="498">
        <f t="shared" si="36"/>
        <v>12000</v>
      </c>
      <c r="I92" s="498">
        <f>H92</f>
        <v>12000</v>
      </c>
      <c r="J92" s="498">
        <f t="shared" ref="J92:M92" si="37">I92</f>
        <v>12000</v>
      </c>
      <c r="K92" s="498">
        <f t="shared" si="37"/>
        <v>12000</v>
      </c>
      <c r="L92" s="498">
        <f t="shared" si="37"/>
        <v>12000</v>
      </c>
      <c r="M92" s="498">
        <f t="shared" si="37"/>
        <v>12000</v>
      </c>
    </row>
    <row r="93" spans="2:16" ht="19" thickBot="1" x14ac:dyDescent="0.25">
      <c r="B93" s="494" t="s">
        <v>469</v>
      </c>
      <c r="C93" s="519"/>
      <c r="D93" s="471">
        <v>0.35</v>
      </c>
      <c r="E93" s="471">
        <f>D93</f>
        <v>0.35</v>
      </c>
      <c r="F93" s="471">
        <f t="shared" ref="F93:M93" si="38">E93</f>
        <v>0.35</v>
      </c>
      <c r="G93" s="471">
        <f t="shared" si="38"/>
        <v>0.35</v>
      </c>
      <c r="H93" s="471">
        <f t="shared" si="38"/>
        <v>0.35</v>
      </c>
      <c r="I93" s="471">
        <f t="shared" si="38"/>
        <v>0.35</v>
      </c>
      <c r="J93" s="471">
        <f t="shared" si="38"/>
        <v>0.35</v>
      </c>
      <c r="K93" s="471">
        <f t="shared" si="38"/>
        <v>0.35</v>
      </c>
      <c r="L93" s="471">
        <f t="shared" si="38"/>
        <v>0.35</v>
      </c>
      <c r="M93" s="471">
        <f t="shared" si="38"/>
        <v>0.35</v>
      </c>
    </row>
    <row r="94" spans="2:16" ht="19" thickBot="1" x14ac:dyDescent="0.25">
      <c r="B94" s="494" t="s">
        <v>459</v>
      </c>
      <c r="C94" s="519"/>
      <c r="D94" s="498">
        <f>D93*D92*D80</f>
        <v>14000</v>
      </c>
      <c r="E94" s="498">
        <f t="shared" ref="E94:M94" si="39">E93*E92*E80</f>
        <v>15750</v>
      </c>
      <c r="F94" s="498">
        <f t="shared" si="39"/>
        <v>17500</v>
      </c>
      <c r="G94" s="498">
        <f t="shared" si="39"/>
        <v>19249.999999999996</v>
      </c>
      <c r="H94" s="498">
        <f t="shared" si="39"/>
        <v>21000</v>
      </c>
      <c r="I94" s="498">
        <f t="shared" si="39"/>
        <v>21000</v>
      </c>
      <c r="J94" s="498">
        <f t="shared" si="39"/>
        <v>21000</v>
      </c>
      <c r="K94" s="498">
        <f t="shared" si="39"/>
        <v>21000</v>
      </c>
      <c r="L94" s="498">
        <f t="shared" si="39"/>
        <v>21000</v>
      </c>
      <c r="M94" s="498">
        <f t="shared" si="39"/>
        <v>21000</v>
      </c>
    </row>
    <row r="95" spans="2:16" ht="19" thickBot="1" x14ac:dyDescent="0.25">
      <c r="B95" s="495"/>
      <c r="C95" s="519"/>
      <c r="D95" s="471"/>
      <c r="E95" s="471"/>
      <c r="F95" s="504"/>
      <c r="G95" s="504"/>
      <c r="H95" s="504"/>
      <c r="I95" s="504"/>
      <c r="J95" s="504"/>
      <c r="K95" s="504"/>
      <c r="L95" s="504"/>
      <c r="M95" s="504"/>
    </row>
    <row r="96" spans="2:16" ht="19" thickBot="1" x14ac:dyDescent="0.25">
      <c r="B96" s="496" t="s">
        <v>460</v>
      </c>
      <c r="C96" s="519"/>
      <c r="D96" s="504">
        <f>D94-D91</f>
        <v>2771.9524793388427</v>
      </c>
      <c r="E96" s="498">
        <f t="shared" ref="E96:M96" si="40">E94-E91</f>
        <v>4521.9524793388427</v>
      </c>
      <c r="F96" s="498">
        <f t="shared" si="40"/>
        <v>6271.9524793388427</v>
      </c>
      <c r="G96" s="498">
        <f t="shared" si="40"/>
        <v>8021.9524793388391</v>
      </c>
      <c r="H96" s="498">
        <f t="shared" si="40"/>
        <v>9771.9524793388427</v>
      </c>
      <c r="I96" s="498">
        <f t="shared" si="40"/>
        <v>9771.9524793388427</v>
      </c>
      <c r="J96" s="498">
        <f t="shared" si="40"/>
        <v>9771.9524793388427</v>
      </c>
      <c r="K96" s="498">
        <f t="shared" si="40"/>
        <v>9771.9524793388427</v>
      </c>
      <c r="L96" s="498">
        <f t="shared" si="40"/>
        <v>9771.9524793388427</v>
      </c>
      <c r="M96" s="498">
        <f t="shared" si="40"/>
        <v>9771.9524793388427</v>
      </c>
    </row>
    <row r="97" spans="1:13" ht="19" thickBot="1" x14ac:dyDescent="0.25">
      <c r="B97" s="464"/>
      <c r="C97" s="510"/>
      <c r="D97" s="455"/>
      <c r="E97" s="455"/>
      <c r="F97" s="456"/>
      <c r="G97" s="456"/>
      <c r="H97" s="456"/>
      <c r="I97" s="456"/>
      <c r="J97" s="456"/>
      <c r="K97" s="456"/>
      <c r="L97" s="456"/>
      <c r="M97" s="456"/>
    </row>
    <row r="98" spans="1:13" ht="19" thickBot="1" x14ac:dyDescent="0.25">
      <c r="A98" s="528">
        <v>6</v>
      </c>
      <c r="B98" s="839" t="s">
        <v>463</v>
      </c>
      <c r="C98" s="840"/>
      <c r="D98" s="840"/>
      <c r="E98" s="840"/>
      <c r="F98" s="840"/>
      <c r="G98" s="840"/>
      <c r="H98" s="840"/>
      <c r="I98" s="840"/>
      <c r="J98" s="840"/>
      <c r="K98" s="840"/>
      <c r="L98" s="840"/>
      <c r="M98" s="841"/>
    </row>
    <row r="99" spans="1:13" s="525" customFormat="1" ht="19" thickBot="1" x14ac:dyDescent="0.25">
      <c r="A99" s="528"/>
      <c r="B99" s="489" t="s">
        <v>434</v>
      </c>
      <c r="C99" s="514" t="s">
        <v>466</v>
      </c>
      <c r="D99" s="502">
        <v>10</v>
      </c>
      <c r="E99" s="502">
        <f>D99</f>
        <v>10</v>
      </c>
      <c r="F99" s="502">
        <f t="shared" ref="F99:M99" si="41">E99</f>
        <v>10</v>
      </c>
      <c r="G99" s="502">
        <f t="shared" si="41"/>
        <v>10</v>
      </c>
      <c r="H99" s="502">
        <f t="shared" si="41"/>
        <v>10</v>
      </c>
      <c r="I99" s="502">
        <f t="shared" si="41"/>
        <v>10</v>
      </c>
      <c r="J99" s="502">
        <f t="shared" si="41"/>
        <v>10</v>
      </c>
      <c r="K99" s="502">
        <f t="shared" si="41"/>
        <v>10</v>
      </c>
      <c r="L99" s="502">
        <f t="shared" si="41"/>
        <v>10</v>
      </c>
      <c r="M99" s="502">
        <f t="shared" si="41"/>
        <v>10</v>
      </c>
    </row>
    <row r="100" spans="1:13" ht="19" thickBot="1" x14ac:dyDescent="0.25">
      <c r="B100" s="497" t="s">
        <v>449</v>
      </c>
      <c r="C100" s="513">
        <f>C82</f>
        <v>42.613636363636367</v>
      </c>
      <c r="D100" s="458">
        <f>$C100*D$99</f>
        <v>426.13636363636368</v>
      </c>
      <c r="E100" s="458">
        <f t="shared" ref="E100:M100" si="42">$C100*E$99</f>
        <v>426.13636363636368</v>
      </c>
      <c r="F100" s="458">
        <f t="shared" si="42"/>
        <v>426.13636363636368</v>
      </c>
      <c r="G100" s="458">
        <f t="shared" si="42"/>
        <v>426.13636363636368</v>
      </c>
      <c r="H100" s="458">
        <f t="shared" si="42"/>
        <v>426.13636363636368</v>
      </c>
      <c r="I100" s="458">
        <f t="shared" si="42"/>
        <v>426.13636363636368</v>
      </c>
      <c r="J100" s="458">
        <f t="shared" si="42"/>
        <v>426.13636363636368</v>
      </c>
      <c r="K100" s="458">
        <f t="shared" si="42"/>
        <v>426.13636363636368</v>
      </c>
      <c r="L100" s="458">
        <f t="shared" si="42"/>
        <v>426.13636363636368</v>
      </c>
      <c r="M100" s="458">
        <f t="shared" si="42"/>
        <v>426.13636363636368</v>
      </c>
    </row>
    <row r="101" spans="1:13" ht="19" thickBot="1" x14ac:dyDescent="0.25">
      <c r="B101" s="493" t="s">
        <v>450</v>
      </c>
      <c r="C101" s="513">
        <f>2000/88</f>
        <v>22.727272727272727</v>
      </c>
      <c r="D101" s="458">
        <f t="shared" ref="D101:M108" si="43">$C101*D$99</f>
        <v>227.27272727272725</v>
      </c>
      <c r="E101" s="458">
        <f t="shared" si="43"/>
        <v>227.27272727272725</v>
      </c>
      <c r="F101" s="458">
        <f t="shared" si="43"/>
        <v>227.27272727272725</v>
      </c>
      <c r="G101" s="458">
        <f t="shared" si="43"/>
        <v>227.27272727272725</v>
      </c>
      <c r="H101" s="458">
        <f t="shared" si="43"/>
        <v>227.27272727272725</v>
      </c>
      <c r="I101" s="458">
        <f t="shared" si="43"/>
        <v>227.27272727272725</v>
      </c>
      <c r="J101" s="458">
        <f t="shared" si="43"/>
        <v>227.27272727272725</v>
      </c>
      <c r="K101" s="458">
        <f t="shared" si="43"/>
        <v>227.27272727272725</v>
      </c>
      <c r="L101" s="458">
        <f t="shared" si="43"/>
        <v>227.27272727272725</v>
      </c>
      <c r="M101" s="458">
        <f t="shared" si="43"/>
        <v>227.27272727272725</v>
      </c>
    </row>
    <row r="102" spans="1:13" ht="19" thickBot="1" x14ac:dyDescent="0.25">
      <c r="B102" s="493" t="s">
        <v>451</v>
      </c>
      <c r="C102" s="513">
        <f>C64</f>
        <v>6.3920454545454541</v>
      </c>
      <c r="D102" s="458">
        <f t="shared" si="43"/>
        <v>63.92045454545454</v>
      </c>
      <c r="E102" s="458">
        <f t="shared" si="43"/>
        <v>63.92045454545454</v>
      </c>
      <c r="F102" s="458">
        <f t="shared" si="43"/>
        <v>63.92045454545454</v>
      </c>
      <c r="G102" s="458">
        <f t="shared" si="43"/>
        <v>63.92045454545454</v>
      </c>
      <c r="H102" s="458">
        <f t="shared" si="43"/>
        <v>63.92045454545454</v>
      </c>
      <c r="I102" s="458">
        <f t="shared" si="43"/>
        <v>63.92045454545454</v>
      </c>
      <c r="J102" s="458">
        <f t="shared" si="43"/>
        <v>63.92045454545454</v>
      </c>
      <c r="K102" s="458">
        <f t="shared" si="43"/>
        <v>63.92045454545454</v>
      </c>
      <c r="L102" s="458">
        <f t="shared" si="43"/>
        <v>63.92045454545454</v>
      </c>
      <c r="M102" s="458">
        <f t="shared" si="43"/>
        <v>63.92045454545454</v>
      </c>
    </row>
    <row r="103" spans="1:13" ht="19" thickBot="1" x14ac:dyDescent="0.25">
      <c r="B103" s="493" t="s">
        <v>452</v>
      </c>
      <c r="C103" s="513">
        <f>C65*2</f>
        <v>39.119999999999997</v>
      </c>
      <c r="D103" s="458">
        <f t="shared" si="43"/>
        <v>391.2</v>
      </c>
      <c r="E103" s="458">
        <f t="shared" si="43"/>
        <v>391.2</v>
      </c>
      <c r="F103" s="458">
        <f t="shared" si="43"/>
        <v>391.2</v>
      </c>
      <c r="G103" s="458">
        <f t="shared" si="43"/>
        <v>391.2</v>
      </c>
      <c r="H103" s="458">
        <f t="shared" si="43"/>
        <v>391.2</v>
      </c>
      <c r="I103" s="458">
        <f t="shared" si="43"/>
        <v>391.2</v>
      </c>
      <c r="J103" s="458">
        <f t="shared" si="43"/>
        <v>391.2</v>
      </c>
      <c r="K103" s="458">
        <f t="shared" si="43"/>
        <v>391.2</v>
      </c>
      <c r="L103" s="458">
        <f t="shared" si="43"/>
        <v>391.2</v>
      </c>
      <c r="M103" s="458">
        <f t="shared" si="43"/>
        <v>391.2</v>
      </c>
    </row>
    <row r="104" spans="1:13" ht="19" thickBot="1" x14ac:dyDescent="0.25">
      <c r="B104" s="493" t="s">
        <v>465</v>
      </c>
      <c r="C104" s="513">
        <f>C66</f>
        <v>36.409090909090907</v>
      </c>
      <c r="D104" s="458">
        <f t="shared" si="43"/>
        <v>364.09090909090907</v>
      </c>
      <c r="E104" s="458">
        <f t="shared" si="43"/>
        <v>364.09090909090907</v>
      </c>
      <c r="F104" s="458">
        <f t="shared" si="43"/>
        <v>364.09090909090907</v>
      </c>
      <c r="G104" s="458">
        <f t="shared" si="43"/>
        <v>364.09090909090907</v>
      </c>
      <c r="H104" s="458">
        <f t="shared" si="43"/>
        <v>364.09090909090907</v>
      </c>
      <c r="I104" s="458">
        <f t="shared" si="43"/>
        <v>364.09090909090907</v>
      </c>
      <c r="J104" s="458">
        <f t="shared" si="43"/>
        <v>364.09090909090907</v>
      </c>
      <c r="K104" s="458">
        <f t="shared" si="43"/>
        <v>364.09090909090907</v>
      </c>
      <c r="L104" s="458">
        <f t="shared" si="43"/>
        <v>364.09090909090907</v>
      </c>
      <c r="M104" s="458">
        <f t="shared" si="43"/>
        <v>364.09090909090907</v>
      </c>
    </row>
    <row r="105" spans="1:13" ht="19" thickBot="1" x14ac:dyDescent="0.25">
      <c r="B105" s="493" t="s">
        <v>453</v>
      </c>
      <c r="C105" s="513">
        <f>C67*0.7</f>
        <v>14.914772727272727</v>
      </c>
      <c r="D105" s="458">
        <f t="shared" si="43"/>
        <v>149.14772727272725</v>
      </c>
      <c r="E105" s="458">
        <f t="shared" si="43"/>
        <v>149.14772727272725</v>
      </c>
      <c r="F105" s="458">
        <f t="shared" si="43"/>
        <v>149.14772727272725</v>
      </c>
      <c r="G105" s="458">
        <f t="shared" si="43"/>
        <v>149.14772727272725</v>
      </c>
      <c r="H105" s="458">
        <f t="shared" si="43"/>
        <v>149.14772727272725</v>
      </c>
      <c r="I105" s="458">
        <f t="shared" si="43"/>
        <v>149.14772727272725</v>
      </c>
      <c r="J105" s="458">
        <f t="shared" si="43"/>
        <v>149.14772727272725</v>
      </c>
      <c r="K105" s="458">
        <f t="shared" si="43"/>
        <v>149.14772727272725</v>
      </c>
      <c r="L105" s="458">
        <f t="shared" si="43"/>
        <v>149.14772727272725</v>
      </c>
      <c r="M105" s="458">
        <f t="shared" si="43"/>
        <v>149.14772727272725</v>
      </c>
    </row>
    <row r="106" spans="1:13" ht="19" thickBot="1" x14ac:dyDescent="0.25">
      <c r="B106" s="493" t="s">
        <v>454</v>
      </c>
      <c r="C106" s="513">
        <f>C68*1.5</f>
        <v>63.920454545454547</v>
      </c>
      <c r="D106" s="458">
        <f t="shared" si="43"/>
        <v>639.2045454545455</v>
      </c>
      <c r="E106" s="458">
        <f t="shared" si="43"/>
        <v>639.2045454545455</v>
      </c>
      <c r="F106" s="458">
        <f t="shared" si="43"/>
        <v>639.2045454545455</v>
      </c>
      <c r="G106" s="458">
        <f t="shared" si="43"/>
        <v>639.2045454545455</v>
      </c>
      <c r="H106" s="458">
        <f t="shared" si="43"/>
        <v>639.2045454545455</v>
      </c>
      <c r="I106" s="458">
        <f t="shared" si="43"/>
        <v>639.2045454545455</v>
      </c>
      <c r="J106" s="458">
        <f t="shared" si="43"/>
        <v>639.2045454545455</v>
      </c>
      <c r="K106" s="458">
        <f t="shared" si="43"/>
        <v>639.2045454545455</v>
      </c>
      <c r="L106" s="458">
        <f t="shared" si="43"/>
        <v>639.2045454545455</v>
      </c>
      <c r="M106" s="458">
        <f t="shared" si="43"/>
        <v>639.2045454545455</v>
      </c>
    </row>
    <row r="107" spans="1:13" ht="19" thickBot="1" x14ac:dyDescent="0.25">
      <c r="B107" s="493" t="s">
        <v>455</v>
      </c>
      <c r="C107" s="513">
        <f>C69</f>
        <v>38.739669421487605</v>
      </c>
      <c r="D107" s="458">
        <f t="shared" si="43"/>
        <v>387.39669421487605</v>
      </c>
      <c r="E107" s="458">
        <f t="shared" si="43"/>
        <v>387.39669421487605</v>
      </c>
      <c r="F107" s="458">
        <f t="shared" si="43"/>
        <v>387.39669421487605</v>
      </c>
      <c r="G107" s="458">
        <f t="shared" si="43"/>
        <v>387.39669421487605</v>
      </c>
      <c r="H107" s="458">
        <f t="shared" si="43"/>
        <v>387.39669421487605</v>
      </c>
      <c r="I107" s="458">
        <f t="shared" si="43"/>
        <v>387.39669421487605</v>
      </c>
      <c r="J107" s="458">
        <f t="shared" si="43"/>
        <v>387.39669421487605</v>
      </c>
      <c r="K107" s="458">
        <f t="shared" si="43"/>
        <v>387.39669421487605</v>
      </c>
      <c r="L107" s="458">
        <f t="shared" si="43"/>
        <v>387.39669421487605</v>
      </c>
      <c r="M107" s="458">
        <f t="shared" si="43"/>
        <v>387.39669421487605</v>
      </c>
    </row>
    <row r="108" spans="1:13" ht="19" thickBot="1" x14ac:dyDescent="0.25">
      <c r="B108" s="493" t="s">
        <v>456</v>
      </c>
      <c r="C108" s="513">
        <v>45</v>
      </c>
      <c r="D108" s="458">
        <f t="shared" si="43"/>
        <v>450</v>
      </c>
      <c r="E108" s="458">
        <f t="shared" si="43"/>
        <v>450</v>
      </c>
      <c r="F108" s="458">
        <f t="shared" si="43"/>
        <v>450</v>
      </c>
      <c r="G108" s="458">
        <f t="shared" si="43"/>
        <v>450</v>
      </c>
      <c r="H108" s="458">
        <f t="shared" si="43"/>
        <v>450</v>
      </c>
      <c r="I108" s="458">
        <f t="shared" si="43"/>
        <v>450</v>
      </c>
      <c r="J108" s="458">
        <f t="shared" si="43"/>
        <v>450</v>
      </c>
      <c r="K108" s="458">
        <f t="shared" si="43"/>
        <v>450</v>
      </c>
      <c r="L108" s="458">
        <f t="shared" si="43"/>
        <v>450</v>
      </c>
      <c r="M108" s="458">
        <f t="shared" si="43"/>
        <v>450</v>
      </c>
    </row>
    <row r="109" spans="1:13" ht="19" thickBot="1" x14ac:dyDescent="0.25">
      <c r="B109" s="494" t="s">
        <v>457</v>
      </c>
      <c r="C109" s="514">
        <f>SUM(C99:C108)</f>
        <v>309.83694214876027</v>
      </c>
      <c r="D109" s="487">
        <f>SUM(D99:D108)</f>
        <v>3108.3694214876032</v>
      </c>
      <c r="E109" s="487">
        <f t="shared" ref="E109:M109" si="44">SUM(E99:E108)</f>
        <v>3108.3694214876032</v>
      </c>
      <c r="F109" s="487">
        <f t="shared" si="44"/>
        <v>3108.3694214876032</v>
      </c>
      <c r="G109" s="487">
        <f t="shared" si="44"/>
        <v>3108.3694214876032</v>
      </c>
      <c r="H109" s="487">
        <f t="shared" si="44"/>
        <v>3108.3694214876032</v>
      </c>
      <c r="I109" s="487">
        <f t="shared" si="44"/>
        <v>3108.3694214876032</v>
      </c>
      <c r="J109" s="487">
        <f t="shared" si="44"/>
        <v>3108.3694214876032</v>
      </c>
      <c r="K109" s="487">
        <f t="shared" si="44"/>
        <v>3108.3694214876032</v>
      </c>
      <c r="L109" s="487">
        <f t="shared" si="44"/>
        <v>3108.3694214876032</v>
      </c>
      <c r="M109" s="487">
        <f t="shared" si="44"/>
        <v>3108.3694214876032</v>
      </c>
    </row>
    <row r="110" spans="1:13" ht="19" thickBot="1" x14ac:dyDescent="0.25">
      <c r="B110" s="494" t="s">
        <v>458</v>
      </c>
      <c r="C110" s="514"/>
      <c r="D110" s="487">
        <v>2000</v>
      </c>
      <c r="E110" s="487">
        <f>D110*1.1</f>
        <v>2200</v>
      </c>
      <c r="F110" s="487">
        <f t="shared" ref="F110:H110" si="45">E110*1.1</f>
        <v>2420</v>
      </c>
      <c r="G110" s="487">
        <f t="shared" si="45"/>
        <v>2662</v>
      </c>
      <c r="H110" s="487">
        <f t="shared" si="45"/>
        <v>2928.2000000000003</v>
      </c>
      <c r="I110" s="487">
        <f>H110</f>
        <v>2928.2000000000003</v>
      </c>
      <c r="J110" s="487">
        <f t="shared" ref="J110:M110" si="46">I110</f>
        <v>2928.2000000000003</v>
      </c>
      <c r="K110" s="487">
        <f t="shared" si="46"/>
        <v>2928.2000000000003</v>
      </c>
      <c r="L110" s="487">
        <f t="shared" si="46"/>
        <v>2928.2000000000003</v>
      </c>
      <c r="M110" s="487">
        <f t="shared" si="46"/>
        <v>2928.2000000000003</v>
      </c>
    </row>
    <row r="111" spans="1:13" ht="19" thickBot="1" x14ac:dyDescent="0.25">
      <c r="B111" s="494" t="s">
        <v>469</v>
      </c>
      <c r="C111" s="514"/>
      <c r="D111" s="486">
        <f>(0.4/75)*88</f>
        <v>0.46933333333333338</v>
      </c>
      <c r="E111" s="486">
        <f>D111</f>
        <v>0.46933333333333338</v>
      </c>
      <c r="F111" s="486">
        <f t="shared" ref="F111:M111" si="47">E111</f>
        <v>0.46933333333333338</v>
      </c>
      <c r="G111" s="486">
        <f t="shared" si="47"/>
        <v>0.46933333333333338</v>
      </c>
      <c r="H111" s="486">
        <f t="shared" si="47"/>
        <v>0.46933333333333338</v>
      </c>
      <c r="I111" s="486">
        <f t="shared" si="47"/>
        <v>0.46933333333333338</v>
      </c>
      <c r="J111" s="486">
        <f t="shared" si="47"/>
        <v>0.46933333333333338</v>
      </c>
      <c r="K111" s="486">
        <f t="shared" si="47"/>
        <v>0.46933333333333338</v>
      </c>
      <c r="L111" s="486">
        <f t="shared" si="47"/>
        <v>0.46933333333333338</v>
      </c>
      <c r="M111" s="486">
        <f t="shared" si="47"/>
        <v>0.46933333333333338</v>
      </c>
    </row>
    <row r="112" spans="1:13" ht="19" thickBot="1" x14ac:dyDescent="0.25">
      <c r="B112" s="494" t="s">
        <v>459</v>
      </c>
      <c r="C112" s="514"/>
      <c r="D112" s="487">
        <f>D111*D110*D99</f>
        <v>9386.6666666666679</v>
      </c>
      <c r="E112" s="487">
        <f t="shared" ref="E112:M112" si="48">E111*E110*E99</f>
        <v>10325.333333333336</v>
      </c>
      <c r="F112" s="487">
        <f t="shared" si="48"/>
        <v>11357.866666666669</v>
      </c>
      <c r="G112" s="487">
        <f t="shared" si="48"/>
        <v>12493.653333333334</v>
      </c>
      <c r="H112" s="487">
        <f t="shared" si="48"/>
        <v>13743.018666666669</v>
      </c>
      <c r="I112" s="487">
        <f t="shared" si="48"/>
        <v>13743.018666666669</v>
      </c>
      <c r="J112" s="487">
        <f t="shared" si="48"/>
        <v>13743.018666666669</v>
      </c>
      <c r="K112" s="487">
        <f t="shared" si="48"/>
        <v>13743.018666666669</v>
      </c>
      <c r="L112" s="487">
        <f t="shared" si="48"/>
        <v>13743.018666666669</v>
      </c>
      <c r="M112" s="487">
        <f t="shared" si="48"/>
        <v>13743.018666666669</v>
      </c>
    </row>
    <row r="113" spans="1:13" ht="19" thickBot="1" x14ac:dyDescent="0.25">
      <c r="B113" s="495"/>
      <c r="C113" s="514"/>
      <c r="D113" s="502"/>
      <c r="E113" s="502"/>
      <c r="F113" s="503"/>
      <c r="G113" s="503"/>
      <c r="H113" s="503"/>
      <c r="I113" s="503"/>
      <c r="J113" s="503"/>
      <c r="K113" s="503"/>
      <c r="L113" s="503"/>
      <c r="M113" s="503"/>
    </row>
    <row r="114" spans="1:13" ht="19" thickBot="1" x14ac:dyDescent="0.25">
      <c r="B114" s="496" t="s">
        <v>460</v>
      </c>
      <c r="C114" s="514"/>
      <c r="D114" s="487">
        <f>D112-D109</f>
        <v>6278.2972451790647</v>
      </c>
      <c r="E114" s="487">
        <f t="shared" ref="E114:M114" si="49">E112-E109</f>
        <v>7216.9639118457326</v>
      </c>
      <c r="F114" s="487">
        <f t="shared" si="49"/>
        <v>8249.4972451790654</v>
      </c>
      <c r="G114" s="487">
        <f t="shared" si="49"/>
        <v>9385.2839118457305</v>
      </c>
      <c r="H114" s="487">
        <f t="shared" si="49"/>
        <v>10634.649245179065</v>
      </c>
      <c r="I114" s="487">
        <f t="shared" si="49"/>
        <v>10634.649245179065</v>
      </c>
      <c r="J114" s="487">
        <f t="shared" si="49"/>
        <v>10634.649245179065</v>
      </c>
      <c r="K114" s="487">
        <f t="shared" si="49"/>
        <v>10634.649245179065</v>
      </c>
      <c r="L114" s="487">
        <f t="shared" si="49"/>
        <v>10634.649245179065</v>
      </c>
      <c r="M114" s="487">
        <f t="shared" si="49"/>
        <v>10634.649245179065</v>
      </c>
    </row>
    <row r="115" spans="1:13" ht="19" thickBot="1" x14ac:dyDescent="0.25">
      <c r="B115" s="454"/>
      <c r="C115" s="510"/>
      <c r="D115" s="456"/>
      <c r="E115" s="455"/>
      <c r="F115" s="455"/>
      <c r="G115" s="455"/>
      <c r="H115" s="455"/>
      <c r="I115" s="455"/>
      <c r="J115" s="455"/>
      <c r="K115" s="455"/>
      <c r="L115" s="455"/>
      <c r="M115" s="455"/>
    </row>
    <row r="116" spans="1:13" ht="19" thickBot="1" x14ac:dyDescent="0.25">
      <c r="A116" s="528">
        <v>7</v>
      </c>
      <c r="B116" s="836" t="s">
        <v>472</v>
      </c>
      <c r="C116" s="837"/>
      <c r="D116" s="837"/>
      <c r="E116" s="837"/>
      <c r="F116" s="837"/>
      <c r="G116" s="837"/>
      <c r="H116" s="837"/>
      <c r="I116" s="837"/>
      <c r="J116" s="837"/>
      <c r="K116" s="837"/>
      <c r="L116" s="837"/>
      <c r="M116" s="838"/>
    </row>
    <row r="117" spans="1:13" s="525" customFormat="1" ht="19" thickBot="1" x14ac:dyDescent="0.25">
      <c r="A117" s="528"/>
      <c r="B117" s="489" t="s">
        <v>434</v>
      </c>
      <c r="C117" s="516" t="s">
        <v>466</v>
      </c>
      <c r="D117" s="470">
        <v>10</v>
      </c>
      <c r="E117" s="470">
        <f>D117</f>
        <v>10</v>
      </c>
      <c r="F117" s="470">
        <f t="shared" ref="F117:M117" si="50">E117</f>
        <v>10</v>
      </c>
      <c r="G117" s="470">
        <f t="shared" si="50"/>
        <v>10</v>
      </c>
      <c r="H117" s="470">
        <f t="shared" si="50"/>
        <v>10</v>
      </c>
      <c r="I117" s="470">
        <f t="shared" si="50"/>
        <v>10</v>
      </c>
      <c r="J117" s="470">
        <f t="shared" si="50"/>
        <v>10</v>
      </c>
      <c r="K117" s="470">
        <f t="shared" si="50"/>
        <v>10</v>
      </c>
      <c r="L117" s="470">
        <f t="shared" si="50"/>
        <v>10</v>
      </c>
      <c r="M117" s="470">
        <f t="shared" si="50"/>
        <v>10</v>
      </c>
    </row>
    <row r="118" spans="1:13" ht="19" thickBot="1" x14ac:dyDescent="0.25">
      <c r="B118" s="497" t="s">
        <v>449</v>
      </c>
      <c r="C118" s="515">
        <f>C82</f>
        <v>42.613636363636367</v>
      </c>
      <c r="D118" s="463">
        <f>$C118*D$117</f>
        <v>426.13636363636368</v>
      </c>
      <c r="E118" s="463">
        <f t="shared" ref="E118:M118" si="51">$C118*E$117</f>
        <v>426.13636363636368</v>
      </c>
      <c r="F118" s="463">
        <f t="shared" si="51"/>
        <v>426.13636363636368</v>
      </c>
      <c r="G118" s="463">
        <f t="shared" si="51"/>
        <v>426.13636363636368</v>
      </c>
      <c r="H118" s="463">
        <f t="shared" si="51"/>
        <v>426.13636363636368</v>
      </c>
      <c r="I118" s="463">
        <f t="shared" si="51"/>
        <v>426.13636363636368</v>
      </c>
      <c r="J118" s="463">
        <f t="shared" si="51"/>
        <v>426.13636363636368</v>
      </c>
      <c r="K118" s="463">
        <f t="shared" si="51"/>
        <v>426.13636363636368</v>
      </c>
      <c r="L118" s="463">
        <f t="shared" si="51"/>
        <v>426.13636363636368</v>
      </c>
      <c r="M118" s="463">
        <f t="shared" si="51"/>
        <v>426.13636363636368</v>
      </c>
    </row>
    <row r="119" spans="1:13" ht="19" thickBot="1" x14ac:dyDescent="0.25">
      <c r="B119" s="493" t="s">
        <v>450</v>
      </c>
      <c r="C119" s="515">
        <f>9000*2.5/88</f>
        <v>255.68181818181819</v>
      </c>
      <c r="D119" s="463">
        <f t="shared" ref="D119:M127" si="52">$C119*D$117</f>
        <v>2556.818181818182</v>
      </c>
      <c r="E119" s="463">
        <f t="shared" si="52"/>
        <v>2556.818181818182</v>
      </c>
      <c r="F119" s="463">
        <f t="shared" si="52"/>
        <v>2556.818181818182</v>
      </c>
      <c r="G119" s="463">
        <f t="shared" si="52"/>
        <v>2556.818181818182</v>
      </c>
      <c r="H119" s="463">
        <f t="shared" si="52"/>
        <v>2556.818181818182</v>
      </c>
      <c r="I119" s="463">
        <f t="shared" si="52"/>
        <v>2556.818181818182</v>
      </c>
      <c r="J119" s="463">
        <f t="shared" si="52"/>
        <v>2556.818181818182</v>
      </c>
      <c r="K119" s="463">
        <f t="shared" si="52"/>
        <v>2556.818181818182</v>
      </c>
      <c r="L119" s="463">
        <f t="shared" si="52"/>
        <v>2556.818181818182</v>
      </c>
      <c r="M119" s="463">
        <f t="shared" si="52"/>
        <v>2556.818181818182</v>
      </c>
    </row>
    <row r="120" spans="1:13" ht="19" thickBot="1" x14ac:dyDescent="0.25">
      <c r="B120" s="493" t="s">
        <v>451</v>
      </c>
      <c r="C120" s="515"/>
      <c r="D120" s="462">
        <f t="shared" si="52"/>
        <v>0</v>
      </c>
      <c r="E120" s="462">
        <f t="shared" si="52"/>
        <v>0</v>
      </c>
      <c r="F120" s="462">
        <f t="shared" si="52"/>
        <v>0</v>
      </c>
      <c r="G120" s="462">
        <f t="shared" si="52"/>
        <v>0</v>
      </c>
      <c r="H120" s="462">
        <f t="shared" si="52"/>
        <v>0</v>
      </c>
      <c r="I120" s="462">
        <f t="shared" si="52"/>
        <v>0</v>
      </c>
      <c r="J120" s="462">
        <f t="shared" si="52"/>
        <v>0</v>
      </c>
      <c r="K120" s="462">
        <f t="shared" si="52"/>
        <v>0</v>
      </c>
      <c r="L120" s="462">
        <f t="shared" si="52"/>
        <v>0</v>
      </c>
      <c r="M120" s="462">
        <f t="shared" si="52"/>
        <v>0</v>
      </c>
    </row>
    <row r="121" spans="1:13" ht="19" thickBot="1" x14ac:dyDescent="0.25">
      <c r="B121" s="493" t="s">
        <v>452</v>
      </c>
      <c r="C121" s="515">
        <f>6000*2.5/88</f>
        <v>170.45454545454547</v>
      </c>
      <c r="D121" s="463">
        <f t="shared" si="52"/>
        <v>1704.5454545454547</v>
      </c>
      <c r="E121" s="463">
        <f t="shared" si="52"/>
        <v>1704.5454545454547</v>
      </c>
      <c r="F121" s="463">
        <f t="shared" si="52"/>
        <v>1704.5454545454547</v>
      </c>
      <c r="G121" s="463">
        <f t="shared" si="52"/>
        <v>1704.5454545454547</v>
      </c>
      <c r="H121" s="463">
        <f t="shared" si="52"/>
        <v>1704.5454545454547</v>
      </c>
      <c r="I121" s="463">
        <f t="shared" si="52"/>
        <v>1704.5454545454547</v>
      </c>
      <c r="J121" s="463">
        <f t="shared" si="52"/>
        <v>1704.5454545454547</v>
      </c>
      <c r="K121" s="463">
        <f t="shared" si="52"/>
        <v>1704.5454545454547</v>
      </c>
      <c r="L121" s="463">
        <f t="shared" si="52"/>
        <v>1704.5454545454547</v>
      </c>
      <c r="M121" s="463">
        <f t="shared" si="52"/>
        <v>1704.5454545454547</v>
      </c>
    </row>
    <row r="122" spans="1:13" ht="19" thickBot="1" x14ac:dyDescent="0.25">
      <c r="B122" s="493" t="s">
        <v>465</v>
      </c>
      <c r="C122" s="515">
        <f>18000*2.5/88</f>
        <v>511.36363636363637</v>
      </c>
      <c r="D122" s="463">
        <f t="shared" si="52"/>
        <v>5113.636363636364</v>
      </c>
      <c r="E122" s="463">
        <f t="shared" si="52"/>
        <v>5113.636363636364</v>
      </c>
      <c r="F122" s="463">
        <f t="shared" si="52"/>
        <v>5113.636363636364</v>
      </c>
      <c r="G122" s="463">
        <f t="shared" si="52"/>
        <v>5113.636363636364</v>
      </c>
      <c r="H122" s="463">
        <f t="shared" si="52"/>
        <v>5113.636363636364</v>
      </c>
      <c r="I122" s="463">
        <f t="shared" si="52"/>
        <v>5113.636363636364</v>
      </c>
      <c r="J122" s="463">
        <f t="shared" si="52"/>
        <v>5113.636363636364</v>
      </c>
      <c r="K122" s="463">
        <f t="shared" si="52"/>
        <v>5113.636363636364</v>
      </c>
      <c r="L122" s="463">
        <f t="shared" si="52"/>
        <v>5113.636363636364</v>
      </c>
      <c r="M122" s="463">
        <f t="shared" si="52"/>
        <v>5113.636363636364</v>
      </c>
    </row>
    <row r="123" spans="1:13" ht="19" thickBot="1" x14ac:dyDescent="0.25">
      <c r="B123" s="493" t="s">
        <v>453</v>
      </c>
      <c r="C123" s="515"/>
      <c r="D123" s="462">
        <f t="shared" si="52"/>
        <v>0</v>
      </c>
      <c r="E123" s="462">
        <f t="shared" si="52"/>
        <v>0</v>
      </c>
      <c r="F123" s="462">
        <f t="shared" si="52"/>
        <v>0</v>
      </c>
      <c r="G123" s="462">
        <f t="shared" si="52"/>
        <v>0</v>
      </c>
      <c r="H123" s="462">
        <f t="shared" si="52"/>
        <v>0</v>
      </c>
      <c r="I123" s="462">
        <f t="shared" si="52"/>
        <v>0</v>
      </c>
      <c r="J123" s="462">
        <f t="shared" si="52"/>
        <v>0</v>
      </c>
      <c r="K123" s="462">
        <f t="shared" si="52"/>
        <v>0</v>
      </c>
      <c r="L123" s="462">
        <f t="shared" si="52"/>
        <v>0</v>
      </c>
      <c r="M123" s="462">
        <f t="shared" si="52"/>
        <v>0</v>
      </c>
    </row>
    <row r="124" spans="1:13" ht="19" thickBot="1" x14ac:dyDescent="0.25">
      <c r="B124" s="493" t="s">
        <v>454</v>
      </c>
      <c r="C124" s="515">
        <f>4000*2.5/88</f>
        <v>113.63636363636364</v>
      </c>
      <c r="D124" s="463">
        <f t="shared" si="52"/>
        <v>1136.3636363636365</v>
      </c>
      <c r="E124" s="463">
        <f t="shared" si="52"/>
        <v>1136.3636363636365</v>
      </c>
      <c r="F124" s="463">
        <f t="shared" si="52"/>
        <v>1136.3636363636365</v>
      </c>
      <c r="G124" s="463">
        <f t="shared" si="52"/>
        <v>1136.3636363636365</v>
      </c>
      <c r="H124" s="463">
        <f t="shared" si="52"/>
        <v>1136.3636363636365</v>
      </c>
      <c r="I124" s="463">
        <f t="shared" si="52"/>
        <v>1136.3636363636365</v>
      </c>
      <c r="J124" s="463">
        <f t="shared" si="52"/>
        <v>1136.3636363636365</v>
      </c>
      <c r="K124" s="463">
        <f t="shared" si="52"/>
        <v>1136.3636363636365</v>
      </c>
      <c r="L124" s="463">
        <f t="shared" si="52"/>
        <v>1136.3636363636365</v>
      </c>
      <c r="M124" s="463">
        <f t="shared" si="52"/>
        <v>1136.3636363636365</v>
      </c>
    </row>
    <row r="125" spans="1:13" ht="19" thickBot="1" x14ac:dyDescent="0.25">
      <c r="B125" s="493" t="s">
        <v>455</v>
      </c>
      <c r="C125" s="515">
        <f>C89</f>
        <v>58.109504132231415</v>
      </c>
      <c r="D125" s="463">
        <f t="shared" si="52"/>
        <v>581.09504132231416</v>
      </c>
      <c r="E125" s="463">
        <f t="shared" si="52"/>
        <v>581.09504132231416</v>
      </c>
      <c r="F125" s="463">
        <f t="shared" si="52"/>
        <v>581.09504132231416</v>
      </c>
      <c r="G125" s="463">
        <f t="shared" si="52"/>
        <v>581.09504132231416</v>
      </c>
      <c r="H125" s="463">
        <f t="shared" si="52"/>
        <v>581.09504132231416</v>
      </c>
      <c r="I125" s="463">
        <f t="shared" si="52"/>
        <v>581.09504132231416</v>
      </c>
      <c r="J125" s="463">
        <f t="shared" si="52"/>
        <v>581.09504132231416</v>
      </c>
      <c r="K125" s="463">
        <f t="shared" si="52"/>
        <v>581.09504132231416</v>
      </c>
      <c r="L125" s="463">
        <f t="shared" si="52"/>
        <v>581.09504132231416</v>
      </c>
      <c r="M125" s="463">
        <f t="shared" si="52"/>
        <v>581.09504132231416</v>
      </c>
    </row>
    <row r="126" spans="1:13" ht="19" thickBot="1" x14ac:dyDescent="0.25">
      <c r="B126" s="493" t="s">
        <v>456</v>
      </c>
      <c r="C126" s="515">
        <f>7500*2.5/88</f>
        <v>213.06818181818181</v>
      </c>
      <c r="D126" s="463">
        <f t="shared" si="52"/>
        <v>2130.681818181818</v>
      </c>
      <c r="E126" s="463">
        <f t="shared" si="52"/>
        <v>2130.681818181818</v>
      </c>
      <c r="F126" s="463">
        <f t="shared" si="52"/>
        <v>2130.681818181818</v>
      </c>
      <c r="G126" s="463">
        <f t="shared" si="52"/>
        <v>2130.681818181818</v>
      </c>
      <c r="H126" s="463">
        <f t="shared" si="52"/>
        <v>2130.681818181818</v>
      </c>
      <c r="I126" s="463">
        <f t="shared" si="52"/>
        <v>2130.681818181818</v>
      </c>
      <c r="J126" s="463">
        <f t="shared" si="52"/>
        <v>2130.681818181818</v>
      </c>
      <c r="K126" s="463">
        <f t="shared" si="52"/>
        <v>2130.681818181818</v>
      </c>
      <c r="L126" s="463">
        <f t="shared" si="52"/>
        <v>2130.681818181818</v>
      </c>
      <c r="M126" s="463">
        <f t="shared" si="52"/>
        <v>2130.681818181818</v>
      </c>
    </row>
    <row r="127" spans="1:13" ht="19" thickBot="1" x14ac:dyDescent="0.25">
      <c r="B127" s="494" t="s">
        <v>457</v>
      </c>
      <c r="C127" s="516">
        <f>SUM(C118:C126)</f>
        <v>1364.9276859504132</v>
      </c>
      <c r="D127" s="501">
        <f t="shared" si="52"/>
        <v>13649.276859504133</v>
      </c>
      <c r="E127" s="501">
        <f t="shared" si="52"/>
        <v>13649.276859504133</v>
      </c>
      <c r="F127" s="501">
        <f t="shared" si="52"/>
        <v>13649.276859504133</v>
      </c>
      <c r="G127" s="501">
        <f t="shared" si="52"/>
        <v>13649.276859504133</v>
      </c>
      <c r="H127" s="501">
        <f t="shared" si="52"/>
        <v>13649.276859504133</v>
      </c>
      <c r="I127" s="501">
        <f t="shared" si="52"/>
        <v>13649.276859504133</v>
      </c>
      <c r="J127" s="501">
        <f t="shared" si="52"/>
        <v>13649.276859504133</v>
      </c>
      <c r="K127" s="501">
        <f t="shared" si="52"/>
        <v>13649.276859504133</v>
      </c>
      <c r="L127" s="501">
        <f t="shared" si="52"/>
        <v>13649.276859504133</v>
      </c>
      <c r="M127" s="501">
        <f t="shared" si="52"/>
        <v>13649.276859504133</v>
      </c>
    </row>
    <row r="128" spans="1:13" ht="19" thickBot="1" x14ac:dyDescent="0.25">
      <c r="B128" s="494" t="s">
        <v>458</v>
      </c>
      <c r="C128" s="516"/>
      <c r="D128" s="501">
        <v>20000</v>
      </c>
      <c r="E128" s="501">
        <f>D128*1.05</f>
        <v>21000</v>
      </c>
      <c r="F128" s="501">
        <f>E128*1.05</f>
        <v>22050</v>
      </c>
      <c r="G128" s="501">
        <f>F128*1.05</f>
        <v>23152.5</v>
      </c>
      <c r="H128" s="501">
        <f>G128*1.05</f>
        <v>24310.125</v>
      </c>
      <c r="I128" s="501">
        <f t="shared" ref="I128" si="53">H128+2000</f>
        <v>26310.125</v>
      </c>
      <c r="J128" s="501">
        <f>I128</f>
        <v>26310.125</v>
      </c>
      <c r="K128" s="501">
        <f t="shared" ref="K128:M128" si="54">J128</f>
        <v>26310.125</v>
      </c>
      <c r="L128" s="501">
        <f t="shared" si="54"/>
        <v>26310.125</v>
      </c>
      <c r="M128" s="501">
        <f t="shared" si="54"/>
        <v>26310.125</v>
      </c>
    </row>
    <row r="129" spans="1:13" ht="19" thickBot="1" x14ac:dyDescent="0.25">
      <c r="B129" s="494" t="s">
        <v>469</v>
      </c>
      <c r="C129" s="516"/>
      <c r="D129" s="500">
        <v>0.4</v>
      </c>
      <c r="E129" s="500">
        <f>D129</f>
        <v>0.4</v>
      </c>
      <c r="F129" s="500">
        <f t="shared" ref="F129:M129" si="55">E129</f>
        <v>0.4</v>
      </c>
      <c r="G129" s="500">
        <f t="shared" si="55"/>
        <v>0.4</v>
      </c>
      <c r="H129" s="500">
        <f t="shared" si="55"/>
        <v>0.4</v>
      </c>
      <c r="I129" s="500">
        <f t="shared" si="55"/>
        <v>0.4</v>
      </c>
      <c r="J129" s="500">
        <f t="shared" si="55"/>
        <v>0.4</v>
      </c>
      <c r="K129" s="500">
        <f t="shared" si="55"/>
        <v>0.4</v>
      </c>
      <c r="L129" s="500">
        <f t="shared" si="55"/>
        <v>0.4</v>
      </c>
      <c r="M129" s="500">
        <f t="shared" si="55"/>
        <v>0.4</v>
      </c>
    </row>
    <row r="130" spans="1:13" ht="19" thickBot="1" x14ac:dyDescent="0.25">
      <c r="B130" s="494" t="s">
        <v>459</v>
      </c>
      <c r="C130" s="516"/>
      <c r="D130" s="501">
        <f>D129*D128*D117</f>
        <v>80000</v>
      </c>
      <c r="E130" s="501">
        <f t="shared" ref="E130:M130" si="56">E129*E128*E117</f>
        <v>84000</v>
      </c>
      <c r="F130" s="501">
        <f t="shared" si="56"/>
        <v>88200</v>
      </c>
      <c r="G130" s="501">
        <f t="shared" si="56"/>
        <v>92610</v>
      </c>
      <c r="H130" s="501">
        <f t="shared" si="56"/>
        <v>97240.500000000015</v>
      </c>
      <c r="I130" s="501">
        <f t="shared" si="56"/>
        <v>105240.50000000001</v>
      </c>
      <c r="J130" s="501">
        <f t="shared" si="56"/>
        <v>105240.50000000001</v>
      </c>
      <c r="K130" s="501">
        <f t="shared" si="56"/>
        <v>105240.50000000001</v>
      </c>
      <c r="L130" s="501">
        <f t="shared" si="56"/>
        <v>105240.50000000001</v>
      </c>
      <c r="M130" s="501">
        <f t="shared" si="56"/>
        <v>105240.50000000001</v>
      </c>
    </row>
    <row r="131" spans="1:13" ht="19" thickBot="1" x14ac:dyDescent="0.25">
      <c r="B131" s="495"/>
      <c r="C131" s="516"/>
      <c r="D131" s="501"/>
      <c r="E131" s="501"/>
      <c r="F131" s="501"/>
      <c r="G131" s="501"/>
      <c r="H131" s="501"/>
      <c r="I131" s="501"/>
      <c r="J131" s="501"/>
      <c r="K131" s="501"/>
      <c r="L131" s="501"/>
      <c r="M131" s="501"/>
    </row>
    <row r="132" spans="1:13" ht="19" thickBot="1" x14ac:dyDescent="0.25">
      <c r="B132" s="496" t="s">
        <v>460</v>
      </c>
      <c r="C132" s="516"/>
      <c r="D132" s="501">
        <f>D130-D127</f>
        <v>66350.723140495873</v>
      </c>
      <c r="E132" s="501">
        <f t="shared" ref="E132:M132" si="57">E130-E127</f>
        <v>70350.723140495873</v>
      </c>
      <c r="F132" s="501">
        <f t="shared" si="57"/>
        <v>74550.723140495873</v>
      </c>
      <c r="G132" s="501">
        <f t="shared" si="57"/>
        <v>78960.723140495873</v>
      </c>
      <c r="H132" s="501">
        <f t="shared" si="57"/>
        <v>83591.223140495887</v>
      </c>
      <c r="I132" s="501">
        <f t="shared" si="57"/>
        <v>91591.223140495887</v>
      </c>
      <c r="J132" s="501">
        <f t="shared" si="57"/>
        <v>91591.223140495887</v>
      </c>
      <c r="K132" s="501">
        <f t="shared" si="57"/>
        <v>91591.223140495887</v>
      </c>
      <c r="L132" s="501">
        <f t="shared" si="57"/>
        <v>91591.223140495887</v>
      </c>
      <c r="M132" s="501">
        <f t="shared" si="57"/>
        <v>91591.223140495887</v>
      </c>
    </row>
    <row r="133" spans="1:13" ht="19" thickBot="1" x14ac:dyDescent="0.25">
      <c r="B133" s="485"/>
      <c r="C133" s="510"/>
      <c r="D133" s="455"/>
      <c r="E133" s="455"/>
      <c r="F133" s="456"/>
      <c r="G133" s="456"/>
      <c r="H133" s="456"/>
      <c r="I133" s="456"/>
      <c r="J133" s="456"/>
      <c r="K133" s="456"/>
      <c r="L133" s="456"/>
      <c r="M133" s="456"/>
    </row>
    <row r="134" spans="1:13" ht="19" thickBot="1" x14ac:dyDescent="0.25">
      <c r="A134" s="528">
        <v>8</v>
      </c>
      <c r="B134" s="839" t="s">
        <v>473</v>
      </c>
      <c r="C134" s="840"/>
      <c r="D134" s="840"/>
      <c r="E134" s="840"/>
      <c r="F134" s="840"/>
      <c r="G134" s="840"/>
      <c r="H134" s="840"/>
      <c r="I134" s="840"/>
      <c r="J134" s="840"/>
      <c r="K134" s="840"/>
      <c r="L134" s="840"/>
      <c r="M134" s="841"/>
    </row>
    <row r="135" spans="1:13" s="525" customFormat="1" ht="19" thickBot="1" x14ac:dyDescent="0.25">
      <c r="A135" s="528"/>
      <c r="B135" s="489" t="s">
        <v>434</v>
      </c>
      <c r="C135" s="514" t="s">
        <v>466</v>
      </c>
      <c r="D135" s="502">
        <v>5</v>
      </c>
      <c r="E135" s="502">
        <f>D135</f>
        <v>5</v>
      </c>
      <c r="F135" s="502">
        <f t="shared" ref="F135:M135" si="58">E135</f>
        <v>5</v>
      </c>
      <c r="G135" s="502">
        <f t="shared" si="58"/>
        <v>5</v>
      </c>
      <c r="H135" s="502">
        <f t="shared" si="58"/>
        <v>5</v>
      </c>
      <c r="I135" s="502">
        <f t="shared" si="58"/>
        <v>5</v>
      </c>
      <c r="J135" s="502">
        <f t="shared" si="58"/>
        <v>5</v>
      </c>
      <c r="K135" s="502">
        <f t="shared" si="58"/>
        <v>5</v>
      </c>
      <c r="L135" s="502">
        <f t="shared" si="58"/>
        <v>5</v>
      </c>
      <c r="M135" s="502">
        <f t="shared" si="58"/>
        <v>5</v>
      </c>
    </row>
    <row r="136" spans="1:13" ht="19" thickBot="1" x14ac:dyDescent="0.25">
      <c r="B136" s="497" t="s">
        <v>449</v>
      </c>
      <c r="C136" s="513">
        <f>C118</f>
        <v>42.613636363636367</v>
      </c>
      <c r="D136" s="461">
        <f>$C136*D$135</f>
        <v>213.06818181818184</v>
      </c>
      <c r="E136" s="461">
        <f t="shared" ref="E136:M136" si="59">$C136*E$135</f>
        <v>213.06818181818184</v>
      </c>
      <c r="F136" s="461">
        <f t="shared" si="59"/>
        <v>213.06818181818184</v>
      </c>
      <c r="G136" s="461">
        <f t="shared" si="59"/>
        <v>213.06818181818184</v>
      </c>
      <c r="H136" s="461">
        <f t="shared" si="59"/>
        <v>213.06818181818184</v>
      </c>
      <c r="I136" s="461">
        <f t="shared" si="59"/>
        <v>213.06818181818184</v>
      </c>
      <c r="J136" s="461">
        <f t="shared" si="59"/>
        <v>213.06818181818184</v>
      </c>
      <c r="K136" s="461">
        <f t="shared" si="59"/>
        <v>213.06818181818184</v>
      </c>
      <c r="L136" s="461">
        <f t="shared" si="59"/>
        <v>213.06818181818184</v>
      </c>
      <c r="M136" s="461">
        <f t="shared" si="59"/>
        <v>213.06818181818184</v>
      </c>
    </row>
    <row r="137" spans="1:13" ht="19" thickBot="1" x14ac:dyDescent="0.25">
      <c r="B137" s="493" t="s">
        <v>450</v>
      </c>
      <c r="C137" s="513">
        <f>5000/88</f>
        <v>56.81818181818182</v>
      </c>
      <c r="D137" s="458">
        <f t="shared" ref="D137:M145" si="60">$C137*D$135</f>
        <v>284.09090909090912</v>
      </c>
      <c r="E137" s="458">
        <f t="shared" si="60"/>
        <v>284.09090909090912</v>
      </c>
      <c r="F137" s="458">
        <f t="shared" si="60"/>
        <v>284.09090909090912</v>
      </c>
      <c r="G137" s="458">
        <f t="shared" si="60"/>
        <v>284.09090909090912</v>
      </c>
      <c r="H137" s="458">
        <f t="shared" si="60"/>
        <v>284.09090909090912</v>
      </c>
      <c r="I137" s="458">
        <f t="shared" si="60"/>
        <v>284.09090909090912</v>
      </c>
      <c r="J137" s="458">
        <f t="shared" si="60"/>
        <v>284.09090909090912</v>
      </c>
      <c r="K137" s="458">
        <f t="shared" si="60"/>
        <v>284.09090909090912</v>
      </c>
      <c r="L137" s="458">
        <f t="shared" si="60"/>
        <v>284.09090909090912</v>
      </c>
      <c r="M137" s="458">
        <f t="shared" si="60"/>
        <v>284.09090909090912</v>
      </c>
    </row>
    <row r="138" spans="1:13" ht="19" thickBot="1" x14ac:dyDescent="0.25">
      <c r="B138" s="493" t="s">
        <v>451</v>
      </c>
      <c r="C138" s="513">
        <f>40000/88</f>
        <v>454.54545454545456</v>
      </c>
      <c r="D138" s="458">
        <f t="shared" si="60"/>
        <v>2272.727272727273</v>
      </c>
      <c r="E138" s="458">
        <f t="shared" si="60"/>
        <v>2272.727272727273</v>
      </c>
      <c r="F138" s="458">
        <f t="shared" si="60"/>
        <v>2272.727272727273</v>
      </c>
      <c r="G138" s="458">
        <f t="shared" si="60"/>
        <v>2272.727272727273</v>
      </c>
      <c r="H138" s="458">
        <f t="shared" si="60"/>
        <v>2272.727272727273</v>
      </c>
      <c r="I138" s="458">
        <f t="shared" si="60"/>
        <v>2272.727272727273</v>
      </c>
      <c r="J138" s="458">
        <f t="shared" si="60"/>
        <v>2272.727272727273</v>
      </c>
      <c r="K138" s="458">
        <f t="shared" si="60"/>
        <v>2272.727272727273</v>
      </c>
      <c r="L138" s="458">
        <f t="shared" si="60"/>
        <v>2272.727272727273</v>
      </c>
      <c r="M138" s="458">
        <f t="shared" si="60"/>
        <v>2272.727272727273</v>
      </c>
    </row>
    <row r="139" spans="1:13" ht="19" thickBot="1" x14ac:dyDescent="0.25">
      <c r="B139" s="493" t="s">
        <v>452</v>
      </c>
      <c r="C139" s="513">
        <f>C157</f>
        <v>532.6704545454545</v>
      </c>
      <c r="D139" s="458">
        <f t="shared" si="60"/>
        <v>2663.3522727272725</v>
      </c>
      <c r="E139" s="458">
        <f t="shared" si="60"/>
        <v>2663.3522727272725</v>
      </c>
      <c r="F139" s="458">
        <f t="shared" si="60"/>
        <v>2663.3522727272725</v>
      </c>
      <c r="G139" s="458">
        <f t="shared" si="60"/>
        <v>2663.3522727272725</v>
      </c>
      <c r="H139" s="458">
        <f t="shared" si="60"/>
        <v>2663.3522727272725</v>
      </c>
      <c r="I139" s="458">
        <f t="shared" si="60"/>
        <v>2663.3522727272725</v>
      </c>
      <c r="J139" s="458">
        <f t="shared" si="60"/>
        <v>2663.3522727272725</v>
      </c>
      <c r="K139" s="458">
        <f t="shared" si="60"/>
        <v>2663.3522727272725</v>
      </c>
      <c r="L139" s="458">
        <f t="shared" si="60"/>
        <v>2663.3522727272725</v>
      </c>
      <c r="M139" s="458">
        <f t="shared" si="60"/>
        <v>2663.3522727272725</v>
      </c>
    </row>
    <row r="140" spans="1:13" ht="19" thickBot="1" x14ac:dyDescent="0.25">
      <c r="B140" s="493" t="s">
        <v>465</v>
      </c>
      <c r="C140" s="513">
        <f>100000/88</f>
        <v>1136.3636363636363</v>
      </c>
      <c r="D140" s="458">
        <f t="shared" si="60"/>
        <v>5681.8181818181811</v>
      </c>
      <c r="E140" s="458">
        <f t="shared" si="60"/>
        <v>5681.8181818181811</v>
      </c>
      <c r="F140" s="458">
        <f t="shared" si="60"/>
        <v>5681.8181818181811</v>
      </c>
      <c r="G140" s="458">
        <f t="shared" si="60"/>
        <v>5681.8181818181811</v>
      </c>
      <c r="H140" s="458">
        <f t="shared" si="60"/>
        <v>5681.8181818181811</v>
      </c>
      <c r="I140" s="458">
        <f t="shared" si="60"/>
        <v>5681.8181818181811</v>
      </c>
      <c r="J140" s="458">
        <f t="shared" si="60"/>
        <v>5681.8181818181811</v>
      </c>
      <c r="K140" s="458">
        <f t="shared" si="60"/>
        <v>5681.8181818181811</v>
      </c>
      <c r="L140" s="458">
        <f t="shared" si="60"/>
        <v>5681.8181818181811</v>
      </c>
      <c r="M140" s="458">
        <f t="shared" si="60"/>
        <v>5681.8181818181811</v>
      </c>
    </row>
    <row r="141" spans="1:13" ht="19" thickBot="1" x14ac:dyDescent="0.25">
      <c r="B141" s="493" t="s">
        <v>453</v>
      </c>
      <c r="C141" s="513">
        <f>75000/88</f>
        <v>852.27272727272725</v>
      </c>
      <c r="D141" s="458">
        <f t="shared" si="60"/>
        <v>4261.363636363636</v>
      </c>
      <c r="E141" s="458">
        <f t="shared" si="60"/>
        <v>4261.363636363636</v>
      </c>
      <c r="F141" s="458">
        <f t="shared" si="60"/>
        <v>4261.363636363636</v>
      </c>
      <c r="G141" s="458">
        <f t="shared" si="60"/>
        <v>4261.363636363636</v>
      </c>
      <c r="H141" s="458">
        <f t="shared" si="60"/>
        <v>4261.363636363636</v>
      </c>
      <c r="I141" s="458">
        <f t="shared" si="60"/>
        <v>4261.363636363636</v>
      </c>
      <c r="J141" s="458">
        <f t="shared" si="60"/>
        <v>4261.363636363636</v>
      </c>
      <c r="K141" s="458">
        <f t="shared" si="60"/>
        <v>4261.363636363636</v>
      </c>
      <c r="L141" s="458">
        <f t="shared" si="60"/>
        <v>4261.363636363636</v>
      </c>
      <c r="M141" s="458">
        <f t="shared" si="60"/>
        <v>4261.363636363636</v>
      </c>
    </row>
    <row r="142" spans="1:13" ht="19" thickBot="1" x14ac:dyDescent="0.25">
      <c r="B142" s="493" t="s">
        <v>454</v>
      </c>
      <c r="C142" s="513">
        <f>60000/88</f>
        <v>681.81818181818187</v>
      </c>
      <c r="D142" s="458">
        <f t="shared" si="60"/>
        <v>3409.0909090909095</v>
      </c>
      <c r="E142" s="458">
        <f t="shared" si="60"/>
        <v>3409.0909090909095</v>
      </c>
      <c r="F142" s="458">
        <f t="shared" si="60"/>
        <v>3409.0909090909095</v>
      </c>
      <c r="G142" s="458">
        <f t="shared" si="60"/>
        <v>3409.0909090909095</v>
      </c>
      <c r="H142" s="458">
        <f t="shared" si="60"/>
        <v>3409.0909090909095</v>
      </c>
      <c r="I142" s="458">
        <f t="shared" si="60"/>
        <v>3409.0909090909095</v>
      </c>
      <c r="J142" s="458">
        <f t="shared" si="60"/>
        <v>3409.0909090909095</v>
      </c>
      <c r="K142" s="458">
        <f t="shared" si="60"/>
        <v>3409.0909090909095</v>
      </c>
      <c r="L142" s="458">
        <f t="shared" si="60"/>
        <v>3409.0909090909095</v>
      </c>
      <c r="M142" s="458">
        <f t="shared" si="60"/>
        <v>3409.0909090909095</v>
      </c>
    </row>
    <row r="143" spans="1:13" ht="19" thickBot="1" x14ac:dyDescent="0.25">
      <c r="B143" s="493" t="s">
        <v>455</v>
      </c>
      <c r="C143" s="513">
        <f>C161</f>
        <v>116.21900826446283</v>
      </c>
      <c r="D143" s="458">
        <f t="shared" si="60"/>
        <v>581.09504132231416</v>
      </c>
      <c r="E143" s="458">
        <f t="shared" si="60"/>
        <v>581.09504132231416</v>
      </c>
      <c r="F143" s="458">
        <f t="shared" si="60"/>
        <v>581.09504132231416</v>
      </c>
      <c r="G143" s="458">
        <f t="shared" si="60"/>
        <v>581.09504132231416</v>
      </c>
      <c r="H143" s="458">
        <f t="shared" si="60"/>
        <v>581.09504132231416</v>
      </c>
      <c r="I143" s="458">
        <f t="shared" si="60"/>
        <v>581.09504132231416</v>
      </c>
      <c r="J143" s="458">
        <f t="shared" si="60"/>
        <v>581.09504132231416</v>
      </c>
      <c r="K143" s="458">
        <f t="shared" si="60"/>
        <v>581.09504132231416</v>
      </c>
      <c r="L143" s="458">
        <f t="shared" si="60"/>
        <v>581.09504132231416</v>
      </c>
      <c r="M143" s="458">
        <f t="shared" si="60"/>
        <v>581.09504132231416</v>
      </c>
    </row>
    <row r="144" spans="1:13" ht="19" thickBot="1" x14ac:dyDescent="0.25">
      <c r="B144" s="493" t="s">
        <v>456</v>
      </c>
      <c r="C144" s="513">
        <f>SUM(C90)</f>
        <v>525.56818181818187</v>
      </c>
      <c r="D144" s="458">
        <f t="shared" si="60"/>
        <v>2627.8409090909095</v>
      </c>
      <c r="E144" s="458">
        <f t="shared" si="60"/>
        <v>2627.8409090909095</v>
      </c>
      <c r="F144" s="458">
        <f t="shared" si="60"/>
        <v>2627.8409090909095</v>
      </c>
      <c r="G144" s="458">
        <f t="shared" si="60"/>
        <v>2627.8409090909095</v>
      </c>
      <c r="H144" s="458">
        <f t="shared" si="60"/>
        <v>2627.8409090909095</v>
      </c>
      <c r="I144" s="458">
        <f t="shared" si="60"/>
        <v>2627.8409090909095</v>
      </c>
      <c r="J144" s="458">
        <f t="shared" si="60"/>
        <v>2627.8409090909095</v>
      </c>
      <c r="K144" s="458">
        <f t="shared" si="60"/>
        <v>2627.8409090909095</v>
      </c>
      <c r="L144" s="458">
        <f t="shared" si="60"/>
        <v>2627.8409090909095</v>
      </c>
      <c r="M144" s="458">
        <f t="shared" si="60"/>
        <v>2627.8409090909095</v>
      </c>
    </row>
    <row r="145" spans="1:13" ht="19" thickBot="1" x14ac:dyDescent="0.25">
      <c r="B145" s="494" t="s">
        <v>457</v>
      </c>
      <c r="C145" s="514">
        <f>SUM(C136:C144)</f>
        <v>4398.8894628099179</v>
      </c>
      <c r="D145" s="487">
        <f t="shared" si="60"/>
        <v>21994.44731404959</v>
      </c>
      <c r="E145" s="487">
        <f t="shared" si="60"/>
        <v>21994.44731404959</v>
      </c>
      <c r="F145" s="487">
        <f t="shared" si="60"/>
        <v>21994.44731404959</v>
      </c>
      <c r="G145" s="487">
        <f t="shared" si="60"/>
        <v>21994.44731404959</v>
      </c>
      <c r="H145" s="487">
        <f t="shared" si="60"/>
        <v>21994.44731404959</v>
      </c>
      <c r="I145" s="487">
        <f t="shared" si="60"/>
        <v>21994.44731404959</v>
      </c>
      <c r="J145" s="487">
        <f t="shared" si="60"/>
        <v>21994.44731404959</v>
      </c>
      <c r="K145" s="487">
        <f t="shared" si="60"/>
        <v>21994.44731404959</v>
      </c>
      <c r="L145" s="487">
        <f t="shared" si="60"/>
        <v>21994.44731404959</v>
      </c>
      <c r="M145" s="487">
        <f t="shared" si="60"/>
        <v>21994.44731404959</v>
      </c>
    </row>
    <row r="146" spans="1:13" ht="19" thickBot="1" x14ac:dyDescent="0.25">
      <c r="B146" s="494" t="s">
        <v>458</v>
      </c>
      <c r="C146" s="514"/>
      <c r="D146" s="487">
        <f>15000</f>
        <v>15000</v>
      </c>
      <c r="E146" s="487">
        <f>D146*1.05</f>
        <v>15750</v>
      </c>
      <c r="F146" s="487">
        <f>E146*1.05</f>
        <v>16537.5</v>
      </c>
      <c r="G146" s="487">
        <f>F146*1.05</f>
        <v>17364.375</v>
      </c>
      <c r="H146" s="487">
        <f>G146*1.05</f>
        <v>18232.59375</v>
      </c>
      <c r="I146" s="487">
        <f>SUM(G146)*1.1</f>
        <v>19100.8125</v>
      </c>
      <c r="J146" s="487">
        <f>I146</f>
        <v>19100.8125</v>
      </c>
      <c r="K146" s="487">
        <f t="shared" ref="K146:M146" si="61">J146</f>
        <v>19100.8125</v>
      </c>
      <c r="L146" s="487">
        <f t="shared" si="61"/>
        <v>19100.8125</v>
      </c>
      <c r="M146" s="487">
        <f t="shared" si="61"/>
        <v>19100.8125</v>
      </c>
    </row>
    <row r="147" spans="1:13" ht="19" thickBot="1" x14ac:dyDescent="0.25">
      <c r="B147" s="494" t="s">
        <v>469</v>
      </c>
      <c r="C147" s="514"/>
      <c r="D147" s="502">
        <v>0.35</v>
      </c>
      <c r="E147" s="502">
        <f>D147</f>
        <v>0.35</v>
      </c>
      <c r="F147" s="502">
        <f t="shared" ref="F147:M147" si="62">E147</f>
        <v>0.35</v>
      </c>
      <c r="G147" s="502">
        <f t="shared" si="62"/>
        <v>0.35</v>
      </c>
      <c r="H147" s="502">
        <f t="shared" si="62"/>
        <v>0.35</v>
      </c>
      <c r="I147" s="502">
        <f t="shared" si="62"/>
        <v>0.35</v>
      </c>
      <c r="J147" s="502">
        <f t="shared" si="62"/>
        <v>0.35</v>
      </c>
      <c r="K147" s="502">
        <f t="shared" si="62"/>
        <v>0.35</v>
      </c>
      <c r="L147" s="502">
        <f t="shared" si="62"/>
        <v>0.35</v>
      </c>
      <c r="M147" s="502">
        <f t="shared" si="62"/>
        <v>0.35</v>
      </c>
    </row>
    <row r="148" spans="1:13" ht="19" thickBot="1" x14ac:dyDescent="0.25">
      <c r="B148" s="494" t="s">
        <v>459</v>
      </c>
      <c r="C148" s="514"/>
      <c r="D148" s="487">
        <f>D147*D146*D135</f>
        <v>26250</v>
      </c>
      <c r="E148" s="487">
        <f t="shared" ref="E148:M148" si="63">E147*E146*E135</f>
        <v>27562.5</v>
      </c>
      <c r="F148" s="487">
        <f t="shared" si="63"/>
        <v>28940.625</v>
      </c>
      <c r="G148" s="487">
        <f t="shared" si="63"/>
        <v>30387.65625</v>
      </c>
      <c r="H148" s="487">
        <f t="shared" si="63"/>
        <v>31907.0390625</v>
      </c>
      <c r="I148" s="487">
        <f t="shared" si="63"/>
        <v>33426.421875</v>
      </c>
      <c r="J148" s="487">
        <f t="shared" si="63"/>
        <v>33426.421875</v>
      </c>
      <c r="K148" s="487">
        <f t="shared" si="63"/>
        <v>33426.421875</v>
      </c>
      <c r="L148" s="487">
        <f t="shared" si="63"/>
        <v>33426.421875</v>
      </c>
      <c r="M148" s="487">
        <f t="shared" si="63"/>
        <v>33426.421875</v>
      </c>
    </row>
    <row r="149" spans="1:13" ht="19" thickBot="1" x14ac:dyDescent="0.25">
      <c r="B149" s="495"/>
      <c r="C149" s="514"/>
      <c r="D149" s="487"/>
      <c r="E149" s="487"/>
      <c r="F149" s="487"/>
      <c r="G149" s="487"/>
      <c r="H149" s="487"/>
      <c r="I149" s="487"/>
      <c r="J149" s="487"/>
      <c r="K149" s="487"/>
      <c r="L149" s="487"/>
      <c r="M149" s="487"/>
    </row>
    <row r="150" spans="1:13" ht="19" thickBot="1" x14ac:dyDescent="0.25">
      <c r="B150" s="496" t="s">
        <v>460</v>
      </c>
      <c r="C150" s="514"/>
      <c r="D150" s="487">
        <f>D148-D146</f>
        <v>11250</v>
      </c>
      <c r="E150" s="487">
        <f t="shared" ref="E150:M150" si="64">E148-E146</f>
        <v>11812.5</v>
      </c>
      <c r="F150" s="487">
        <f t="shared" si="64"/>
        <v>12403.125</v>
      </c>
      <c r="G150" s="487">
        <f t="shared" si="64"/>
        <v>13023.28125</v>
      </c>
      <c r="H150" s="487">
        <f t="shared" si="64"/>
        <v>13674.4453125</v>
      </c>
      <c r="I150" s="487">
        <f t="shared" si="64"/>
        <v>14325.609375</v>
      </c>
      <c r="J150" s="487">
        <f t="shared" si="64"/>
        <v>14325.609375</v>
      </c>
      <c r="K150" s="487">
        <f t="shared" si="64"/>
        <v>14325.609375</v>
      </c>
      <c r="L150" s="487">
        <f t="shared" si="64"/>
        <v>14325.609375</v>
      </c>
      <c r="M150" s="487">
        <f t="shared" si="64"/>
        <v>14325.609375</v>
      </c>
    </row>
    <row r="151" spans="1:13" ht="19" thickBot="1" x14ac:dyDescent="0.25">
      <c r="B151" s="454"/>
      <c r="C151" s="510"/>
      <c r="D151" s="455"/>
      <c r="E151" s="455"/>
      <c r="F151" s="456"/>
      <c r="G151" s="456"/>
      <c r="H151" s="456"/>
      <c r="I151" s="456"/>
      <c r="J151" s="456"/>
      <c r="K151" s="456"/>
      <c r="L151" s="456"/>
      <c r="M151" s="456"/>
    </row>
    <row r="152" spans="1:13" ht="19" thickBot="1" x14ac:dyDescent="0.25">
      <c r="A152" s="528">
        <v>9</v>
      </c>
      <c r="B152" s="842" t="s">
        <v>474</v>
      </c>
      <c r="C152" s="843"/>
      <c r="D152" s="843"/>
      <c r="E152" s="843"/>
      <c r="F152" s="843"/>
      <c r="G152" s="843"/>
      <c r="H152" s="843"/>
      <c r="I152" s="843"/>
      <c r="J152" s="843"/>
      <c r="K152" s="843"/>
      <c r="L152" s="843"/>
      <c r="M152" s="844"/>
    </row>
    <row r="153" spans="1:13" s="525" customFormat="1" ht="19" thickBot="1" x14ac:dyDescent="0.25">
      <c r="A153" s="528"/>
      <c r="B153" s="489" t="s">
        <v>434</v>
      </c>
      <c r="C153" s="519" t="s">
        <v>466</v>
      </c>
      <c r="D153" s="471">
        <v>10</v>
      </c>
      <c r="E153" s="471">
        <f>D153</f>
        <v>10</v>
      </c>
      <c r="F153" s="471">
        <f t="shared" ref="F153:M153" si="65">E153</f>
        <v>10</v>
      </c>
      <c r="G153" s="471">
        <f t="shared" si="65"/>
        <v>10</v>
      </c>
      <c r="H153" s="471">
        <f t="shared" si="65"/>
        <v>10</v>
      </c>
      <c r="I153" s="471">
        <f t="shared" si="65"/>
        <v>10</v>
      </c>
      <c r="J153" s="471">
        <f t="shared" si="65"/>
        <v>10</v>
      </c>
      <c r="K153" s="471">
        <f t="shared" si="65"/>
        <v>10</v>
      </c>
      <c r="L153" s="471">
        <f t="shared" si="65"/>
        <v>10</v>
      </c>
      <c r="M153" s="471">
        <f t="shared" si="65"/>
        <v>10</v>
      </c>
    </row>
    <row r="154" spans="1:13" ht="19" thickBot="1" x14ac:dyDescent="0.25">
      <c r="B154" s="497" t="s">
        <v>449</v>
      </c>
      <c r="C154" s="518">
        <f>C82</f>
        <v>42.613636363636367</v>
      </c>
      <c r="D154" s="467">
        <f>$C154*D$153</f>
        <v>426.13636363636368</v>
      </c>
      <c r="E154" s="467">
        <f t="shared" ref="E154:M154" si="66">$C154*E$153</f>
        <v>426.13636363636368</v>
      </c>
      <c r="F154" s="467">
        <f t="shared" si="66"/>
        <v>426.13636363636368</v>
      </c>
      <c r="G154" s="467">
        <f t="shared" si="66"/>
        <v>426.13636363636368</v>
      </c>
      <c r="H154" s="467">
        <f t="shared" si="66"/>
        <v>426.13636363636368</v>
      </c>
      <c r="I154" s="467">
        <f t="shared" si="66"/>
        <v>426.13636363636368</v>
      </c>
      <c r="J154" s="467">
        <f t="shared" si="66"/>
        <v>426.13636363636368</v>
      </c>
      <c r="K154" s="467">
        <f t="shared" si="66"/>
        <v>426.13636363636368</v>
      </c>
      <c r="L154" s="467">
        <f t="shared" si="66"/>
        <v>426.13636363636368</v>
      </c>
      <c r="M154" s="467">
        <f t="shared" si="66"/>
        <v>426.13636363636368</v>
      </c>
    </row>
    <row r="155" spans="1:13" ht="19" thickBot="1" x14ac:dyDescent="0.25">
      <c r="B155" s="493" t="s">
        <v>450</v>
      </c>
      <c r="C155" s="518">
        <f>6000*2.5/88</f>
        <v>170.45454545454547</v>
      </c>
      <c r="D155" s="468">
        <f t="shared" ref="D155:M162" si="67">$C155*D$153</f>
        <v>1704.5454545454547</v>
      </c>
      <c r="E155" s="468">
        <f t="shared" si="67"/>
        <v>1704.5454545454547</v>
      </c>
      <c r="F155" s="468">
        <f t="shared" si="67"/>
        <v>1704.5454545454547</v>
      </c>
      <c r="G155" s="468">
        <f t="shared" si="67"/>
        <v>1704.5454545454547</v>
      </c>
      <c r="H155" s="468">
        <f t="shared" si="67"/>
        <v>1704.5454545454547</v>
      </c>
      <c r="I155" s="468">
        <f t="shared" si="67"/>
        <v>1704.5454545454547</v>
      </c>
      <c r="J155" s="468">
        <f t="shared" si="67"/>
        <v>1704.5454545454547</v>
      </c>
      <c r="K155" s="468">
        <f t="shared" si="67"/>
        <v>1704.5454545454547</v>
      </c>
      <c r="L155" s="468">
        <f t="shared" si="67"/>
        <v>1704.5454545454547</v>
      </c>
      <c r="M155" s="468">
        <f t="shared" si="67"/>
        <v>1704.5454545454547</v>
      </c>
    </row>
    <row r="156" spans="1:13" ht="19" thickBot="1" x14ac:dyDescent="0.25">
      <c r="B156" s="493" t="s">
        <v>451</v>
      </c>
      <c r="C156" s="518">
        <f>15000*2.5/88</f>
        <v>426.13636363636363</v>
      </c>
      <c r="D156" s="468">
        <f t="shared" si="67"/>
        <v>4261.363636363636</v>
      </c>
      <c r="E156" s="468">
        <f t="shared" si="67"/>
        <v>4261.363636363636</v>
      </c>
      <c r="F156" s="468">
        <f t="shared" si="67"/>
        <v>4261.363636363636</v>
      </c>
      <c r="G156" s="468">
        <f t="shared" si="67"/>
        <v>4261.363636363636</v>
      </c>
      <c r="H156" s="468">
        <f t="shared" si="67"/>
        <v>4261.363636363636</v>
      </c>
      <c r="I156" s="468">
        <f t="shared" si="67"/>
        <v>4261.363636363636</v>
      </c>
      <c r="J156" s="468">
        <f t="shared" si="67"/>
        <v>4261.363636363636</v>
      </c>
      <c r="K156" s="468">
        <f t="shared" si="67"/>
        <v>4261.363636363636</v>
      </c>
      <c r="L156" s="468">
        <f t="shared" si="67"/>
        <v>4261.363636363636</v>
      </c>
      <c r="M156" s="468">
        <f t="shared" si="67"/>
        <v>4261.363636363636</v>
      </c>
    </row>
    <row r="157" spans="1:13" ht="19" thickBot="1" x14ac:dyDescent="0.25">
      <c r="B157" s="493" t="s">
        <v>452</v>
      </c>
      <c r="C157" s="518">
        <f>18750*2.5/88</f>
        <v>532.6704545454545</v>
      </c>
      <c r="D157" s="468">
        <f t="shared" si="67"/>
        <v>5326.704545454545</v>
      </c>
      <c r="E157" s="468">
        <f t="shared" si="67"/>
        <v>5326.704545454545</v>
      </c>
      <c r="F157" s="468">
        <f t="shared" si="67"/>
        <v>5326.704545454545</v>
      </c>
      <c r="G157" s="468">
        <f t="shared" si="67"/>
        <v>5326.704545454545</v>
      </c>
      <c r="H157" s="468">
        <f t="shared" si="67"/>
        <v>5326.704545454545</v>
      </c>
      <c r="I157" s="468">
        <f t="shared" si="67"/>
        <v>5326.704545454545</v>
      </c>
      <c r="J157" s="468">
        <f t="shared" si="67"/>
        <v>5326.704545454545</v>
      </c>
      <c r="K157" s="468">
        <f t="shared" si="67"/>
        <v>5326.704545454545</v>
      </c>
      <c r="L157" s="468">
        <f t="shared" si="67"/>
        <v>5326.704545454545</v>
      </c>
      <c r="M157" s="468">
        <f t="shared" si="67"/>
        <v>5326.704545454545</v>
      </c>
    </row>
    <row r="158" spans="1:13" ht="19" thickBot="1" x14ac:dyDescent="0.25">
      <c r="B158" s="493" t="s">
        <v>465</v>
      </c>
      <c r="C158" s="518">
        <f>45000*2.5/88</f>
        <v>1278.409090909091</v>
      </c>
      <c r="D158" s="468">
        <f t="shared" si="67"/>
        <v>12784.09090909091</v>
      </c>
      <c r="E158" s="468">
        <f t="shared" si="67"/>
        <v>12784.09090909091</v>
      </c>
      <c r="F158" s="468">
        <f t="shared" si="67"/>
        <v>12784.09090909091</v>
      </c>
      <c r="G158" s="468">
        <f t="shared" si="67"/>
        <v>12784.09090909091</v>
      </c>
      <c r="H158" s="468">
        <f t="shared" si="67"/>
        <v>12784.09090909091</v>
      </c>
      <c r="I158" s="468">
        <f t="shared" si="67"/>
        <v>12784.09090909091</v>
      </c>
      <c r="J158" s="468">
        <f t="shared" si="67"/>
        <v>12784.09090909091</v>
      </c>
      <c r="K158" s="468">
        <f t="shared" si="67"/>
        <v>12784.09090909091</v>
      </c>
      <c r="L158" s="468">
        <f t="shared" si="67"/>
        <v>12784.09090909091</v>
      </c>
      <c r="M158" s="468">
        <f t="shared" si="67"/>
        <v>12784.09090909091</v>
      </c>
    </row>
    <row r="159" spans="1:13" ht="19" thickBot="1" x14ac:dyDescent="0.25">
      <c r="B159" s="493" t="s">
        <v>453</v>
      </c>
      <c r="C159" s="518">
        <f>40000*2.5/88</f>
        <v>1136.3636363636363</v>
      </c>
      <c r="D159" s="468">
        <f t="shared" si="67"/>
        <v>11363.636363636362</v>
      </c>
      <c r="E159" s="468">
        <f t="shared" si="67"/>
        <v>11363.636363636362</v>
      </c>
      <c r="F159" s="468">
        <f t="shared" si="67"/>
        <v>11363.636363636362</v>
      </c>
      <c r="G159" s="468">
        <f t="shared" si="67"/>
        <v>11363.636363636362</v>
      </c>
      <c r="H159" s="468">
        <f t="shared" si="67"/>
        <v>11363.636363636362</v>
      </c>
      <c r="I159" s="468">
        <f t="shared" si="67"/>
        <v>11363.636363636362</v>
      </c>
      <c r="J159" s="468">
        <f t="shared" si="67"/>
        <v>11363.636363636362</v>
      </c>
      <c r="K159" s="468">
        <f t="shared" si="67"/>
        <v>11363.636363636362</v>
      </c>
      <c r="L159" s="468">
        <f t="shared" si="67"/>
        <v>11363.636363636362</v>
      </c>
      <c r="M159" s="468">
        <f t="shared" si="67"/>
        <v>11363.636363636362</v>
      </c>
    </row>
    <row r="160" spans="1:13" ht="19" thickBot="1" x14ac:dyDescent="0.25">
      <c r="B160" s="493" t="s">
        <v>454</v>
      </c>
      <c r="C160" s="518">
        <f>17500*2.5/88</f>
        <v>497.15909090909093</v>
      </c>
      <c r="D160" s="468">
        <f t="shared" si="67"/>
        <v>4971.590909090909</v>
      </c>
      <c r="E160" s="468">
        <f t="shared" si="67"/>
        <v>4971.590909090909</v>
      </c>
      <c r="F160" s="468">
        <f t="shared" si="67"/>
        <v>4971.590909090909</v>
      </c>
      <c r="G160" s="468">
        <f t="shared" si="67"/>
        <v>4971.590909090909</v>
      </c>
      <c r="H160" s="468">
        <f t="shared" si="67"/>
        <v>4971.590909090909</v>
      </c>
      <c r="I160" s="468">
        <f t="shared" si="67"/>
        <v>4971.590909090909</v>
      </c>
      <c r="J160" s="468">
        <f t="shared" si="67"/>
        <v>4971.590909090909</v>
      </c>
      <c r="K160" s="468">
        <f t="shared" si="67"/>
        <v>4971.590909090909</v>
      </c>
      <c r="L160" s="468">
        <f t="shared" si="67"/>
        <v>4971.590909090909</v>
      </c>
      <c r="M160" s="468">
        <f t="shared" si="67"/>
        <v>4971.590909090909</v>
      </c>
    </row>
    <row r="161" spans="1:13" ht="19" thickBot="1" x14ac:dyDescent="0.25">
      <c r="B161" s="493" t="s">
        <v>455</v>
      </c>
      <c r="C161" s="518">
        <f>C89*2</f>
        <v>116.21900826446283</v>
      </c>
      <c r="D161" s="468">
        <f t="shared" si="67"/>
        <v>1162.1900826446283</v>
      </c>
      <c r="E161" s="468">
        <f t="shared" si="67"/>
        <v>1162.1900826446283</v>
      </c>
      <c r="F161" s="468">
        <f t="shared" si="67"/>
        <v>1162.1900826446283</v>
      </c>
      <c r="G161" s="468">
        <f t="shared" si="67"/>
        <v>1162.1900826446283</v>
      </c>
      <c r="H161" s="468">
        <f t="shared" si="67"/>
        <v>1162.1900826446283</v>
      </c>
      <c r="I161" s="468">
        <f t="shared" si="67"/>
        <v>1162.1900826446283</v>
      </c>
      <c r="J161" s="468">
        <f t="shared" si="67"/>
        <v>1162.1900826446283</v>
      </c>
      <c r="K161" s="468">
        <f t="shared" si="67"/>
        <v>1162.1900826446283</v>
      </c>
      <c r="L161" s="468">
        <f t="shared" si="67"/>
        <v>1162.1900826446283</v>
      </c>
      <c r="M161" s="468">
        <f t="shared" si="67"/>
        <v>1162.1900826446283</v>
      </c>
    </row>
    <row r="162" spans="1:13" ht="19" thickBot="1" x14ac:dyDescent="0.25">
      <c r="B162" s="493" t="s">
        <v>456</v>
      </c>
      <c r="C162" s="518">
        <f>SUM(C144)</f>
        <v>525.56818181818187</v>
      </c>
      <c r="D162" s="468">
        <f t="shared" si="67"/>
        <v>5255.6818181818189</v>
      </c>
      <c r="E162" s="468">
        <f t="shared" si="67"/>
        <v>5255.6818181818189</v>
      </c>
      <c r="F162" s="468">
        <f t="shared" si="67"/>
        <v>5255.6818181818189</v>
      </c>
      <c r="G162" s="468">
        <f t="shared" si="67"/>
        <v>5255.6818181818189</v>
      </c>
      <c r="H162" s="468">
        <f t="shared" si="67"/>
        <v>5255.6818181818189</v>
      </c>
      <c r="I162" s="468">
        <f t="shared" si="67"/>
        <v>5255.6818181818189</v>
      </c>
      <c r="J162" s="468">
        <f t="shared" si="67"/>
        <v>5255.6818181818189</v>
      </c>
      <c r="K162" s="468">
        <f t="shared" si="67"/>
        <v>5255.6818181818189</v>
      </c>
      <c r="L162" s="468">
        <f t="shared" si="67"/>
        <v>5255.6818181818189</v>
      </c>
      <c r="M162" s="468">
        <f t="shared" si="67"/>
        <v>5255.6818181818189</v>
      </c>
    </row>
    <row r="163" spans="1:13" ht="19" thickBot="1" x14ac:dyDescent="0.25">
      <c r="B163" s="494" t="s">
        <v>457</v>
      </c>
      <c r="C163" s="519">
        <f>SUM(C154:C162)</f>
        <v>4725.5940082644629</v>
      </c>
      <c r="D163" s="498">
        <f t="shared" ref="D163:M163" si="68">SUM(D154:D162)</f>
        <v>47255.940082644629</v>
      </c>
      <c r="E163" s="498">
        <f t="shared" si="68"/>
        <v>47255.940082644629</v>
      </c>
      <c r="F163" s="498">
        <f t="shared" si="68"/>
        <v>47255.940082644629</v>
      </c>
      <c r="G163" s="498">
        <f t="shared" si="68"/>
        <v>47255.940082644629</v>
      </c>
      <c r="H163" s="498">
        <f t="shared" si="68"/>
        <v>47255.940082644629</v>
      </c>
      <c r="I163" s="498">
        <f t="shared" si="68"/>
        <v>47255.940082644629</v>
      </c>
      <c r="J163" s="498">
        <f t="shared" si="68"/>
        <v>47255.940082644629</v>
      </c>
      <c r="K163" s="498">
        <f t="shared" si="68"/>
        <v>47255.940082644629</v>
      </c>
      <c r="L163" s="498">
        <f t="shared" si="68"/>
        <v>47255.940082644629</v>
      </c>
      <c r="M163" s="498">
        <f t="shared" si="68"/>
        <v>47255.940082644629</v>
      </c>
    </row>
    <row r="164" spans="1:13" ht="19" thickBot="1" x14ac:dyDescent="0.25">
      <c r="B164" s="494" t="s">
        <v>458</v>
      </c>
      <c r="C164" s="519"/>
      <c r="D164" s="498">
        <f>25000</f>
        <v>25000</v>
      </c>
      <c r="E164" s="498">
        <f>+D164*1.05</f>
        <v>26250</v>
      </c>
      <c r="F164" s="498">
        <f>+E164*1.05</f>
        <v>27562.5</v>
      </c>
      <c r="G164" s="498">
        <f>+F164*1.05</f>
        <v>28940.625</v>
      </c>
      <c r="H164" s="498">
        <f>+G164*1.05</f>
        <v>30387.65625</v>
      </c>
      <c r="I164" s="498">
        <f>+H164*1.05</f>
        <v>31907.0390625</v>
      </c>
      <c r="J164" s="498">
        <f>I164</f>
        <v>31907.0390625</v>
      </c>
      <c r="K164" s="498">
        <f>J164</f>
        <v>31907.0390625</v>
      </c>
      <c r="L164" s="498">
        <f t="shared" ref="L164:M164" si="69">K164</f>
        <v>31907.0390625</v>
      </c>
      <c r="M164" s="498">
        <f t="shared" si="69"/>
        <v>31907.0390625</v>
      </c>
    </row>
    <row r="165" spans="1:13" ht="19" thickBot="1" x14ac:dyDescent="0.25">
      <c r="B165" s="494" t="s">
        <v>469</v>
      </c>
      <c r="C165" s="519"/>
      <c r="D165" s="499">
        <v>0.25</v>
      </c>
      <c r="E165" s="499">
        <f>D165</f>
        <v>0.25</v>
      </c>
      <c r="F165" s="499">
        <f t="shared" ref="F165:M165" si="70">E165</f>
        <v>0.25</v>
      </c>
      <c r="G165" s="499">
        <f t="shared" si="70"/>
        <v>0.25</v>
      </c>
      <c r="H165" s="499">
        <f t="shared" si="70"/>
        <v>0.25</v>
      </c>
      <c r="I165" s="499">
        <f t="shared" si="70"/>
        <v>0.25</v>
      </c>
      <c r="J165" s="499">
        <f t="shared" si="70"/>
        <v>0.25</v>
      </c>
      <c r="K165" s="499">
        <f t="shared" si="70"/>
        <v>0.25</v>
      </c>
      <c r="L165" s="499">
        <f t="shared" si="70"/>
        <v>0.25</v>
      </c>
      <c r="M165" s="499">
        <f t="shared" si="70"/>
        <v>0.25</v>
      </c>
    </row>
    <row r="166" spans="1:13" ht="19" thickBot="1" x14ac:dyDescent="0.25">
      <c r="B166" s="494" t="s">
        <v>459</v>
      </c>
      <c r="C166" s="519"/>
      <c r="D166" s="498">
        <f>D164*D165*D153</f>
        <v>62500</v>
      </c>
      <c r="E166" s="498">
        <f t="shared" ref="E166:M166" si="71">E164*E165*E153</f>
        <v>65625</v>
      </c>
      <c r="F166" s="498">
        <f t="shared" si="71"/>
        <v>68906.25</v>
      </c>
      <c r="G166" s="498">
        <f t="shared" si="71"/>
        <v>72351.5625</v>
      </c>
      <c r="H166" s="498">
        <f t="shared" si="71"/>
        <v>75969.140625</v>
      </c>
      <c r="I166" s="498">
        <f t="shared" si="71"/>
        <v>79767.59765625</v>
      </c>
      <c r="J166" s="498">
        <f t="shared" si="71"/>
        <v>79767.59765625</v>
      </c>
      <c r="K166" s="498">
        <f t="shared" si="71"/>
        <v>79767.59765625</v>
      </c>
      <c r="L166" s="498">
        <f t="shared" si="71"/>
        <v>79767.59765625</v>
      </c>
      <c r="M166" s="498">
        <f t="shared" si="71"/>
        <v>79767.59765625</v>
      </c>
    </row>
    <row r="167" spans="1:13" ht="19" thickBot="1" x14ac:dyDescent="0.25">
      <c r="B167" s="495"/>
      <c r="C167" s="519"/>
      <c r="D167" s="498"/>
      <c r="E167" s="498"/>
      <c r="F167" s="498"/>
      <c r="G167" s="498"/>
      <c r="H167" s="498"/>
      <c r="I167" s="498"/>
      <c r="J167" s="498"/>
      <c r="K167" s="498"/>
      <c r="L167" s="498"/>
      <c r="M167" s="498"/>
    </row>
    <row r="168" spans="1:13" ht="19" thickBot="1" x14ac:dyDescent="0.25">
      <c r="B168" s="496" t="s">
        <v>460</v>
      </c>
      <c r="C168" s="519"/>
      <c r="D168" s="498">
        <f>D166-D163</f>
        <v>15244.059917355371</v>
      </c>
      <c r="E168" s="498">
        <f t="shared" ref="E168:M168" si="72">E166-E163</f>
        <v>18369.059917355371</v>
      </c>
      <c r="F168" s="498">
        <f t="shared" si="72"/>
        <v>21650.309917355371</v>
      </c>
      <c r="G168" s="498">
        <f t="shared" si="72"/>
        <v>25095.622417355371</v>
      </c>
      <c r="H168" s="498">
        <f t="shared" si="72"/>
        <v>28713.200542355371</v>
      </c>
      <c r="I168" s="498">
        <f t="shared" si="72"/>
        <v>32511.657573605371</v>
      </c>
      <c r="J168" s="498">
        <f t="shared" si="72"/>
        <v>32511.657573605371</v>
      </c>
      <c r="K168" s="498">
        <f t="shared" si="72"/>
        <v>32511.657573605371</v>
      </c>
      <c r="L168" s="498">
        <f t="shared" si="72"/>
        <v>32511.657573605371</v>
      </c>
      <c r="M168" s="498">
        <f t="shared" si="72"/>
        <v>32511.657573605371</v>
      </c>
    </row>
    <row r="169" spans="1:13" ht="19" thickBot="1" x14ac:dyDescent="0.25">
      <c r="B169" s="464"/>
      <c r="C169" s="510"/>
      <c r="D169" s="469"/>
      <c r="E169" s="469"/>
      <c r="F169" s="469"/>
      <c r="G169" s="469"/>
      <c r="H169" s="469"/>
      <c r="I169" s="469"/>
      <c r="J169" s="469"/>
      <c r="K169" s="469"/>
      <c r="L169" s="469"/>
      <c r="M169" s="469"/>
    </row>
    <row r="170" spans="1:13" ht="19" thickBot="1" x14ac:dyDescent="0.25">
      <c r="A170" s="528">
        <v>10</v>
      </c>
      <c r="B170" s="836" t="s">
        <v>694</v>
      </c>
      <c r="C170" s="837"/>
      <c r="D170" s="837"/>
      <c r="E170" s="837"/>
      <c r="F170" s="837"/>
      <c r="G170" s="837"/>
      <c r="H170" s="837"/>
      <c r="I170" s="837"/>
      <c r="J170" s="837"/>
      <c r="K170" s="837"/>
      <c r="L170" s="837"/>
      <c r="M170" s="838"/>
    </row>
    <row r="171" spans="1:13" s="525" customFormat="1" ht="19" thickBot="1" x14ac:dyDescent="0.25">
      <c r="A171" s="528"/>
      <c r="B171" s="489" t="s">
        <v>434</v>
      </c>
      <c r="C171" s="516" t="s">
        <v>466</v>
      </c>
      <c r="D171" s="505">
        <v>10</v>
      </c>
      <c r="E171" s="505">
        <f>D171</f>
        <v>10</v>
      </c>
      <c r="F171" s="505">
        <f t="shared" ref="F171:M171" si="73">E171</f>
        <v>10</v>
      </c>
      <c r="G171" s="505">
        <f t="shared" si="73"/>
        <v>10</v>
      </c>
      <c r="H171" s="505">
        <f t="shared" si="73"/>
        <v>10</v>
      </c>
      <c r="I171" s="505">
        <f t="shared" si="73"/>
        <v>10</v>
      </c>
      <c r="J171" s="505">
        <f t="shared" si="73"/>
        <v>10</v>
      </c>
      <c r="K171" s="505">
        <f t="shared" si="73"/>
        <v>10</v>
      </c>
      <c r="L171" s="505">
        <f t="shared" si="73"/>
        <v>10</v>
      </c>
      <c r="M171" s="505">
        <f t="shared" si="73"/>
        <v>10</v>
      </c>
    </row>
    <row r="172" spans="1:13" ht="19" thickBot="1" x14ac:dyDescent="0.25">
      <c r="B172" s="497" t="s">
        <v>449</v>
      </c>
      <c r="C172" s="515">
        <f>1500*2.5/88</f>
        <v>42.613636363636367</v>
      </c>
      <c r="D172" s="463">
        <f>$C172*D$171</f>
        <v>426.13636363636368</v>
      </c>
      <c r="E172" s="463">
        <f t="shared" ref="E172:M172" si="74">$C172*E$171</f>
        <v>426.13636363636368</v>
      </c>
      <c r="F172" s="463">
        <f t="shared" si="74"/>
        <v>426.13636363636368</v>
      </c>
      <c r="G172" s="463">
        <f t="shared" si="74"/>
        <v>426.13636363636368</v>
      </c>
      <c r="H172" s="463">
        <f t="shared" si="74"/>
        <v>426.13636363636368</v>
      </c>
      <c r="I172" s="463">
        <f t="shared" si="74"/>
        <v>426.13636363636368</v>
      </c>
      <c r="J172" s="463">
        <f t="shared" si="74"/>
        <v>426.13636363636368</v>
      </c>
      <c r="K172" s="463">
        <f t="shared" si="74"/>
        <v>426.13636363636368</v>
      </c>
      <c r="L172" s="463">
        <f t="shared" si="74"/>
        <v>426.13636363636368</v>
      </c>
      <c r="M172" s="463">
        <f t="shared" si="74"/>
        <v>426.13636363636368</v>
      </c>
    </row>
    <row r="173" spans="1:13" ht="19" thickBot="1" x14ac:dyDescent="0.25">
      <c r="B173" s="493" t="s">
        <v>450</v>
      </c>
      <c r="C173" s="515">
        <f>30000*2.5/88</f>
        <v>852.27272727272725</v>
      </c>
      <c r="D173" s="463">
        <f t="shared" ref="D173:M181" si="75">$C173*D$171</f>
        <v>8522.7272727272721</v>
      </c>
      <c r="E173" s="463">
        <f t="shared" si="75"/>
        <v>8522.7272727272721</v>
      </c>
      <c r="F173" s="463">
        <f t="shared" si="75"/>
        <v>8522.7272727272721</v>
      </c>
      <c r="G173" s="463">
        <f t="shared" si="75"/>
        <v>8522.7272727272721</v>
      </c>
      <c r="H173" s="463">
        <f t="shared" si="75"/>
        <v>8522.7272727272721</v>
      </c>
      <c r="I173" s="463">
        <f t="shared" si="75"/>
        <v>8522.7272727272721</v>
      </c>
      <c r="J173" s="463">
        <f t="shared" si="75"/>
        <v>8522.7272727272721</v>
      </c>
      <c r="K173" s="463">
        <f t="shared" si="75"/>
        <v>8522.7272727272721</v>
      </c>
      <c r="L173" s="463">
        <f t="shared" si="75"/>
        <v>8522.7272727272721</v>
      </c>
      <c r="M173" s="463">
        <f t="shared" si="75"/>
        <v>8522.7272727272721</v>
      </c>
    </row>
    <row r="174" spans="1:13" ht="19" thickBot="1" x14ac:dyDescent="0.25">
      <c r="B174" s="493" t="s">
        <v>451</v>
      </c>
      <c r="C174" s="515">
        <f>1250*2.5/88</f>
        <v>35.511363636363633</v>
      </c>
      <c r="D174" s="463">
        <f t="shared" si="75"/>
        <v>355.11363636363632</v>
      </c>
      <c r="E174" s="463">
        <f t="shared" si="75"/>
        <v>355.11363636363632</v>
      </c>
      <c r="F174" s="463">
        <f t="shared" si="75"/>
        <v>355.11363636363632</v>
      </c>
      <c r="G174" s="463">
        <f t="shared" si="75"/>
        <v>355.11363636363632</v>
      </c>
      <c r="H174" s="463">
        <f t="shared" si="75"/>
        <v>355.11363636363632</v>
      </c>
      <c r="I174" s="463">
        <f t="shared" si="75"/>
        <v>355.11363636363632</v>
      </c>
      <c r="J174" s="463">
        <f t="shared" si="75"/>
        <v>355.11363636363632</v>
      </c>
      <c r="K174" s="463">
        <f t="shared" si="75"/>
        <v>355.11363636363632</v>
      </c>
      <c r="L174" s="463">
        <f t="shared" si="75"/>
        <v>355.11363636363632</v>
      </c>
      <c r="M174" s="463">
        <f t="shared" si="75"/>
        <v>355.11363636363632</v>
      </c>
    </row>
    <row r="175" spans="1:13" ht="19" thickBot="1" x14ac:dyDescent="0.25">
      <c r="B175" s="493" t="s">
        <v>452</v>
      </c>
      <c r="C175" s="515">
        <f>15*0.7</f>
        <v>10.5</v>
      </c>
      <c r="D175" s="463">
        <f t="shared" si="75"/>
        <v>105</v>
      </c>
      <c r="E175" s="463">
        <f t="shared" si="75"/>
        <v>105</v>
      </c>
      <c r="F175" s="463">
        <f t="shared" si="75"/>
        <v>105</v>
      </c>
      <c r="G175" s="463">
        <f t="shared" si="75"/>
        <v>105</v>
      </c>
      <c r="H175" s="463">
        <f t="shared" si="75"/>
        <v>105</v>
      </c>
      <c r="I175" s="463">
        <f t="shared" si="75"/>
        <v>105</v>
      </c>
      <c r="J175" s="463">
        <f t="shared" si="75"/>
        <v>105</v>
      </c>
      <c r="K175" s="463">
        <f t="shared" si="75"/>
        <v>105</v>
      </c>
      <c r="L175" s="463">
        <f t="shared" si="75"/>
        <v>105</v>
      </c>
      <c r="M175" s="463">
        <f t="shared" si="75"/>
        <v>105</v>
      </c>
    </row>
    <row r="176" spans="1:13" ht="19" thickBot="1" x14ac:dyDescent="0.25">
      <c r="B176" s="493" t="s">
        <v>465</v>
      </c>
      <c r="C176" s="515">
        <f>8000*2.5/88</f>
        <v>227.27272727272728</v>
      </c>
      <c r="D176" s="463">
        <f t="shared" si="75"/>
        <v>2272.727272727273</v>
      </c>
      <c r="E176" s="463">
        <f t="shared" si="75"/>
        <v>2272.727272727273</v>
      </c>
      <c r="F176" s="463">
        <f t="shared" si="75"/>
        <v>2272.727272727273</v>
      </c>
      <c r="G176" s="463">
        <f t="shared" si="75"/>
        <v>2272.727272727273</v>
      </c>
      <c r="H176" s="463">
        <f t="shared" si="75"/>
        <v>2272.727272727273</v>
      </c>
      <c r="I176" s="463">
        <f t="shared" si="75"/>
        <v>2272.727272727273</v>
      </c>
      <c r="J176" s="463">
        <f t="shared" si="75"/>
        <v>2272.727272727273</v>
      </c>
      <c r="K176" s="463">
        <f t="shared" si="75"/>
        <v>2272.727272727273</v>
      </c>
      <c r="L176" s="463">
        <f t="shared" si="75"/>
        <v>2272.727272727273</v>
      </c>
      <c r="M176" s="463">
        <f t="shared" si="75"/>
        <v>2272.727272727273</v>
      </c>
    </row>
    <row r="177" spans="1:13" ht="19" thickBot="1" x14ac:dyDescent="0.25">
      <c r="B177" s="493" t="s">
        <v>453</v>
      </c>
      <c r="C177" s="515">
        <v>0</v>
      </c>
      <c r="D177" s="463">
        <f t="shared" si="75"/>
        <v>0</v>
      </c>
      <c r="E177" s="463">
        <f t="shared" si="75"/>
        <v>0</v>
      </c>
      <c r="F177" s="463">
        <f t="shared" si="75"/>
        <v>0</v>
      </c>
      <c r="G177" s="463">
        <f t="shared" si="75"/>
        <v>0</v>
      </c>
      <c r="H177" s="463">
        <f t="shared" si="75"/>
        <v>0</v>
      </c>
      <c r="I177" s="463">
        <f t="shared" si="75"/>
        <v>0</v>
      </c>
      <c r="J177" s="463">
        <f t="shared" si="75"/>
        <v>0</v>
      </c>
      <c r="K177" s="463">
        <f t="shared" si="75"/>
        <v>0</v>
      </c>
      <c r="L177" s="463">
        <f t="shared" si="75"/>
        <v>0</v>
      </c>
      <c r="M177" s="463">
        <f t="shared" si="75"/>
        <v>0</v>
      </c>
    </row>
    <row r="178" spans="1:13" ht="19" thickBot="1" x14ac:dyDescent="0.25">
      <c r="B178" s="493" t="s">
        <v>454</v>
      </c>
      <c r="C178" s="515">
        <f>12500/88</f>
        <v>142.04545454545453</v>
      </c>
      <c r="D178" s="463">
        <f t="shared" si="75"/>
        <v>1420.4545454545453</v>
      </c>
      <c r="E178" s="463">
        <f t="shared" si="75"/>
        <v>1420.4545454545453</v>
      </c>
      <c r="F178" s="463">
        <f t="shared" si="75"/>
        <v>1420.4545454545453</v>
      </c>
      <c r="G178" s="463">
        <f t="shared" si="75"/>
        <v>1420.4545454545453</v>
      </c>
      <c r="H178" s="463">
        <f t="shared" si="75"/>
        <v>1420.4545454545453</v>
      </c>
      <c r="I178" s="463">
        <f t="shared" si="75"/>
        <v>1420.4545454545453</v>
      </c>
      <c r="J178" s="463">
        <f t="shared" si="75"/>
        <v>1420.4545454545453</v>
      </c>
      <c r="K178" s="463">
        <f t="shared" si="75"/>
        <v>1420.4545454545453</v>
      </c>
      <c r="L178" s="463">
        <f t="shared" si="75"/>
        <v>1420.4545454545453</v>
      </c>
      <c r="M178" s="463">
        <f t="shared" si="75"/>
        <v>1420.4545454545453</v>
      </c>
    </row>
    <row r="179" spans="1:13" ht="19" thickBot="1" x14ac:dyDescent="0.25">
      <c r="B179" s="493" t="s">
        <v>455</v>
      </c>
      <c r="C179" s="515">
        <f>C161</f>
        <v>116.21900826446283</v>
      </c>
      <c r="D179" s="463">
        <f t="shared" si="75"/>
        <v>1162.1900826446283</v>
      </c>
      <c r="E179" s="463">
        <f t="shared" si="75"/>
        <v>1162.1900826446283</v>
      </c>
      <c r="F179" s="463">
        <f t="shared" si="75"/>
        <v>1162.1900826446283</v>
      </c>
      <c r="G179" s="463">
        <f t="shared" si="75"/>
        <v>1162.1900826446283</v>
      </c>
      <c r="H179" s="463">
        <f t="shared" si="75"/>
        <v>1162.1900826446283</v>
      </c>
      <c r="I179" s="463">
        <f t="shared" si="75"/>
        <v>1162.1900826446283</v>
      </c>
      <c r="J179" s="463">
        <f t="shared" si="75"/>
        <v>1162.1900826446283</v>
      </c>
      <c r="K179" s="463">
        <f t="shared" si="75"/>
        <v>1162.1900826446283</v>
      </c>
      <c r="L179" s="463">
        <f t="shared" si="75"/>
        <v>1162.1900826446283</v>
      </c>
      <c r="M179" s="463">
        <f t="shared" si="75"/>
        <v>1162.1900826446283</v>
      </c>
    </row>
    <row r="180" spans="1:13" ht="19" thickBot="1" x14ac:dyDescent="0.25">
      <c r="B180" s="493" t="s">
        <v>456</v>
      </c>
      <c r="C180" s="515">
        <f>6250*2.5/88</f>
        <v>177.55681818181819</v>
      </c>
      <c r="D180" s="463">
        <f t="shared" si="75"/>
        <v>1775.568181818182</v>
      </c>
      <c r="E180" s="463">
        <f t="shared" si="75"/>
        <v>1775.568181818182</v>
      </c>
      <c r="F180" s="463">
        <f t="shared" si="75"/>
        <v>1775.568181818182</v>
      </c>
      <c r="G180" s="463">
        <f t="shared" si="75"/>
        <v>1775.568181818182</v>
      </c>
      <c r="H180" s="463">
        <f t="shared" si="75"/>
        <v>1775.568181818182</v>
      </c>
      <c r="I180" s="463">
        <f t="shared" si="75"/>
        <v>1775.568181818182</v>
      </c>
      <c r="J180" s="463">
        <f t="shared" si="75"/>
        <v>1775.568181818182</v>
      </c>
      <c r="K180" s="463">
        <f t="shared" si="75"/>
        <v>1775.568181818182</v>
      </c>
      <c r="L180" s="463">
        <f t="shared" si="75"/>
        <v>1775.568181818182</v>
      </c>
      <c r="M180" s="463">
        <f t="shared" si="75"/>
        <v>1775.568181818182</v>
      </c>
    </row>
    <row r="181" spans="1:13" ht="19" thickBot="1" x14ac:dyDescent="0.25">
      <c r="B181" s="494" t="s">
        <v>457</v>
      </c>
      <c r="C181" s="516">
        <f>SUM(C172:C180)</f>
        <v>1603.9917355371902</v>
      </c>
      <c r="D181" s="501">
        <f t="shared" si="75"/>
        <v>16039.917355371901</v>
      </c>
      <c r="E181" s="501">
        <f t="shared" si="75"/>
        <v>16039.917355371901</v>
      </c>
      <c r="F181" s="501">
        <f t="shared" si="75"/>
        <v>16039.917355371901</v>
      </c>
      <c r="G181" s="501">
        <f t="shared" si="75"/>
        <v>16039.917355371901</v>
      </c>
      <c r="H181" s="501">
        <f t="shared" si="75"/>
        <v>16039.917355371901</v>
      </c>
      <c r="I181" s="501">
        <f t="shared" si="75"/>
        <v>16039.917355371901</v>
      </c>
      <c r="J181" s="501">
        <f t="shared" si="75"/>
        <v>16039.917355371901</v>
      </c>
      <c r="K181" s="501">
        <f t="shared" si="75"/>
        <v>16039.917355371901</v>
      </c>
      <c r="L181" s="501">
        <f t="shared" si="75"/>
        <v>16039.917355371901</v>
      </c>
      <c r="M181" s="501">
        <f t="shared" si="75"/>
        <v>16039.917355371901</v>
      </c>
    </row>
    <row r="182" spans="1:13" s="448" customFormat="1" ht="19" thickBot="1" x14ac:dyDescent="0.25">
      <c r="A182" s="529"/>
      <c r="B182" s="494" t="s">
        <v>458</v>
      </c>
      <c r="C182" s="516"/>
      <c r="D182" s="472">
        <f>8000*2.5</f>
        <v>20000</v>
      </c>
      <c r="E182" s="472">
        <f>D182*1.05</f>
        <v>21000</v>
      </c>
      <c r="F182" s="472">
        <f>E182*1.05</f>
        <v>22050</v>
      </c>
      <c r="G182" s="472">
        <f>F182*1.05</f>
        <v>23152.5</v>
      </c>
      <c r="H182" s="472">
        <f>G182*1.05</f>
        <v>24310.125</v>
      </c>
      <c r="I182" s="472">
        <f>H182</f>
        <v>24310.125</v>
      </c>
      <c r="J182" s="472">
        <f t="shared" ref="J182:M182" si="76">I182</f>
        <v>24310.125</v>
      </c>
      <c r="K182" s="472">
        <f t="shared" si="76"/>
        <v>24310.125</v>
      </c>
      <c r="L182" s="472">
        <f t="shared" si="76"/>
        <v>24310.125</v>
      </c>
      <c r="M182" s="472">
        <f t="shared" si="76"/>
        <v>24310.125</v>
      </c>
    </row>
    <row r="183" spans="1:13" ht="19" thickBot="1" x14ac:dyDescent="0.25">
      <c r="B183" s="494" t="s">
        <v>469</v>
      </c>
      <c r="C183" s="516"/>
      <c r="D183" s="506">
        <v>0.2</v>
      </c>
      <c r="E183" s="506">
        <f>D183</f>
        <v>0.2</v>
      </c>
      <c r="F183" s="506">
        <f t="shared" ref="F183:M183" si="77">E183</f>
        <v>0.2</v>
      </c>
      <c r="G183" s="506">
        <f t="shared" si="77"/>
        <v>0.2</v>
      </c>
      <c r="H183" s="506">
        <f t="shared" si="77"/>
        <v>0.2</v>
      </c>
      <c r="I183" s="506">
        <f t="shared" si="77"/>
        <v>0.2</v>
      </c>
      <c r="J183" s="506">
        <f t="shared" si="77"/>
        <v>0.2</v>
      </c>
      <c r="K183" s="506">
        <f t="shared" si="77"/>
        <v>0.2</v>
      </c>
      <c r="L183" s="506">
        <f t="shared" si="77"/>
        <v>0.2</v>
      </c>
      <c r="M183" s="506">
        <f t="shared" si="77"/>
        <v>0.2</v>
      </c>
    </row>
    <row r="184" spans="1:13" s="448" customFormat="1" ht="19" thickBot="1" x14ac:dyDescent="0.25">
      <c r="A184" s="529"/>
      <c r="B184" s="494" t="s">
        <v>459</v>
      </c>
      <c r="C184" s="520"/>
      <c r="D184" s="472">
        <f>D183*D182*D171</f>
        <v>40000</v>
      </c>
      <c r="E184" s="472">
        <f t="shared" ref="E184:M184" si="78">E183*E182*E171</f>
        <v>42000</v>
      </c>
      <c r="F184" s="472">
        <f t="shared" si="78"/>
        <v>44100</v>
      </c>
      <c r="G184" s="472">
        <f t="shared" si="78"/>
        <v>46305</v>
      </c>
      <c r="H184" s="472">
        <f t="shared" si="78"/>
        <v>48620.250000000007</v>
      </c>
      <c r="I184" s="472">
        <f t="shared" si="78"/>
        <v>48620.250000000007</v>
      </c>
      <c r="J184" s="472">
        <f t="shared" si="78"/>
        <v>48620.250000000007</v>
      </c>
      <c r="K184" s="472">
        <f t="shared" si="78"/>
        <v>48620.250000000007</v>
      </c>
      <c r="L184" s="472">
        <f t="shared" si="78"/>
        <v>48620.250000000007</v>
      </c>
      <c r="M184" s="472">
        <f t="shared" si="78"/>
        <v>48620.250000000007</v>
      </c>
    </row>
    <row r="185" spans="1:13" s="448" customFormat="1" ht="19" thickBot="1" x14ac:dyDescent="0.25">
      <c r="A185" s="529"/>
      <c r="B185" s="495"/>
      <c r="C185" s="520"/>
      <c r="D185" s="473"/>
      <c r="E185" s="473"/>
      <c r="F185" s="474"/>
      <c r="G185" s="474"/>
      <c r="H185" s="474"/>
      <c r="I185" s="474"/>
      <c r="J185" s="474"/>
      <c r="K185" s="474"/>
      <c r="L185" s="474"/>
      <c r="M185" s="474"/>
    </row>
    <row r="186" spans="1:13" s="448" customFormat="1" ht="19" thickBot="1" x14ac:dyDescent="0.25">
      <c r="A186" s="529"/>
      <c r="B186" s="496" t="s">
        <v>460</v>
      </c>
      <c r="C186" s="520"/>
      <c r="D186" s="472">
        <f>D184-D181</f>
        <v>23960.082644628099</v>
      </c>
      <c r="E186" s="472">
        <f t="shared" ref="E186:M186" si="79">E184-E181</f>
        <v>25960.082644628099</v>
      </c>
      <c r="F186" s="472">
        <f t="shared" si="79"/>
        <v>28060.082644628099</v>
      </c>
      <c r="G186" s="472">
        <f t="shared" si="79"/>
        <v>30265.082644628099</v>
      </c>
      <c r="H186" s="472">
        <f t="shared" si="79"/>
        <v>32580.332644628106</v>
      </c>
      <c r="I186" s="472">
        <f t="shared" si="79"/>
        <v>32580.332644628106</v>
      </c>
      <c r="J186" s="472">
        <f t="shared" si="79"/>
        <v>32580.332644628106</v>
      </c>
      <c r="K186" s="472">
        <f t="shared" si="79"/>
        <v>32580.332644628106</v>
      </c>
      <c r="L186" s="472">
        <f t="shared" si="79"/>
        <v>32580.332644628106</v>
      </c>
      <c r="M186" s="472">
        <f t="shared" si="79"/>
        <v>32580.332644628106</v>
      </c>
    </row>
    <row r="187" spans="1:13" s="448" customFormat="1" ht="19" thickBot="1" x14ac:dyDescent="0.25">
      <c r="A187" s="529"/>
      <c r="B187" s="454"/>
      <c r="C187" s="521"/>
      <c r="D187" s="475"/>
      <c r="E187" s="475"/>
      <c r="F187" s="475"/>
      <c r="G187" s="475"/>
      <c r="H187" s="475"/>
      <c r="I187" s="475"/>
      <c r="J187" s="475"/>
      <c r="K187" s="475"/>
      <c r="L187" s="475"/>
      <c r="M187" s="475"/>
    </row>
    <row r="188" spans="1:13" s="448" customFormat="1" ht="19" thickBot="1" x14ac:dyDescent="0.25">
      <c r="A188" s="529"/>
      <c r="B188" s="842" t="s">
        <v>464</v>
      </c>
      <c r="C188" s="843"/>
      <c r="D188" s="843"/>
      <c r="E188" s="843"/>
      <c r="F188" s="843"/>
      <c r="G188" s="843"/>
      <c r="H188" s="843"/>
      <c r="I188" s="843"/>
      <c r="J188" s="843"/>
      <c r="K188" s="843"/>
      <c r="L188" s="843"/>
      <c r="M188" s="844"/>
    </row>
    <row r="189" spans="1:13" s="448" customFormat="1" ht="19" thickBot="1" x14ac:dyDescent="0.25">
      <c r="A189" s="529">
        <v>11</v>
      </c>
      <c r="B189" s="489" t="s">
        <v>434</v>
      </c>
      <c r="C189" s="522" t="s">
        <v>466</v>
      </c>
      <c r="D189" s="507">
        <v>10</v>
      </c>
      <c r="E189" s="507">
        <f>D189</f>
        <v>10</v>
      </c>
      <c r="F189" s="507">
        <f t="shared" ref="F189:M189" si="80">E189</f>
        <v>10</v>
      </c>
      <c r="G189" s="507">
        <f t="shared" si="80"/>
        <v>10</v>
      </c>
      <c r="H189" s="507">
        <f t="shared" si="80"/>
        <v>10</v>
      </c>
      <c r="I189" s="507">
        <f t="shared" si="80"/>
        <v>10</v>
      </c>
      <c r="J189" s="507">
        <f t="shared" si="80"/>
        <v>10</v>
      </c>
      <c r="K189" s="507">
        <f t="shared" si="80"/>
        <v>10</v>
      </c>
      <c r="L189" s="507">
        <f t="shared" si="80"/>
        <v>10</v>
      </c>
      <c r="M189" s="507">
        <f t="shared" si="80"/>
        <v>10</v>
      </c>
    </row>
    <row r="190" spans="1:13" s="448" customFormat="1" ht="19" thickBot="1" x14ac:dyDescent="0.25">
      <c r="A190" s="529"/>
      <c r="B190" s="497" t="s">
        <v>449</v>
      </c>
      <c r="C190" s="517">
        <f>C172</f>
        <v>42.613636363636367</v>
      </c>
      <c r="D190" s="476">
        <f>$C190*D$189</f>
        <v>426.13636363636368</v>
      </c>
      <c r="E190" s="476">
        <f t="shared" ref="E190:M190" si="81">$C190*E$189</f>
        <v>426.13636363636368</v>
      </c>
      <c r="F190" s="476">
        <f t="shared" si="81"/>
        <v>426.13636363636368</v>
      </c>
      <c r="G190" s="476">
        <f t="shared" si="81"/>
        <v>426.13636363636368</v>
      </c>
      <c r="H190" s="476">
        <f t="shared" si="81"/>
        <v>426.13636363636368</v>
      </c>
      <c r="I190" s="476">
        <f t="shared" si="81"/>
        <v>426.13636363636368</v>
      </c>
      <c r="J190" s="476">
        <f t="shared" si="81"/>
        <v>426.13636363636368</v>
      </c>
      <c r="K190" s="476">
        <f t="shared" si="81"/>
        <v>426.13636363636368</v>
      </c>
      <c r="L190" s="476">
        <f t="shared" si="81"/>
        <v>426.13636363636368</v>
      </c>
      <c r="M190" s="476">
        <f t="shared" si="81"/>
        <v>426.13636363636368</v>
      </c>
    </row>
    <row r="191" spans="1:13" s="448" customFormat="1" ht="19" thickBot="1" x14ac:dyDescent="0.25">
      <c r="A191" s="529"/>
      <c r="B191" s="493" t="s">
        <v>450</v>
      </c>
      <c r="C191" s="517">
        <v>152.1</v>
      </c>
      <c r="D191" s="476">
        <f t="shared" ref="D191:M198" si="82">$C191*D$189</f>
        <v>1521</v>
      </c>
      <c r="E191" s="476">
        <f t="shared" si="82"/>
        <v>1521</v>
      </c>
      <c r="F191" s="476">
        <f t="shared" si="82"/>
        <v>1521</v>
      </c>
      <c r="G191" s="476">
        <f t="shared" si="82"/>
        <v>1521</v>
      </c>
      <c r="H191" s="476">
        <f t="shared" si="82"/>
        <v>1521</v>
      </c>
      <c r="I191" s="476">
        <f t="shared" si="82"/>
        <v>1521</v>
      </c>
      <c r="J191" s="476">
        <f t="shared" si="82"/>
        <v>1521</v>
      </c>
      <c r="K191" s="476">
        <f t="shared" si="82"/>
        <v>1521</v>
      </c>
      <c r="L191" s="476">
        <f t="shared" si="82"/>
        <v>1521</v>
      </c>
      <c r="M191" s="476">
        <f t="shared" si="82"/>
        <v>1521</v>
      </c>
    </row>
    <row r="192" spans="1:13" s="448" customFormat="1" ht="19" thickBot="1" x14ac:dyDescent="0.25">
      <c r="A192" s="529"/>
      <c r="B192" s="493" t="s">
        <v>451</v>
      </c>
      <c r="C192" s="517">
        <v>0</v>
      </c>
      <c r="D192" s="476">
        <f t="shared" si="82"/>
        <v>0</v>
      </c>
      <c r="E192" s="476">
        <f t="shared" si="82"/>
        <v>0</v>
      </c>
      <c r="F192" s="476">
        <f t="shared" si="82"/>
        <v>0</v>
      </c>
      <c r="G192" s="476">
        <f t="shared" si="82"/>
        <v>0</v>
      </c>
      <c r="H192" s="476">
        <f t="shared" si="82"/>
        <v>0</v>
      </c>
      <c r="I192" s="476">
        <f t="shared" si="82"/>
        <v>0</v>
      </c>
      <c r="J192" s="476">
        <f t="shared" si="82"/>
        <v>0</v>
      </c>
      <c r="K192" s="476">
        <f t="shared" si="82"/>
        <v>0</v>
      </c>
      <c r="L192" s="476">
        <f t="shared" si="82"/>
        <v>0</v>
      </c>
      <c r="M192" s="476">
        <f t="shared" si="82"/>
        <v>0</v>
      </c>
    </row>
    <row r="193" spans="1:13" s="448" customFormat="1" ht="19" thickBot="1" x14ac:dyDescent="0.25">
      <c r="A193" s="529"/>
      <c r="B193" s="493" t="s">
        <v>452</v>
      </c>
      <c r="C193" s="517">
        <f>5000/88</f>
        <v>56.81818181818182</v>
      </c>
      <c r="D193" s="476">
        <f t="shared" si="82"/>
        <v>568.18181818181824</v>
      </c>
      <c r="E193" s="476">
        <f t="shared" si="82"/>
        <v>568.18181818181824</v>
      </c>
      <c r="F193" s="476">
        <f t="shared" si="82"/>
        <v>568.18181818181824</v>
      </c>
      <c r="G193" s="476">
        <f t="shared" si="82"/>
        <v>568.18181818181824</v>
      </c>
      <c r="H193" s="476">
        <f t="shared" si="82"/>
        <v>568.18181818181824</v>
      </c>
      <c r="I193" s="476">
        <f t="shared" si="82"/>
        <v>568.18181818181824</v>
      </c>
      <c r="J193" s="476">
        <f t="shared" si="82"/>
        <v>568.18181818181824</v>
      </c>
      <c r="K193" s="476">
        <f t="shared" si="82"/>
        <v>568.18181818181824</v>
      </c>
      <c r="L193" s="476">
        <f t="shared" si="82"/>
        <v>568.18181818181824</v>
      </c>
      <c r="M193" s="476">
        <f t="shared" si="82"/>
        <v>568.18181818181824</v>
      </c>
    </row>
    <row r="194" spans="1:13" s="448" customFormat="1" ht="19" thickBot="1" x14ac:dyDescent="0.25">
      <c r="A194" s="529"/>
      <c r="B194" s="493" t="s">
        <v>465</v>
      </c>
      <c r="C194" s="517">
        <f>12000/88</f>
        <v>136.36363636363637</v>
      </c>
      <c r="D194" s="476">
        <f t="shared" si="82"/>
        <v>1363.6363636363637</v>
      </c>
      <c r="E194" s="476">
        <f t="shared" si="82"/>
        <v>1363.6363636363637</v>
      </c>
      <c r="F194" s="476">
        <f t="shared" si="82"/>
        <v>1363.6363636363637</v>
      </c>
      <c r="G194" s="476">
        <f t="shared" si="82"/>
        <v>1363.6363636363637</v>
      </c>
      <c r="H194" s="476">
        <f t="shared" si="82"/>
        <v>1363.6363636363637</v>
      </c>
      <c r="I194" s="476">
        <f t="shared" si="82"/>
        <v>1363.6363636363637</v>
      </c>
      <c r="J194" s="476">
        <f t="shared" si="82"/>
        <v>1363.6363636363637</v>
      </c>
      <c r="K194" s="476">
        <f t="shared" si="82"/>
        <v>1363.6363636363637</v>
      </c>
      <c r="L194" s="476">
        <f t="shared" si="82"/>
        <v>1363.6363636363637</v>
      </c>
      <c r="M194" s="476">
        <f t="shared" si="82"/>
        <v>1363.6363636363637</v>
      </c>
    </row>
    <row r="195" spans="1:13" s="448" customFormat="1" ht="19" thickBot="1" x14ac:dyDescent="0.25">
      <c r="A195" s="529"/>
      <c r="B195" s="493" t="s">
        <v>453</v>
      </c>
      <c r="C195" s="517"/>
      <c r="D195" s="476">
        <f t="shared" si="82"/>
        <v>0</v>
      </c>
      <c r="E195" s="476">
        <f t="shared" si="82"/>
        <v>0</v>
      </c>
      <c r="F195" s="476">
        <f t="shared" si="82"/>
        <v>0</v>
      </c>
      <c r="G195" s="476">
        <f t="shared" si="82"/>
        <v>0</v>
      </c>
      <c r="H195" s="476">
        <f t="shared" si="82"/>
        <v>0</v>
      </c>
      <c r="I195" s="476">
        <f t="shared" si="82"/>
        <v>0</v>
      </c>
      <c r="J195" s="476">
        <f t="shared" si="82"/>
        <v>0</v>
      </c>
      <c r="K195" s="476">
        <f t="shared" si="82"/>
        <v>0</v>
      </c>
      <c r="L195" s="476">
        <f t="shared" si="82"/>
        <v>0</v>
      </c>
      <c r="M195" s="476">
        <f t="shared" si="82"/>
        <v>0</v>
      </c>
    </row>
    <row r="196" spans="1:13" s="448" customFormat="1" ht="19" thickBot="1" x14ac:dyDescent="0.25">
      <c r="A196" s="529"/>
      <c r="B196" s="493" t="s">
        <v>454</v>
      </c>
      <c r="C196" s="517">
        <f>8000/88</f>
        <v>90.909090909090907</v>
      </c>
      <c r="D196" s="476">
        <f t="shared" si="82"/>
        <v>909.09090909090901</v>
      </c>
      <c r="E196" s="476">
        <f t="shared" si="82"/>
        <v>909.09090909090901</v>
      </c>
      <c r="F196" s="476">
        <f t="shared" si="82"/>
        <v>909.09090909090901</v>
      </c>
      <c r="G196" s="476">
        <f t="shared" si="82"/>
        <v>909.09090909090901</v>
      </c>
      <c r="H196" s="476">
        <f t="shared" si="82"/>
        <v>909.09090909090901</v>
      </c>
      <c r="I196" s="476">
        <f t="shared" si="82"/>
        <v>909.09090909090901</v>
      </c>
      <c r="J196" s="476">
        <f t="shared" si="82"/>
        <v>909.09090909090901</v>
      </c>
      <c r="K196" s="476">
        <f t="shared" si="82"/>
        <v>909.09090909090901</v>
      </c>
      <c r="L196" s="476">
        <f t="shared" si="82"/>
        <v>909.09090909090901</v>
      </c>
      <c r="M196" s="476">
        <f t="shared" si="82"/>
        <v>909.09090909090901</v>
      </c>
    </row>
    <row r="197" spans="1:13" s="448" customFormat="1" ht="19" thickBot="1" x14ac:dyDescent="0.25">
      <c r="A197" s="529"/>
      <c r="B197" s="493" t="s">
        <v>455</v>
      </c>
      <c r="C197" s="517">
        <f>106</f>
        <v>106</v>
      </c>
      <c r="D197" s="476">
        <f t="shared" si="82"/>
        <v>1060</v>
      </c>
      <c r="E197" s="476">
        <f t="shared" si="82"/>
        <v>1060</v>
      </c>
      <c r="F197" s="476">
        <f t="shared" si="82"/>
        <v>1060</v>
      </c>
      <c r="G197" s="476">
        <f t="shared" si="82"/>
        <v>1060</v>
      </c>
      <c r="H197" s="476">
        <f t="shared" si="82"/>
        <v>1060</v>
      </c>
      <c r="I197" s="476">
        <f t="shared" si="82"/>
        <v>1060</v>
      </c>
      <c r="J197" s="476">
        <f t="shared" si="82"/>
        <v>1060</v>
      </c>
      <c r="K197" s="476">
        <f t="shared" si="82"/>
        <v>1060</v>
      </c>
      <c r="L197" s="476">
        <f t="shared" si="82"/>
        <v>1060</v>
      </c>
      <c r="M197" s="476">
        <f t="shared" si="82"/>
        <v>1060</v>
      </c>
    </row>
    <row r="198" spans="1:13" s="448" customFormat="1" ht="19" thickBot="1" x14ac:dyDescent="0.25">
      <c r="A198" s="529"/>
      <c r="B198" s="493" t="s">
        <v>456</v>
      </c>
      <c r="C198" s="517">
        <v>250</v>
      </c>
      <c r="D198" s="476">
        <f t="shared" si="82"/>
        <v>2500</v>
      </c>
      <c r="E198" s="476">
        <f t="shared" si="82"/>
        <v>2500</v>
      </c>
      <c r="F198" s="476">
        <f t="shared" si="82"/>
        <v>2500</v>
      </c>
      <c r="G198" s="476">
        <f t="shared" si="82"/>
        <v>2500</v>
      </c>
      <c r="H198" s="476">
        <f t="shared" si="82"/>
        <v>2500</v>
      </c>
      <c r="I198" s="476">
        <f t="shared" si="82"/>
        <v>2500</v>
      </c>
      <c r="J198" s="476">
        <f t="shared" si="82"/>
        <v>2500</v>
      </c>
      <c r="K198" s="476">
        <f t="shared" si="82"/>
        <v>2500</v>
      </c>
      <c r="L198" s="476">
        <f t="shared" si="82"/>
        <v>2500</v>
      </c>
      <c r="M198" s="476">
        <f t="shared" si="82"/>
        <v>2500</v>
      </c>
    </row>
    <row r="199" spans="1:13" s="448" customFormat="1" ht="19" thickBot="1" x14ac:dyDescent="0.25">
      <c r="A199" s="529"/>
      <c r="B199" s="494" t="s">
        <v>457</v>
      </c>
      <c r="C199" s="522">
        <f>SUM(C190:C198)</f>
        <v>834.8045454545454</v>
      </c>
      <c r="D199" s="477">
        <f>SUM(D189:D198)</f>
        <v>8358.0454545454559</v>
      </c>
      <c r="E199" s="477">
        <f t="shared" ref="E199:M199" si="83">SUM(E189:E198)</f>
        <v>8358.0454545454559</v>
      </c>
      <c r="F199" s="477">
        <f t="shared" si="83"/>
        <v>8358.0454545454559</v>
      </c>
      <c r="G199" s="477">
        <f t="shared" si="83"/>
        <v>8358.0454545454559</v>
      </c>
      <c r="H199" s="477">
        <f t="shared" si="83"/>
        <v>8358.0454545454559</v>
      </c>
      <c r="I199" s="477">
        <f t="shared" si="83"/>
        <v>8358.0454545454559</v>
      </c>
      <c r="J199" s="477">
        <f t="shared" si="83"/>
        <v>8358.0454545454559</v>
      </c>
      <c r="K199" s="477">
        <f t="shared" si="83"/>
        <v>8358.0454545454559</v>
      </c>
      <c r="L199" s="477">
        <f t="shared" si="83"/>
        <v>8358.0454545454559</v>
      </c>
      <c r="M199" s="477">
        <f t="shared" si="83"/>
        <v>8358.0454545454559</v>
      </c>
    </row>
    <row r="200" spans="1:13" s="448" customFormat="1" ht="19" thickBot="1" x14ac:dyDescent="0.25">
      <c r="A200" s="529"/>
      <c r="B200" s="494" t="s">
        <v>458</v>
      </c>
      <c r="C200" s="517"/>
      <c r="D200" s="477">
        <v>20000</v>
      </c>
      <c r="E200" s="477">
        <f>D200*1.1</f>
        <v>22000</v>
      </c>
      <c r="F200" s="477">
        <f t="shared" ref="F200:H200" si="84">E200*1.1</f>
        <v>24200.000000000004</v>
      </c>
      <c r="G200" s="477">
        <f t="shared" si="84"/>
        <v>26620.000000000007</v>
      </c>
      <c r="H200" s="477">
        <f t="shared" si="84"/>
        <v>29282.000000000011</v>
      </c>
      <c r="I200" s="477">
        <f>H200</f>
        <v>29282.000000000011</v>
      </c>
      <c r="J200" s="477">
        <f t="shared" ref="J200:M201" si="85">I200</f>
        <v>29282.000000000011</v>
      </c>
      <c r="K200" s="477">
        <f t="shared" si="85"/>
        <v>29282.000000000011</v>
      </c>
      <c r="L200" s="477">
        <f t="shared" si="85"/>
        <v>29282.000000000011</v>
      </c>
      <c r="M200" s="477">
        <f t="shared" si="85"/>
        <v>29282.000000000011</v>
      </c>
    </row>
    <row r="201" spans="1:13" s="448" customFormat="1" ht="19" thickBot="1" x14ac:dyDescent="0.25">
      <c r="A201" s="529"/>
      <c r="B201" s="494" t="s">
        <v>469</v>
      </c>
      <c r="C201" s="517"/>
      <c r="D201" s="478">
        <v>0.08</v>
      </c>
      <c r="E201" s="478">
        <f>D201</f>
        <v>0.08</v>
      </c>
      <c r="F201" s="478">
        <f>E201</f>
        <v>0.08</v>
      </c>
      <c r="G201" s="478">
        <f>F201</f>
        <v>0.08</v>
      </c>
      <c r="H201" s="478">
        <f t="shared" ref="H201:I201" si="86">G201</f>
        <v>0.08</v>
      </c>
      <c r="I201" s="478">
        <f t="shared" si="86"/>
        <v>0.08</v>
      </c>
      <c r="J201" s="478">
        <f>SUM(D201)</f>
        <v>0.08</v>
      </c>
      <c r="K201" s="478">
        <f t="shared" si="85"/>
        <v>0.08</v>
      </c>
      <c r="L201" s="478">
        <f t="shared" si="85"/>
        <v>0.08</v>
      </c>
      <c r="M201" s="478">
        <f>SUM(D201)</f>
        <v>0.08</v>
      </c>
    </row>
    <row r="202" spans="1:13" s="448" customFormat="1" ht="19" thickBot="1" x14ac:dyDescent="0.25">
      <c r="A202" s="529"/>
      <c r="B202" s="494" t="s">
        <v>459</v>
      </c>
      <c r="C202" s="517"/>
      <c r="D202" s="477">
        <f>D201*D200*D189</f>
        <v>16000</v>
      </c>
      <c r="E202" s="477">
        <f t="shared" ref="E202:M202" si="87">E201*E200*E189</f>
        <v>17600</v>
      </c>
      <c r="F202" s="477">
        <f t="shared" si="87"/>
        <v>19360.000000000004</v>
      </c>
      <c r="G202" s="477">
        <f t="shared" si="87"/>
        <v>21296.000000000007</v>
      </c>
      <c r="H202" s="477">
        <f t="shared" si="87"/>
        <v>23425.600000000009</v>
      </c>
      <c r="I202" s="477">
        <f t="shared" si="87"/>
        <v>23425.600000000009</v>
      </c>
      <c r="J202" s="477">
        <f t="shared" si="87"/>
        <v>23425.600000000009</v>
      </c>
      <c r="K202" s="477">
        <f t="shared" si="87"/>
        <v>23425.600000000009</v>
      </c>
      <c r="L202" s="477">
        <f t="shared" si="87"/>
        <v>23425.600000000009</v>
      </c>
      <c r="M202" s="477">
        <f t="shared" si="87"/>
        <v>23425.600000000009</v>
      </c>
    </row>
    <row r="203" spans="1:13" s="448" customFormat="1" ht="19" thickBot="1" x14ac:dyDescent="0.25">
      <c r="A203" s="529"/>
      <c r="B203" s="495"/>
      <c r="C203" s="523"/>
      <c r="D203" s="479"/>
      <c r="E203" s="480"/>
      <c r="F203" s="480"/>
      <c r="G203" s="480"/>
      <c r="H203" s="480"/>
      <c r="I203" s="480"/>
      <c r="J203" s="480"/>
      <c r="K203" s="480"/>
      <c r="L203" s="480"/>
      <c r="M203" s="480"/>
    </row>
    <row r="204" spans="1:13" s="448" customFormat="1" ht="19" thickBot="1" x14ac:dyDescent="0.25">
      <c r="A204" s="529"/>
      <c r="B204" s="496" t="s">
        <v>460</v>
      </c>
      <c r="C204" s="522"/>
      <c r="D204" s="477">
        <f>D202-D199</f>
        <v>7641.9545454545441</v>
      </c>
      <c r="E204" s="477">
        <f t="shared" ref="E204:M204" si="88">E202-E199</f>
        <v>9241.9545454545441</v>
      </c>
      <c r="F204" s="477">
        <f t="shared" si="88"/>
        <v>11001.954545454548</v>
      </c>
      <c r="G204" s="477">
        <f t="shared" si="88"/>
        <v>12937.954545454551</v>
      </c>
      <c r="H204" s="477">
        <f t="shared" si="88"/>
        <v>15067.554545454554</v>
      </c>
      <c r="I204" s="477">
        <f t="shared" si="88"/>
        <v>15067.554545454554</v>
      </c>
      <c r="J204" s="477">
        <f t="shared" si="88"/>
        <v>15067.554545454554</v>
      </c>
      <c r="K204" s="477">
        <f t="shared" si="88"/>
        <v>15067.554545454554</v>
      </c>
      <c r="L204" s="477">
        <f t="shared" si="88"/>
        <v>15067.554545454554</v>
      </c>
      <c r="M204" s="477">
        <f t="shared" si="88"/>
        <v>15067.554545454554</v>
      </c>
    </row>
    <row r="205" spans="1:13" x14ac:dyDescent="0.2">
      <c r="B205" s="481"/>
      <c r="C205" s="524"/>
      <c r="D205" s="482"/>
      <c r="E205" s="482"/>
      <c r="F205" s="483"/>
      <c r="G205" s="483"/>
      <c r="H205" s="483"/>
      <c r="I205" s="483"/>
      <c r="J205" s="483"/>
      <c r="K205" s="483"/>
      <c r="L205" s="483"/>
      <c r="M205" s="483"/>
    </row>
    <row r="206" spans="1:13" x14ac:dyDescent="0.2">
      <c r="B206" s="484"/>
      <c r="C206" s="524"/>
      <c r="D206" s="482"/>
      <c r="E206" s="482"/>
      <c r="F206" s="482"/>
      <c r="G206" s="482"/>
      <c r="H206" s="482"/>
      <c r="I206" s="482"/>
      <c r="J206" s="482"/>
      <c r="K206" s="482"/>
      <c r="L206" s="482"/>
      <c r="M206" s="482"/>
    </row>
    <row r="207" spans="1:13" x14ac:dyDescent="0.2">
      <c r="B207" s="484"/>
      <c r="C207" s="524"/>
      <c r="D207" s="482"/>
      <c r="E207" s="482"/>
      <c r="F207" s="482"/>
      <c r="G207" s="482"/>
      <c r="H207" s="482"/>
      <c r="I207" s="482"/>
      <c r="J207" s="482"/>
      <c r="K207" s="482"/>
      <c r="L207" s="482"/>
      <c r="M207" s="482"/>
    </row>
    <row r="208" spans="1:13" ht="19" thickBot="1" x14ac:dyDescent="0.25">
      <c r="B208" s="484"/>
      <c r="C208" s="524"/>
      <c r="D208" s="482"/>
      <c r="E208" s="482"/>
      <c r="F208" s="482"/>
      <c r="G208" s="482"/>
      <c r="H208" s="482"/>
      <c r="I208" s="482"/>
      <c r="J208" s="482"/>
      <c r="K208" s="482"/>
      <c r="L208" s="482"/>
      <c r="M208" s="482"/>
    </row>
    <row r="209" spans="2:13" ht="19" thickBot="1" x14ac:dyDescent="0.25">
      <c r="B209" s="494" t="s">
        <v>457</v>
      </c>
      <c r="C209" s="517">
        <f>SUM(C200:C208)</f>
        <v>0</v>
      </c>
      <c r="D209" s="477">
        <f>SUM(D199)+D181+D163+D145+D127+D109+D91+D71+D53+D35+D17</f>
        <v>155169.05309917353</v>
      </c>
      <c r="E209" s="477">
        <f>SUM(E199+E181+E163+E145+E127+E109+E91+E71+E53+E35+E17)</f>
        <v>155169.05309917353</v>
      </c>
      <c r="F209" s="477">
        <f t="shared" ref="F209" si="89">SUM(F199)+F181+F163+F145+F127+F109+F91+F71+F53+F35+F17</f>
        <v>155169.05309917353</v>
      </c>
      <c r="G209" s="477">
        <f t="shared" ref="G209" si="90">SUM(G199+G181+G163+G145+G127+G109+G91+G71+G53+G35+G17)</f>
        <v>155169.05309917353</v>
      </c>
      <c r="H209" s="477">
        <f t="shared" ref="H209" si="91">SUM(H199)+H181+H163+H145+H127+H109+H91+H71+H53+H35+H17</f>
        <v>155169.05309917353</v>
      </c>
      <c r="I209" s="477">
        <f t="shared" ref="I209" si="92">SUM(I199+I181+I163+I145+I127+I109+I91+I71+I53+I35+I17)</f>
        <v>155169.05309917353</v>
      </c>
      <c r="J209" s="477">
        <f t="shared" ref="J209" si="93">SUM(J199)+J181+J163+J145+J127+J109+J91+J71+J53+J35+J17</f>
        <v>155169.05309917353</v>
      </c>
      <c r="K209" s="477">
        <f t="shared" ref="K209" si="94">SUM(K199+K181+K163+K145+K127+K109+K91+K71+K53+K35+K17)</f>
        <v>155169.05309917353</v>
      </c>
      <c r="L209" s="477">
        <f t="shared" ref="L209" si="95">SUM(L199)+L181+L163+L145+L127+L109+L91+L71+L53+L35+L17</f>
        <v>155169.05309917353</v>
      </c>
      <c r="M209" s="477">
        <f t="shared" ref="M209" si="96">SUM(M199+M181+M163+M145+M127+M109+M91+M71+M53+M35+M17)</f>
        <v>155169.05309917353</v>
      </c>
    </row>
    <row r="210" spans="2:13" ht="19" thickBot="1" x14ac:dyDescent="0.25">
      <c r="B210" s="494"/>
      <c r="C210" s="51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7"/>
    </row>
    <row r="211" spans="2:13" ht="19" thickBot="1" x14ac:dyDescent="0.25">
      <c r="B211" s="494" t="s">
        <v>459</v>
      </c>
      <c r="C211" s="517"/>
      <c r="D211" s="477">
        <f>SUM(D202)+D184+D166+D148+D130+D94+D74+D56+D38+D20+D1</f>
        <v>306500</v>
      </c>
      <c r="E211" s="477">
        <f>SUM(E202)+E184+E166+E148+E130+E112+E94+E74+E56+E38+E20</f>
        <v>336287.83333333337</v>
      </c>
      <c r="F211" s="477">
        <f>SUM(F202)+F184+F166+F148+F130+F112+F94+F74+F56+F38+F20</f>
        <v>356527.2416666667</v>
      </c>
      <c r="G211" s="477">
        <f t="shared" ref="G211" si="97">SUM(G202)+G184+G166+G148+G130+G94+G74+G56+G38+G20+G1</f>
        <v>364575.21875</v>
      </c>
      <c r="H211" s="477">
        <f t="shared" ref="H211:I211" si="98">SUM(H202)+H184+H166+H148+H130+H112+H94+H74+H56+H38+H20</f>
        <v>402705.54835416668</v>
      </c>
      <c r="I211" s="477">
        <f t="shared" si="98"/>
        <v>416023.38819791668</v>
      </c>
      <c r="J211" s="477">
        <f t="shared" ref="J211" si="99">SUM(J202)+J184+J166+J148+J130+J94+J74+J56+J38+J20+J1</f>
        <v>402280.36953125003</v>
      </c>
      <c r="K211" s="477">
        <f t="shared" ref="K211:L211" si="100">SUM(K202)+K184+K166+K148+K130+K112+K94+K74+K56+K38+K20</f>
        <v>416023.38819791668</v>
      </c>
      <c r="L211" s="477">
        <f t="shared" si="100"/>
        <v>416023.38819791668</v>
      </c>
      <c r="M211" s="477">
        <f t="shared" ref="M211" si="101">SUM(M202)+M184+M166+M148+M130+M94+M74+M56+M38+M20+M1</f>
        <v>402280.36953125003</v>
      </c>
    </row>
    <row r="212" spans="2:13" ht="19" thickBot="1" x14ac:dyDescent="0.25">
      <c r="B212" s="495"/>
      <c r="C212" s="523"/>
      <c r="D212" s="479"/>
      <c r="E212" s="480"/>
      <c r="F212" s="480"/>
      <c r="G212" s="480"/>
      <c r="H212" s="480"/>
      <c r="I212" s="480"/>
      <c r="J212" s="480"/>
      <c r="K212" s="480"/>
      <c r="L212" s="480"/>
      <c r="M212" s="480"/>
    </row>
    <row r="213" spans="2:13" ht="19" thickBot="1" x14ac:dyDescent="0.25">
      <c r="B213" s="496" t="s">
        <v>460</v>
      </c>
      <c r="C213" s="522"/>
      <c r="D213" s="477">
        <f t="shared" ref="D213:M213" si="102">D211-D209</f>
        <v>151330.94690082647</v>
      </c>
      <c r="E213" s="477">
        <f t="shared" si="102"/>
        <v>181118.78023415984</v>
      </c>
      <c r="F213" s="477">
        <f t="shared" si="102"/>
        <v>201358.18856749317</v>
      </c>
      <c r="G213" s="477">
        <f t="shared" si="102"/>
        <v>209406.16565082647</v>
      </c>
      <c r="H213" s="477">
        <f t="shared" si="102"/>
        <v>247536.49525499315</v>
      </c>
      <c r="I213" s="477">
        <f t="shared" si="102"/>
        <v>260854.33509874315</v>
      </c>
      <c r="J213" s="477">
        <f t="shared" si="102"/>
        <v>247111.31643207651</v>
      </c>
      <c r="K213" s="477">
        <f t="shared" si="102"/>
        <v>260854.33509874315</v>
      </c>
      <c r="L213" s="477">
        <f t="shared" si="102"/>
        <v>260854.33509874315</v>
      </c>
      <c r="M213" s="477">
        <f t="shared" si="102"/>
        <v>247111.31643207651</v>
      </c>
    </row>
  </sheetData>
  <mergeCells count="12">
    <mergeCell ref="B98:M98"/>
    <mergeCell ref="D2:H2"/>
    <mergeCell ref="B6:M6"/>
    <mergeCell ref="B24:M24"/>
    <mergeCell ref="B42:M42"/>
    <mergeCell ref="B60:M60"/>
    <mergeCell ref="B79:M79"/>
    <mergeCell ref="B116:M116"/>
    <mergeCell ref="B134:M134"/>
    <mergeCell ref="B152:M152"/>
    <mergeCell ref="B170:M170"/>
    <mergeCell ref="B188:M18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6408-3A8A-2345-BE73-1F83F8FA4E50}">
  <dimension ref="A1:CS192"/>
  <sheetViews>
    <sheetView showGridLines="0" topLeftCell="W1" zoomScale="125" zoomScaleNormal="125" zoomScalePageLayoutView="125" workbookViewId="0">
      <selection activeCell="F183" sqref="F183"/>
    </sheetView>
  </sheetViews>
  <sheetFormatPr baseColWidth="10" defaultRowHeight="15" x14ac:dyDescent="0.2"/>
  <cols>
    <col min="1" max="1" width="14.5" customWidth="1"/>
    <col min="2" max="2" width="4.6640625" customWidth="1"/>
    <col min="3" max="3" width="46.83203125" customWidth="1"/>
    <col min="4" max="4" width="18.83203125" bestFit="1" customWidth="1"/>
    <col min="5" max="5" width="21.1640625" bestFit="1" customWidth="1"/>
    <col min="6" max="7" width="22" bestFit="1" customWidth="1"/>
    <col min="8" max="8" width="22.5" bestFit="1" customWidth="1"/>
    <col min="9" max="10" width="5.1640625" customWidth="1"/>
    <col min="11" max="11" width="30.1640625" customWidth="1"/>
    <col min="12" max="12" width="18.83203125" bestFit="1" customWidth="1"/>
    <col min="13" max="14" width="21.1640625" bestFit="1" customWidth="1"/>
    <col min="15" max="15" width="20.1640625" customWidth="1"/>
    <col min="16" max="16" width="21.1640625" bestFit="1" customWidth="1"/>
    <col min="17" max="18" width="2.1640625" customWidth="1"/>
    <col min="19" max="19" width="3.5" customWidth="1"/>
    <col min="20" max="20" width="40.83203125" customWidth="1"/>
    <col min="21" max="21" width="17.83203125" customWidth="1"/>
    <col min="22" max="22" width="19.5" bestFit="1" customWidth="1"/>
    <col min="23" max="23" width="20.6640625" bestFit="1" customWidth="1"/>
    <col min="24" max="24" width="21.1640625" bestFit="1" customWidth="1"/>
    <col min="25" max="25" width="20.6640625" bestFit="1" customWidth="1"/>
    <col min="26" max="26" width="2.6640625" customWidth="1"/>
    <col min="28" max="28" width="32.1640625" customWidth="1"/>
    <col min="29" max="29" width="18" customWidth="1"/>
    <col min="30" max="30" width="20.1640625" bestFit="1" customWidth="1"/>
    <col min="31" max="33" width="21.1640625" bestFit="1" customWidth="1"/>
    <col min="34" max="34" width="17.83203125" customWidth="1"/>
    <col min="35" max="35" width="32.1640625" customWidth="1"/>
    <col min="36" max="36" width="18" customWidth="1"/>
    <col min="37" max="37" width="20.1640625" bestFit="1" customWidth="1"/>
    <col min="38" max="40" width="21.1640625" bestFit="1" customWidth="1"/>
    <col min="41" max="41" width="17.83203125" customWidth="1"/>
    <col min="42" max="42" width="32.1640625" customWidth="1"/>
    <col min="43" max="43" width="18" customWidth="1"/>
    <col min="44" max="44" width="20.1640625" bestFit="1" customWidth="1"/>
    <col min="45" max="47" width="21.1640625" bestFit="1" customWidth="1"/>
    <col min="49" max="49" width="32.1640625" customWidth="1"/>
    <col min="50" max="50" width="18" customWidth="1"/>
    <col min="51" max="51" width="20.1640625" bestFit="1" customWidth="1"/>
    <col min="52" max="54" width="21.1640625" bestFit="1" customWidth="1"/>
    <col min="56" max="56" width="32.1640625" customWidth="1"/>
    <col min="57" max="57" width="18" customWidth="1"/>
    <col min="58" max="58" width="20.1640625" bestFit="1" customWidth="1"/>
    <col min="59" max="61" width="21.1640625" bestFit="1" customWidth="1"/>
    <col min="63" max="63" width="32.1640625" customWidth="1"/>
    <col min="64" max="64" width="18" customWidth="1"/>
    <col min="65" max="65" width="20.1640625" bestFit="1" customWidth="1"/>
    <col min="66" max="68" width="21.1640625" bestFit="1" customWidth="1"/>
    <col min="70" max="70" width="32.1640625" customWidth="1"/>
    <col min="71" max="71" width="18" customWidth="1"/>
    <col min="72" max="72" width="20.1640625" bestFit="1" customWidth="1"/>
    <col min="73" max="75" width="21.1640625" bestFit="1" customWidth="1"/>
    <col min="77" max="77" width="32.1640625" customWidth="1"/>
    <col min="78" max="78" width="18" customWidth="1"/>
    <col min="79" max="79" width="20.1640625" bestFit="1" customWidth="1"/>
    <col min="80" max="82" width="21.1640625" bestFit="1" customWidth="1"/>
    <col min="84" max="84" width="32.1640625" customWidth="1"/>
    <col min="85" max="85" width="18" customWidth="1"/>
    <col min="86" max="86" width="20.1640625" bestFit="1" customWidth="1"/>
    <col min="87" max="89" width="21.1640625" bestFit="1" customWidth="1"/>
    <col min="92" max="92" width="32.1640625" customWidth="1"/>
    <col min="93" max="93" width="18" customWidth="1"/>
    <col min="94" max="94" width="20.1640625" bestFit="1" customWidth="1"/>
    <col min="95" max="97" width="21.1640625" bestFit="1" customWidth="1"/>
  </cols>
  <sheetData>
    <row r="1" spans="1:97" ht="16" x14ac:dyDescent="0.2">
      <c r="A1" s="531"/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J1" s="531"/>
      <c r="AK1" s="531"/>
      <c r="AL1" s="531"/>
      <c r="AM1" s="531"/>
      <c r="AN1" s="531"/>
      <c r="AP1" s="531"/>
      <c r="AQ1" s="531"/>
      <c r="AR1" s="531"/>
      <c r="AS1" s="531"/>
      <c r="AT1" s="531"/>
      <c r="AU1" s="531"/>
      <c r="AW1" s="531"/>
      <c r="AX1" s="531"/>
      <c r="AY1" s="531"/>
      <c r="AZ1" s="531"/>
      <c r="BA1" s="531"/>
      <c r="BB1" s="531"/>
      <c r="BD1" s="531"/>
      <c r="BE1" s="531"/>
      <c r="BF1" s="531"/>
      <c r="BG1" s="531"/>
      <c r="BH1" s="531"/>
      <c r="BI1" s="531"/>
      <c r="BK1" s="531"/>
      <c r="BL1" s="531"/>
      <c r="BM1" s="531"/>
      <c r="BN1" s="531"/>
      <c r="BO1" s="531"/>
      <c r="BP1" s="531"/>
      <c r="BR1" s="531"/>
      <c r="BS1" s="531"/>
      <c r="BT1" s="531"/>
      <c r="BU1" s="531"/>
      <c r="BV1" s="531"/>
      <c r="BW1" s="531"/>
      <c r="BY1" s="531"/>
      <c r="BZ1" s="531"/>
      <c r="CA1" s="531"/>
      <c r="CB1" s="531"/>
      <c r="CC1" s="531"/>
      <c r="CD1" s="531"/>
      <c r="CF1" s="531"/>
      <c r="CG1" s="531"/>
      <c r="CH1" s="531"/>
      <c r="CI1" s="531"/>
      <c r="CJ1" s="531"/>
      <c r="CK1" s="531"/>
      <c r="CN1" s="531"/>
      <c r="CO1" s="531"/>
      <c r="CP1" s="531"/>
      <c r="CQ1" s="531"/>
      <c r="CR1" s="531"/>
      <c r="CS1" s="531"/>
    </row>
    <row r="2" spans="1:97" ht="16" x14ac:dyDescent="0.2">
      <c r="A2" s="531"/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  <c r="AM2" s="531"/>
      <c r="AN2" s="531"/>
      <c r="AP2" s="531"/>
      <c r="AQ2" s="531"/>
      <c r="AR2" s="531"/>
      <c r="AS2" s="531"/>
      <c r="AT2" s="531"/>
      <c r="AU2" s="531"/>
      <c r="AW2" s="531"/>
      <c r="AX2" s="531"/>
      <c r="AY2" s="531"/>
      <c r="AZ2" s="531"/>
      <c r="BA2" s="531"/>
      <c r="BB2" s="531"/>
      <c r="BD2" s="531"/>
      <c r="BE2" s="531"/>
      <c r="BF2" s="531"/>
      <c r="BG2" s="531"/>
      <c r="BH2" s="531"/>
      <c r="BI2" s="531"/>
      <c r="BK2" s="531"/>
      <c r="BL2" s="531"/>
      <c r="BM2" s="531"/>
      <c r="BN2" s="531"/>
      <c r="BO2" s="531"/>
      <c r="BP2" s="531"/>
      <c r="BR2" s="531"/>
      <c r="BS2" s="531"/>
      <c r="BT2" s="531"/>
      <c r="BU2" s="531"/>
      <c r="BV2" s="531"/>
      <c r="BW2" s="531"/>
      <c r="BY2" s="531"/>
      <c r="BZ2" s="531"/>
      <c r="CA2" s="531"/>
      <c r="CB2" s="531"/>
      <c r="CC2" s="531"/>
      <c r="CD2" s="531"/>
      <c r="CF2" s="531"/>
      <c r="CG2" s="531"/>
      <c r="CH2" s="531"/>
      <c r="CI2" s="531"/>
      <c r="CJ2" s="531"/>
      <c r="CK2" s="531"/>
      <c r="CN2" s="531"/>
      <c r="CO2" s="531"/>
      <c r="CP2" s="531"/>
      <c r="CQ2" s="531"/>
      <c r="CR2" s="531"/>
      <c r="CS2" s="531"/>
    </row>
    <row r="3" spans="1:97" ht="19" x14ac:dyDescent="0.25">
      <c r="A3" s="531"/>
      <c r="B3" s="531"/>
      <c r="C3" s="83" t="s">
        <v>528</v>
      </c>
      <c r="D3" s="531"/>
      <c r="E3" s="531"/>
      <c r="F3" s="531"/>
      <c r="G3" s="531"/>
      <c r="H3" s="531"/>
      <c r="I3" s="531"/>
      <c r="J3" s="531"/>
      <c r="K3" s="601" t="s">
        <v>529</v>
      </c>
      <c r="L3" s="531"/>
      <c r="M3" s="531"/>
      <c r="N3" s="531"/>
      <c r="O3" s="531"/>
      <c r="P3" s="531"/>
      <c r="Q3" s="531"/>
      <c r="R3" s="531"/>
      <c r="S3" s="531"/>
      <c r="T3" s="601" t="s">
        <v>530</v>
      </c>
      <c r="U3" s="531"/>
      <c r="V3" s="531"/>
      <c r="W3" s="531"/>
      <c r="X3" s="531"/>
      <c r="Y3" s="531"/>
      <c r="Z3" s="531"/>
      <c r="AA3" s="531"/>
      <c r="AB3" s="601" t="s">
        <v>531</v>
      </c>
      <c r="AC3" s="531"/>
      <c r="AD3" s="531"/>
      <c r="AE3" s="531"/>
      <c r="AF3" s="531"/>
      <c r="AG3" s="531"/>
      <c r="AH3" s="531"/>
      <c r="AI3" s="83" t="s">
        <v>532</v>
      </c>
      <c r="AJ3" s="531"/>
      <c r="AK3" s="531"/>
      <c r="AL3" s="531"/>
      <c r="AM3" s="531"/>
      <c r="AN3" s="531"/>
      <c r="AP3" s="83" t="s">
        <v>534</v>
      </c>
      <c r="AQ3" s="531"/>
      <c r="AR3" s="531"/>
      <c r="AS3" s="531"/>
      <c r="AT3" s="531"/>
      <c r="AU3" s="531"/>
      <c r="AW3" s="83" t="s">
        <v>536</v>
      </c>
      <c r="AX3" s="531"/>
      <c r="AY3" s="531"/>
      <c r="AZ3" s="531"/>
      <c r="BA3" s="531"/>
      <c r="BB3" s="531"/>
      <c r="BD3" s="83" t="s">
        <v>545</v>
      </c>
      <c r="BE3" s="531"/>
      <c r="BF3" s="531"/>
      <c r="BG3" s="531"/>
      <c r="BH3" s="531"/>
      <c r="BI3" s="531"/>
      <c r="BK3" s="83" t="s">
        <v>555</v>
      </c>
      <c r="BL3" s="531"/>
      <c r="BM3" s="531"/>
      <c r="BN3" s="531"/>
      <c r="BO3" s="531"/>
      <c r="BP3" s="531"/>
      <c r="BR3" s="83" t="s">
        <v>561</v>
      </c>
      <c r="BS3" s="531"/>
      <c r="BT3" s="531"/>
      <c r="BU3" s="531"/>
      <c r="BV3" s="531"/>
      <c r="BW3" s="531"/>
      <c r="BY3" s="83" t="s">
        <v>573</v>
      </c>
      <c r="BZ3" s="531"/>
      <c r="CA3" s="531"/>
      <c r="CB3" s="531"/>
      <c r="CC3" s="531"/>
      <c r="CD3" s="531"/>
      <c r="CF3" s="83" t="s">
        <v>576</v>
      </c>
      <c r="CG3" s="531"/>
      <c r="CH3" s="531"/>
      <c r="CI3" s="531"/>
      <c r="CJ3" s="531"/>
      <c r="CK3" s="531"/>
      <c r="CN3" s="83" t="s">
        <v>624</v>
      </c>
      <c r="CO3" s="531"/>
      <c r="CP3" s="531"/>
      <c r="CQ3" s="531"/>
      <c r="CR3" s="531"/>
      <c r="CS3" s="531"/>
    </row>
    <row r="4" spans="1:97" ht="16" x14ac:dyDescent="0.2">
      <c r="A4" s="531"/>
      <c r="B4" s="531"/>
      <c r="C4" s="818" t="s">
        <v>461</v>
      </c>
      <c r="D4" s="819"/>
      <c r="E4" s="819"/>
      <c r="F4" s="819"/>
      <c r="G4" s="819"/>
      <c r="H4" s="532"/>
      <c r="I4" s="531"/>
      <c r="J4" s="531"/>
      <c r="K4" s="818" t="s">
        <v>462</v>
      </c>
      <c r="L4" s="819"/>
      <c r="M4" s="819"/>
      <c r="N4" s="819"/>
      <c r="O4" s="820"/>
      <c r="P4" s="531"/>
      <c r="Q4" s="531"/>
      <c r="R4" s="531"/>
      <c r="S4" s="531"/>
      <c r="T4" s="818" t="s">
        <v>470</v>
      </c>
      <c r="U4" s="819"/>
      <c r="V4" s="819"/>
      <c r="W4" s="819"/>
      <c r="X4" s="820"/>
      <c r="Y4" s="531"/>
      <c r="Z4" s="531"/>
      <c r="AA4" s="531"/>
      <c r="AB4" s="818" t="s">
        <v>448</v>
      </c>
      <c r="AC4" s="819"/>
      <c r="AD4" s="819"/>
      <c r="AE4" s="819"/>
      <c r="AF4" s="820"/>
      <c r="AG4" s="531"/>
      <c r="AH4" s="531"/>
      <c r="AI4" s="818" t="s">
        <v>471</v>
      </c>
      <c r="AJ4" s="819"/>
      <c r="AK4" s="819"/>
      <c r="AL4" s="819"/>
      <c r="AM4" s="820"/>
      <c r="AN4" s="531"/>
      <c r="AP4" s="818" t="s">
        <v>463</v>
      </c>
      <c r="AQ4" s="819"/>
      <c r="AR4" s="819"/>
      <c r="AS4" s="819"/>
      <c r="AT4" s="820"/>
      <c r="AU4" s="531"/>
      <c r="AW4" s="818" t="s">
        <v>535</v>
      </c>
      <c r="AX4" s="819"/>
      <c r="AY4" s="819"/>
      <c r="AZ4" s="819"/>
      <c r="BA4" s="820"/>
      <c r="BB4" s="531"/>
      <c r="BD4" s="818" t="s">
        <v>544</v>
      </c>
      <c r="BE4" s="819"/>
      <c r="BF4" s="819"/>
      <c r="BG4" s="819"/>
      <c r="BH4" s="820"/>
      <c r="BI4" s="531"/>
      <c r="BK4" s="818" t="s">
        <v>554</v>
      </c>
      <c r="BL4" s="819"/>
      <c r="BM4" s="819"/>
      <c r="BN4" s="819"/>
      <c r="BO4" s="820"/>
      <c r="BP4" s="531"/>
      <c r="BR4" s="818" t="s">
        <v>560</v>
      </c>
      <c r="BS4" s="819"/>
      <c r="BT4" s="819"/>
      <c r="BU4" s="819"/>
      <c r="BV4" s="820"/>
      <c r="BW4" s="531"/>
      <c r="BY4" s="818" t="s">
        <v>572</v>
      </c>
      <c r="BZ4" s="819"/>
      <c r="CA4" s="819"/>
      <c r="CB4" s="819"/>
      <c r="CC4" s="820"/>
      <c r="CD4" s="531"/>
      <c r="CF4" s="818" t="s">
        <v>577</v>
      </c>
      <c r="CG4" s="819"/>
      <c r="CH4" s="819"/>
      <c r="CI4" s="819"/>
      <c r="CJ4" s="820"/>
      <c r="CK4" s="531"/>
      <c r="CN4" s="818" t="s">
        <v>611</v>
      </c>
      <c r="CO4" s="819"/>
      <c r="CP4" s="819"/>
      <c r="CQ4" s="819"/>
      <c r="CR4" s="820"/>
      <c r="CS4" s="531"/>
    </row>
    <row r="5" spans="1:97" ht="16" x14ac:dyDescent="0.2">
      <c r="A5" s="531"/>
      <c r="B5" s="531"/>
      <c r="C5" s="89" t="s">
        <v>25</v>
      </c>
      <c r="D5" s="224" t="s">
        <v>3</v>
      </c>
      <c r="E5" s="224" t="s">
        <v>4</v>
      </c>
      <c r="F5" s="78" t="s">
        <v>5</v>
      </c>
      <c r="G5" s="533" t="s">
        <v>16</v>
      </c>
      <c r="H5" s="531"/>
      <c r="I5" s="531"/>
      <c r="J5" s="531"/>
      <c r="K5" s="89" t="s">
        <v>25</v>
      </c>
      <c r="L5" s="224" t="s">
        <v>3</v>
      </c>
      <c r="M5" s="224" t="s">
        <v>4</v>
      </c>
      <c r="N5" s="78" t="s">
        <v>5</v>
      </c>
      <c r="O5" s="533" t="s">
        <v>16</v>
      </c>
      <c r="P5" s="531"/>
      <c r="Q5" s="531"/>
      <c r="R5" s="531"/>
      <c r="S5" s="531"/>
      <c r="T5" s="89" t="s">
        <v>25</v>
      </c>
      <c r="U5" s="224" t="s">
        <v>3</v>
      </c>
      <c r="V5" s="224" t="s">
        <v>4</v>
      </c>
      <c r="W5" s="78" t="s">
        <v>5</v>
      </c>
      <c r="X5" s="533" t="s">
        <v>16</v>
      </c>
      <c r="Y5" s="531"/>
      <c r="Z5" s="531"/>
      <c r="AA5" s="531"/>
      <c r="AB5" s="89" t="s">
        <v>25</v>
      </c>
      <c r="AC5" s="224" t="s">
        <v>3</v>
      </c>
      <c r="AD5" s="224" t="s">
        <v>4</v>
      </c>
      <c r="AE5" s="78" t="s">
        <v>5</v>
      </c>
      <c r="AF5" s="533" t="s">
        <v>16</v>
      </c>
      <c r="AG5" s="531"/>
      <c r="AH5" s="531"/>
      <c r="AI5" s="89" t="s">
        <v>25</v>
      </c>
      <c r="AJ5" s="224" t="s">
        <v>3</v>
      </c>
      <c r="AK5" s="224" t="s">
        <v>4</v>
      </c>
      <c r="AL5" s="78" t="s">
        <v>5</v>
      </c>
      <c r="AM5" s="533" t="s">
        <v>16</v>
      </c>
      <c r="AN5" s="531"/>
      <c r="AP5" s="89" t="s">
        <v>25</v>
      </c>
      <c r="AQ5" s="224" t="s">
        <v>3</v>
      </c>
      <c r="AR5" s="224" t="s">
        <v>4</v>
      </c>
      <c r="AS5" s="78" t="s">
        <v>5</v>
      </c>
      <c r="AT5" s="533" t="s">
        <v>16</v>
      </c>
      <c r="AU5" s="531"/>
      <c r="AW5" s="89" t="s">
        <v>25</v>
      </c>
      <c r="AX5" s="224" t="s">
        <v>3</v>
      </c>
      <c r="AY5" s="224" t="s">
        <v>4</v>
      </c>
      <c r="AZ5" s="78" t="s">
        <v>5</v>
      </c>
      <c r="BA5" s="533" t="s">
        <v>16</v>
      </c>
      <c r="BB5" s="531"/>
      <c r="BD5" s="89" t="s">
        <v>25</v>
      </c>
      <c r="BE5" s="224" t="s">
        <v>3</v>
      </c>
      <c r="BF5" s="224" t="s">
        <v>4</v>
      </c>
      <c r="BG5" s="78" t="s">
        <v>5</v>
      </c>
      <c r="BH5" s="533" t="s">
        <v>16</v>
      </c>
      <c r="BI5" s="531"/>
      <c r="BK5" s="89" t="s">
        <v>25</v>
      </c>
      <c r="BL5" s="224" t="s">
        <v>3</v>
      </c>
      <c r="BM5" s="224" t="s">
        <v>4</v>
      </c>
      <c r="BN5" s="78" t="s">
        <v>5</v>
      </c>
      <c r="BO5" s="533" t="s">
        <v>16</v>
      </c>
      <c r="BP5" s="531"/>
      <c r="BR5" s="89" t="s">
        <v>25</v>
      </c>
      <c r="BS5" s="224" t="s">
        <v>3</v>
      </c>
      <c r="BT5" s="224" t="s">
        <v>4</v>
      </c>
      <c r="BU5" s="78" t="s">
        <v>5</v>
      </c>
      <c r="BV5" s="533" t="s">
        <v>16</v>
      </c>
      <c r="BW5" s="531"/>
      <c r="BY5" s="89" t="s">
        <v>25</v>
      </c>
      <c r="BZ5" s="224" t="s">
        <v>3</v>
      </c>
      <c r="CA5" s="224" t="s">
        <v>4</v>
      </c>
      <c r="CB5" s="78" t="s">
        <v>5</v>
      </c>
      <c r="CC5" s="533" t="s">
        <v>16</v>
      </c>
      <c r="CD5" s="531"/>
      <c r="CF5" s="89" t="s">
        <v>25</v>
      </c>
      <c r="CG5" s="224" t="s">
        <v>3</v>
      </c>
      <c r="CH5" s="224" t="s">
        <v>4</v>
      </c>
      <c r="CI5" s="78" t="s">
        <v>5</v>
      </c>
      <c r="CJ5" s="533" t="s">
        <v>16</v>
      </c>
      <c r="CK5" s="531"/>
      <c r="CN5" s="89" t="s">
        <v>25</v>
      </c>
      <c r="CO5" s="224" t="s">
        <v>3</v>
      </c>
      <c r="CP5" s="224" t="s">
        <v>4</v>
      </c>
      <c r="CQ5" s="78" t="s">
        <v>5</v>
      </c>
      <c r="CR5" s="533" t="s">
        <v>16</v>
      </c>
      <c r="CS5" s="531"/>
    </row>
    <row r="6" spans="1:97" ht="16" x14ac:dyDescent="0.2">
      <c r="A6" s="531"/>
      <c r="B6" s="531"/>
      <c r="C6" s="534" t="s">
        <v>498</v>
      </c>
      <c r="D6" s="535">
        <f>+'[2]Ca...'!C6+'[2]Ca...'!C11+'[2]Ca...'!C17</f>
        <v>0</v>
      </c>
      <c r="E6" s="535"/>
      <c r="F6" s="535">
        <v>0</v>
      </c>
      <c r="G6" s="536">
        <f>+SUM(C6:F6)</f>
        <v>0</v>
      </c>
      <c r="H6" s="531"/>
      <c r="I6" s="531"/>
      <c r="J6" s="531"/>
      <c r="K6" s="534" t="s">
        <v>498</v>
      </c>
      <c r="L6" s="535">
        <f>+'[2]Ca...'!K6+'[2]Ca...'!K11+'[2]Ca...'!K17</f>
        <v>0</v>
      </c>
      <c r="M6" s="535"/>
      <c r="N6" s="535"/>
      <c r="O6" s="536">
        <f>+SUM(K6:N6)</f>
        <v>0</v>
      </c>
      <c r="P6" s="531"/>
      <c r="Q6" s="531"/>
      <c r="R6" s="531"/>
      <c r="S6" s="531"/>
      <c r="T6" s="534" t="s">
        <v>498</v>
      </c>
      <c r="U6" s="535"/>
      <c r="V6" s="535"/>
      <c r="W6" s="535"/>
      <c r="X6" s="536">
        <f>+SUM(T6:W6)</f>
        <v>0</v>
      </c>
      <c r="Y6" s="531"/>
      <c r="Z6" s="531"/>
      <c r="AA6" s="531"/>
      <c r="AB6" s="534" t="s">
        <v>498</v>
      </c>
      <c r="AC6" s="535"/>
      <c r="AD6" s="535"/>
      <c r="AE6" s="535">
        <v>0</v>
      </c>
      <c r="AF6" s="536">
        <f>+SUM(AB6:AE6)</f>
        <v>0</v>
      </c>
      <c r="AG6" s="531"/>
      <c r="AH6" s="531"/>
      <c r="AI6" s="534" t="s">
        <v>615</v>
      </c>
      <c r="AJ6" s="535"/>
      <c r="AK6" s="535"/>
      <c r="AL6" s="535">
        <v>0</v>
      </c>
      <c r="AM6" s="536">
        <f>+SUM(AI6:AL6)</f>
        <v>0</v>
      </c>
      <c r="AN6" s="531"/>
      <c r="AP6" s="534" t="s">
        <v>615</v>
      </c>
      <c r="AQ6" s="535"/>
      <c r="AR6" s="535"/>
      <c r="AS6" s="535">
        <v>0</v>
      </c>
      <c r="AT6" s="536">
        <f>+SUM(AP6:AS6)</f>
        <v>0</v>
      </c>
      <c r="AU6" s="531"/>
      <c r="AW6" s="534" t="s">
        <v>615</v>
      </c>
      <c r="AX6" s="535"/>
      <c r="AY6" s="535"/>
      <c r="AZ6" s="535">
        <v>0</v>
      </c>
      <c r="BA6" s="536">
        <f>+SUM(AW6:AZ6)</f>
        <v>0</v>
      </c>
      <c r="BB6" s="531"/>
      <c r="BD6" s="534" t="s">
        <v>615</v>
      </c>
      <c r="BE6" s="535"/>
      <c r="BF6" s="535"/>
      <c r="BG6" s="535">
        <v>0</v>
      </c>
      <c r="BH6" s="536">
        <f>+SUM(BD6:BG6)</f>
        <v>0</v>
      </c>
      <c r="BI6" s="531"/>
      <c r="BK6" s="534" t="s">
        <v>615</v>
      </c>
      <c r="BL6" s="535"/>
      <c r="BM6" s="535"/>
      <c r="BN6" s="535">
        <v>0</v>
      </c>
      <c r="BO6" s="536">
        <f>+SUM(BK6:BN6)</f>
        <v>0</v>
      </c>
      <c r="BP6" s="531"/>
      <c r="BR6" s="534" t="s">
        <v>615</v>
      </c>
      <c r="BS6" s="535"/>
      <c r="BT6" s="535"/>
      <c r="BU6" s="535">
        <v>0</v>
      </c>
      <c r="BV6" s="536">
        <f>+SUM(BR6:BU6)</f>
        <v>0</v>
      </c>
      <c r="BW6" s="531"/>
      <c r="BY6" s="534" t="s">
        <v>615</v>
      </c>
      <c r="BZ6" s="535"/>
      <c r="CA6" s="535"/>
      <c r="CB6" s="535">
        <v>0</v>
      </c>
      <c r="CC6" s="536">
        <f>+SUM(BY6:CB6)</f>
        <v>0</v>
      </c>
      <c r="CD6" s="531"/>
      <c r="CF6" s="534" t="s">
        <v>615</v>
      </c>
      <c r="CG6" s="535"/>
      <c r="CH6" s="535"/>
      <c r="CI6" s="535">
        <v>0</v>
      </c>
      <c r="CJ6" s="536">
        <f>+SUM(CF6:CI6)</f>
        <v>0</v>
      </c>
      <c r="CK6" s="531"/>
      <c r="CN6" s="534" t="s">
        <v>615</v>
      </c>
      <c r="CO6" s="535"/>
      <c r="CP6" s="535"/>
      <c r="CQ6" s="535">
        <v>0</v>
      </c>
      <c r="CR6" s="536">
        <f>+SUM(CN6:CQ6)</f>
        <v>0</v>
      </c>
      <c r="CS6" s="531"/>
    </row>
    <row r="7" spans="1:97" ht="16" x14ac:dyDescent="0.2">
      <c r="A7" s="531"/>
      <c r="B7" s="531"/>
      <c r="C7" s="537" t="s">
        <v>499</v>
      </c>
      <c r="D7" s="538"/>
      <c r="E7" s="538">
        <f>SUM('Coûts de product° Agricole'!C17)*657</f>
        <v>331418.2609710744</v>
      </c>
      <c r="F7" s="539">
        <f>SUM(E7)</f>
        <v>331418.2609710744</v>
      </c>
      <c r="G7" s="540"/>
      <c r="H7" s="531"/>
      <c r="I7" s="531"/>
      <c r="J7" s="531"/>
      <c r="K7" s="537" t="s">
        <v>506</v>
      </c>
      <c r="L7" s="538">
        <f>SUM('Coûts de product° Agricole'!C35)*657</f>
        <v>327710.02537190082</v>
      </c>
      <c r="M7" s="538">
        <f>SUM(L7)</f>
        <v>327710.02537190082</v>
      </c>
      <c r="N7" s="539">
        <f>SUM(M7)</f>
        <v>327710.02537190082</v>
      </c>
      <c r="O7" s="540"/>
      <c r="P7" s="531"/>
      <c r="Q7" s="531"/>
      <c r="R7" s="531"/>
      <c r="S7" s="531"/>
      <c r="T7" s="537" t="s">
        <v>504</v>
      </c>
      <c r="U7" s="538">
        <f>SUM('Coûts de product° Agricole'!C53)*657</f>
        <v>452321.47785123973</v>
      </c>
      <c r="V7" s="538">
        <f>SUM(U7)</f>
        <v>452321.47785123973</v>
      </c>
      <c r="W7" s="539">
        <f>SUM(V7)</f>
        <v>452321.47785123973</v>
      </c>
      <c r="X7" s="540"/>
      <c r="Y7" s="531"/>
      <c r="Z7" s="531"/>
      <c r="AA7" s="531"/>
      <c r="AB7" s="537" t="s">
        <v>507</v>
      </c>
      <c r="AC7" s="538">
        <f>SUM('Coûts de product° Agricole'!C71)*657</f>
        <v>153373.29712809919</v>
      </c>
      <c r="AD7" s="538"/>
      <c r="AE7" s="539">
        <v>0</v>
      </c>
      <c r="AF7" s="540"/>
      <c r="AG7" s="531"/>
      <c r="AH7" s="531"/>
      <c r="AI7" s="599" t="s">
        <v>526</v>
      </c>
      <c r="AJ7" s="538">
        <f>SUM('Coûts de product° Agricole'!C91)*657</f>
        <v>1475365.444214876</v>
      </c>
      <c r="AK7" s="538"/>
      <c r="AL7" s="539">
        <v>0</v>
      </c>
      <c r="AM7" s="540"/>
      <c r="AN7" s="531"/>
      <c r="AP7" s="599" t="s">
        <v>527</v>
      </c>
      <c r="AQ7" s="538">
        <f>SUM('Coûts de product° Agricole'!C109)*657</f>
        <v>203562.87099173549</v>
      </c>
      <c r="AR7" s="538"/>
      <c r="AS7" s="539">
        <v>0</v>
      </c>
      <c r="AT7" s="540"/>
      <c r="AU7" s="531"/>
      <c r="AW7" s="599" t="s">
        <v>537</v>
      </c>
      <c r="AX7" s="538">
        <f>SUM('Coûts de product° Agricole'!C127)*657</f>
        <v>896757.48966942145</v>
      </c>
      <c r="AY7" s="538"/>
      <c r="AZ7" s="539">
        <v>0</v>
      </c>
      <c r="BA7" s="540"/>
      <c r="BB7" s="531"/>
      <c r="BD7" s="599" t="s">
        <v>546</v>
      </c>
      <c r="BE7" s="538">
        <f>SUM('Coûts de product° Agricole'!C145)*657</f>
        <v>2890070.3770661158</v>
      </c>
      <c r="BF7" s="538"/>
      <c r="BG7" s="539">
        <v>0</v>
      </c>
      <c r="BH7" s="540"/>
      <c r="BI7" s="531"/>
      <c r="BK7" s="599" t="s">
        <v>558</v>
      </c>
      <c r="BL7" s="538">
        <f>SUM('Coûts de product° Agricole'!C163)*657</f>
        <v>3104715.2634297521</v>
      </c>
      <c r="BM7" s="538"/>
      <c r="BN7" s="539">
        <v>0</v>
      </c>
      <c r="BO7" s="540"/>
      <c r="BP7" s="531"/>
      <c r="BR7" s="599" t="s">
        <v>559</v>
      </c>
      <c r="BS7" s="538">
        <f>SUM('Coûts de product° Agricole'!C181)*657</f>
        <v>1053822.570247934</v>
      </c>
      <c r="BT7" s="538"/>
      <c r="BU7" s="539">
        <v>0</v>
      </c>
      <c r="BV7" s="540"/>
      <c r="BW7" s="531"/>
      <c r="BY7" s="599" t="s">
        <v>571</v>
      </c>
      <c r="BZ7" s="538">
        <f>SUM('Coûts de product° Agricole'!C199)*657</f>
        <v>548466.58636363631</v>
      </c>
      <c r="CA7" s="538"/>
      <c r="CB7" s="539">
        <v>0</v>
      </c>
      <c r="CC7" s="540"/>
      <c r="CD7" s="531"/>
      <c r="CF7" s="599" t="s">
        <v>612</v>
      </c>
      <c r="CG7" s="538">
        <f>SUM(CE12)*CE13</f>
        <v>1250000</v>
      </c>
      <c r="CH7" s="538"/>
      <c r="CI7" s="539">
        <v>0</v>
      </c>
      <c r="CJ7" s="540"/>
      <c r="CK7" s="531"/>
      <c r="CN7" s="599" t="s">
        <v>626</v>
      </c>
      <c r="CO7" s="538">
        <f>SUM(CM12)*CM13</f>
        <v>600000</v>
      </c>
      <c r="CP7" s="538"/>
      <c r="CQ7" s="539">
        <v>0</v>
      </c>
      <c r="CR7" s="540"/>
      <c r="CS7" s="531"/>
    </row>
    <row r="8" spans="1:97" ht="16" x14ac:dyDescent="0.2">
      <c r="A8" s="531"/>
      <c r="B8" s="531"/>
      <c r="C8" s="95" t="s">
        <v>7</v>
      </c>
      <c r="D8" s="530">
        <f>+D7*D6</f>
        <v>0</v>
      </c>
      <c r="E8" s="530">
        <f>+E7*E6</f>
        <v>0</v>
      </c>
      <c r="F8" s="541">
        <f>+F7*F6</f>
        <v>0</v>
      </c>
      <c r="G8" s="540"/>
      <c r="H8" s="531"/>
      <c r="I8" s="531"/>
      <c r="J8" s="531"/>
      <c r="K8" s="95" t="s">
        <v>7</v>
      </c>
      <c r="L8" s="530">
        <f>+L7*L6</f>
        <v>0</v>
      </c>
      <c r="M8" s="530">
        <f>+M7*M6</f>
        <v>0</v>
      </c>
      <c r="N8" s="541">
        <f>+N7*N6</f>
        <v>0</v>
      </c>
      <c r="O8" s="540"/>
      <c r="P8" s="531"/>
      <c r="Q8" s="531"/>
      <c r="R8" s="531"/>
      <c r="S8" s="531"/>
      <c r="T8" s="95" t="s">
        <v>7</v>
      </c>
      <c r="U8" s="530">
        <f>+U7*U6</f>
        <v>0</v>
      </c>
      <c r="V8" s="530">
        <f>+V7*V6</f>
        <v>0</v>
      </c>
      <c r="W8" s="541">
        <f>+W7*W6</f>
        <v>0</v>
      </c>
      <c r="X8" s="540"/>
      <c r="Y8" s="531"/>
      <c r="Z8" s="531"/>
      <c r="AA8" s="531"/>
      <c r="AB8" s="95" t="s">
        <v>7</v>
      </c>
      <c r="AC8" s="530">
        <f>+AC7*AC6</f>
        <v>0</v>
      </c>
      <c r="AD8" s="530">
        <f>+AD7*AD6</f>
        <v>0</v>
      </c>
      <c r="AE8" s="541">
        <f>+AE7*AE6</f>
        <v>0</v>
      </c>
      <c r="AF8" s="540"/>
      <c r="AG8" s="531"/>
      <c r="AH8" s="531"/>
      <c r="AI8" s="95" t="s">
        <v>7</v>
      </c>
      <c r="AJ8" s="530">
        <f>+AJ7*AJ6</f>
        <v>0</v>
      </c>
      <c r="AK8" s="530">
        <f>+AK7*AK6</f>
        <v>0</v>
      </c>
      <c r="AL8" s="541">
        <f>+AL7*AL6</f>
        <v>0</v>
      </c>
      <c r="AM8" s="540"/>
      <c r="AN8" s="531"/>
      <c r="AP8" s="95" t="s">
        <v>7</v>
      </c>
      <c r="AQ8" s="530">
        <f>+AQ7*AQ6</f>
        <v>0</v>
      </c>
      <c r="AR8" s="530">
        <f>+AR7*AR6</f>
        <v>0</v>
      </c>
      <c r="AS8" s="541">
        <f>+AS7*AS6</f>
        <v>0</v>
      </c>
      <c r="AT8" s="540"/>
      <c r="AU8" s="531"/>
      <c r="AW8" s="95" t="s">
        <v>7</v>
      </c>
      <c r="AX8" s="530">
        <f>+AX7*AX6</f>
        <v>0</v>
      </c>
      <c r="AY8" s="530">
        <f>+AY7*AY6</f>
        <v>0</v>
      </c>
      <c r="AZ8" s="541">
        <f>+AZ7*AZ6</f>
        <v>0</v>
      </c>
      <c r="BA8" s="540"/>
      <c r="BB8" s="531"/>
      <c r="BD8" s="95" t="s">
        <v>7</v>
      </c>
      <c r="BE8" s="530">
        <f>+BE7*BE6</f>
        <v>0</v>
      </c>
      <c r="BF8" s="530">
        <f>+BF7*BF6</f>
        <v>0</v>
      </c>
      <c r="BG8" s="541">
        <f>+BG7*BG6</f>
        <v>0</v>
      </c>
      <c r="BH8" s="540"/>
      <c r="BI8" s="531"/>
      <c r="BK8" s="95" t="s">
        <v>7</v>
      </c>
      <c r="BL8" s="530">
        <f>+BL7*BL6</f>
        <v>0</v>
      </c>
      <c r="BM8" s="530">
        <f>+BM7*BM6</f>
        <v>0</v>
      </c>
      <c r="BN8" s="541">
        <f>+BN7*BN6</f>
        <v>0</v>
      </c>
      <c r="BO8" s="540"/>
      <c r="BP8" s="531"/>
      <c r="BR8" s="95" t="s">
        <v>7</v>
      </c>
      <c r="BS8" s="530">
        <f>+BS7*BS6</f>
        <v>0</v>
      </c>
      <c r="BT8" s="530">
        <f>+BT7*BT6</f>
        <v>0</v>
      </c>
      <c r="BU8" s="541">
        <f>+BU7*BU6</f>
        <v>0</v>
      </c>
      <c r="BV8" s="540"/>
      <c r="BW8" s="531"/>
      <c r="BY8" s="95" t="s">
        <v>7</v>
      </c>
      <c r="BZ8" s="530">
        <f>+BZ7*BZ6</f>
        <v>0</v>
      </c>
      <c r="CA8" s="530">
        <f>+CA7*CA6</f>
        <v>0</v>
      </c>
      <c r="CB8" s="541">
        <f>+CB7*CB6</f>
        <v>0</v>
      </c>
      <c r="CC8" s="540"/>
      <c r="CD8" s="531"/>
      <c r="CF8" s="95" t="s">
        <v>7</v>
      </c>
      <c r="CG8" s="530">
        <f>+CG7*CG6</f>
        <v>0</v>
      </c>
      <c r="CH8" s="530">
        <f>+CH7*CH6</f>
        <v>0</v>
      </c>
      <c r="CI8" s="541">
        <f>+CI7*CI6</f>
        <v>0</v>
      </c>
      <c r="CJ8" s="540"/>
      <c r="CK8" s="531"/>
      <c r="CN8" s="95" t="s">
        <v>7</v>
      </c>
      <c r="CO8" s="530">
        <f>+CO7*CO6</f>
        <v>0</v>
      </c>
      <c r="CP8" s="530">
        <f>+CP7*CP6</f>
        <v>0</v>
      </c>
      <c r="CQ8" s="541">
        <f>+CQ7*CQ6</f>
        <v>0</v>
      </c>
      <c r="CR8" s="540"/>
      <c r="CS8" s="531"/>
    </row>
    <row r="9" spans="1:97" ht="16" x14ac:dyDescent="0.2">
      <c r="A9" s="531"/>
      <c r="B9" s="531"/>
      <c r="C9" s="542" t="s">
        <v>8</v>
      </c>
      <c r="D9" s="538">
        <f>+D8</f>
        <v>0</v>
      </c>
      <c r="E9" s="538">
        <f>+D9+E8</f>
        <v>0</v>
      </c>
      <c r="F9" s="539">
        <f>+E9+F8</f>
        <v>0</v>
      </c>
      <c r="G9" s="540"/>
      <c r="H9" s="531"/>
      <c r="I9" s="531"/>
      <c r="J9" s="531"/>
      <c r="K9" s="542" t="s">
        <v>8</v>
      </c>
      <c r="L9" s="538">
        <f>+L8</f>
        <v>0</v>
      </c>
      <c r="M9" s="538">
        <f>+L9+M8</f>
        <v>0</v>
      </c>
      <c r="N9" s="539">
        <f>+M9+N8</f>
        <v>0</v>
      </c>
      <c r="O9" s="540"/>
      <c r="P9" s="531"/>
      <c r="Q9" s="531"/>
      <c r="R9" s="531"/>
      <c r="S9" s="531"/>
      <c r="T9" s="542" t="s">
        <v>8</v>
      </c>
      <c r="U9" s="538">
        <f>+U8</f>
        <v>0</v>
      </c>
      <c r="V9" s="538">
        <f>+U9+V8</f>
        <v>0</v>
      </c>
      <c r="W9" s="539">
        <f>+V9+W8</f>
        <v>0</v>
      </c>
      <c r="X9" s="540"/>
      <c r="Y9" s="531"/>
      <c r="Z9" s="531"/>
      <c r="AA9" s="531"/>
      <c r="AB9" s="542" t="s">
        <v>8</v>
      </c>
      <c r="AC9" s="538">
        <f>+AC8</f>
        <v>0</v>
      </c>
      <c r="AD9" s="538">
        <f>+AC9+AD8</f>
        <v>0</v>
      </c>
      <c r="AE9" s="539">
        <f>+AD9+AE8</f>
        <v>0</v>
      </c>
      <c r="AF9" s="540"/>
      <c r="AG9" s="531"/>
      <c r="AH9" s="531"/>
      <c r="AI9" s="542" t="s">
        <v>8</v>
      </c>
      <c r="AJ9" s="538">
        <f>+AJ8</f>
        <v>0</v>
      </c>
      <c r="AK9" s="538">
        <f>+AJ9+AK8</f>
        <v>0</v>
      </c>
      <c r="AL9" s="539">
        <f>+AK9+AL8</f>
        <v>0</v>
      </c>
      <c r="AM9" s="540"/>
      <c r="AN9" s="531"/>
      <c r="AP9" s="542" t="s">
        <v>8</v>
      </c>
      <c r="AQ9" s="538">
        <f>+AQ8</f>
        <v>0</v>
      </c>
      <c r="AR9" s="538">
        <f>+AQ9+AR8</f>
        <v>0</v>
      </c>
      <c r="AS9" s="539">
        <f>+AR9+AS8</f>
        <v>0</v>
      </c>
      <c r="AT9" s="540"/>
      <c r="AU9" s="531"/>
      <c r="AW9" s="542" t="s">
        <v>8</v>
      </c>
      <c r="AX9" s="538">
        <f>+AX8</f>
        <v>0</v>
      </c>
      <c r="AY9" s="538">
        <f>+AX9+AY8</f>
        <v>0</v>
      </c>
      <c r="AZ9" s="539">
        <f>+AY9+AZ8</f>
        <v>0</v>
      </c>
      <c r="BA9" s="540"/>
      <c r="BB9" s="531"/>
      <c r="BD9" s="542" t="s">
        <v>8</v>
      </c>
      <c r="BE9" s="538">
        <f>+BE8</f>
        <v>0</v>
      </c>
      <c r="BF9" s="538">
        <f>+BE9+BF8</f>
        <v>0</v>
      </c>
      <c r="BG9" s="539">
        <f>+BF9+BG8</f>
        <v>0</v>
      </c>
      <c r="BH9" s="540"/>
      <c r="BI9" s="531"/>
      <c r="BK9" s="542" t="s">
        <v>8</v>
      </c>
      <c r="BL9" s="538">
        <f>+BL8</f>
        <v>0</v>
      </c>
      <c r="BM9" s="538">
        <f>+BL9+BM8</f>
        <v>0</v>
      </c>
      <c r="BN9" s="539">
        <f>+BM9+BN8</f>
        <v>0</v>
      </c>
      <c r="BO9" s="540"/>
      <c r="BP9" s="531"/>
      <c r="BR9" s="542" t="s">
        <v>8</v>
      </c>
      <c r="BS9" s="538">
        <f>+BS8</f>
        <v>0</v>
      </c>
      <c r="BT9" s="538">
        <f>+BS9+BT8</f>
        <v>0</v>
      </c>
      <c r="BU9" s="539">
        <f>+BT9+BU8</f>
        <v>0</v>
      </c>
      <c r="BV9" s="540"/>
      <c r="BW9" s="531"/>
      <c r="BY9" s="542" t="s">
        <v>8</v>
      </c>
      <c r="BZ9" s="538">
        <f>+BZ8</f>
        <v>0</v>
      </c>
      <c r="CA9" s="538">
        <f>+BZ9+CA8</f>
        <v>0</v>
      </c>
      <c r="CB9" s="539">
        <f>+CA9+CB8</f>
        <v>0</v>
      </c>
      <c r="CC9" s="540"/>
      <c r="CD9" s="531"/>
      <c r="CF9" s="542" t="s">
        <v>8</v>
      </c>
      <c r="CG9" s="538">
        <f>+CG8</f>
        <v>0</v>
      </c>
      <c r="CH9" s="538">
        <f>+CG9+CH8</f>
        <v>0</v>
      </c>
      <c r="CI9" s="539">
        <f>+CH9+CI8</f>
        <v>0</v>
      </c>
      <c r="CJ9" s="540"/>
      <c r="CK9" s="531"/>
      <c r="CN9" s="542" t="s">
        <v>8</v>
      </c>
      <c r="CO9" s="538">
        <f>+CO8</f>
        <v>0</v>
      </c>
      <c r="CP9" s="538">
        <f>+CO9+CP8</f>
        <v>0</v>
      </c>
      <c r="CQ9" s="539">
        <f>+CP9+CQ8</f>
        <v>0</v>
      </c>
      <c r="CR9" s="540"/>
      <c r="CS9" s="531"/>
    </row>
    <row r="10" spans="1:97" ht="16" x14ac:dyDescent="0.2">
      <c r="A10" s="531"/>
      <c r="B10" s="531"/>
      <c r="C10" s="543"/>
      <c r="D10" s="544"/>
      <c r="E10" s="544"/>
      <c r="F10" s="536"/>
      <c r="G10" s="540"/>
      <c r="H10" s="531"/>
      <c r="I10" s="531"/>
      <c r="J10" s="531"/>
      <c r="K10" s="543"/>
      <c r="L10" s="544"/>
      <c r="M10" s="544"/>
      <c r="N10" s="536"/>
      <c r="O10" s="540"/>
      <c r="P10" s="531"/>
      <c r="Q10" s="531"/>
      <c r="R10" s="531"/>
      <c r="S10" s="531"/>
      <c r="T10" s="543"/>
      <c r="U10" s="544"/>
      <c r="V10" s="544"/>
      <c r="W10" s="536"/>
      <c r="X10" s="540"/>
      <c r="Y10" s="531"/>
      <c r="Z10" s="531"/>
      <c r="AA10" s="531"/>
      <c r="AB10" s="543"/>
      <c r="AC10" s="544"/>
      <c r="AD10" s="544"/>
      <c r="AE10" s="536"/>
      <c r="AF10" s="540"/>
      <c r="AG10" s="531"/>
      <c r="AH10" s="531"/>
      <c r="AI10" s="543"/>
      <c r="AJ10" s="544"/>
      <c r="AK10" s="544"/>
      <c r="AL10" s="536"/>
      <c r="AM10" s="540"/>
      <c r="AN10" s="531"/>
      <c r="AP10" s="543"/>
      <c r="AQ10" s="544"/>
      <c r="AR10" s="544"/>
      <c r="AS10" s="536"/>
      <c r="AT10" s="540"/>
      <c r="AU10" s="531"/>
      <c r="AW10" s="543"/>
      <c r="AX10" s="544"/>
      <c r="AY10" s="544"/>
      <c r="AZ10" s="536"/>
      <c r="BA10" s="540"/>
      <c r="BB10" s="531"/>
      <c r="BD10" s="543"/>
      <c r="BE10" s="544"/>
      <c r="BF10" s="544"/>
      <c r="BG10" s="536"/>
      <c r="BH10" s="540"/>
      <c r="BI10" s="531"/>
      <c r="BK10" s="543"/>
      <c r="BL10" s="544"/>
      <c r="BM10" s="544"/>
      <c r="BN10" s="536"/>
      <c r="BO10" s="540"/>
      <c r="BP10" s="531"/>
      <c r="BR10" s="543"/>
      <c r="BS10" s="544"/>
      <c r="BT10" s="544"/>
      <c r="BU10" s="536"/>
      <c r="BV10" s="540"/>
      <c r="BW10" s="531"/>
      <c r="BY10" s="543"/>
      <c r="BZ10" s="544"/>
      <c r="CA10" s="544"/>
      <c r="CB10" s="536"/>
      <c r="CC10" s="540"/>
      <c r="CD10" s="531"/>
      <c r="CF10" s="543"/>
      <c r="CG10" s="544"/>
      <c r="CH10" s="544"/>
      <c r="CI10" s="536"/>
      <c r="CJ10" s="540"/>
      <c r="CK10" s="531"/>
      <c r="CN10" s="543"/>
      <c r="CO10" s="544"/>
      <c r="CP10" s="544"/>
      <c r="CQ10" s="536"/>
      <c r="CR10" s="540"/>
      <c r="CS10" s="531"/>
    </row>
    <row r="11" spans="1:97" ht="16" x14ac:dyDescent="0.2">
      <c r="A11" s="531"/>
      <c r="B11" s="531"/>
      <c r="C11" s="545"/>
      <c r="D11" s="535">
        <f>+'[2]Ca...'!C11</f>
        <v>0</v>
      </c>
      <c r="E11" s="535">
        <f>+'[2]Ca...'!D11</f>
        <v>0</v>
      </c>
      <c r="F11" s="535">
        <f>+'[2]Ca...'!E11</f>
        <v>0</v>
      </c>
      <c r="G11" s="540"/>
      <c r="H11" s="531"/>
      <c r="I11" s="531"/>
      <c r="J11" s="531"/>
      <c r="K11" s="545"/>
      <c r="L11" s="535">
        <f>+'[2]Ca...'!K11</f>
        <v>0</v>
      </c>
      <c r="M11" s="535">
        <f>+'[2]Ca...'!L11</f>
        <v>0</v>
      </c>
      <c r="N11" s="535">
        <f>+'[2]Ca...'!M11</f>
        <v>0</v>
      </c>
      <c r="O11" s="540"/>
      <c r="P11" s="531"/>
      <c r="Q11" s="531"/>
      <c r="R11" s="531"/>
      <c r="S11" s="531"/>
      <c r="T11" s="545"/>
      <c r="U11" s="535"/>
      <c r="V11" s="535"/>
      <c r="W11" s="535">
        <f>+'[2]Ca...'!V11</f>
        <v>0</v>
      </c>
      <c r="X11" s="540"/>
      <c r="Y11" s="531"/>
      <c r="Z11" s="531"/>
      <c r="AA11" s="531"/>
      <c r="AB11" s="545"/>
      <c r="AC11" s="535"/>
      <c r="AD11" s="535"/>
      <c r="AE11" s="535"/>
      <c r="AF11" s="540"/>
      <c r="AG11" s="531"/>
      <c r="AH11" s="531"/>
      <c r="AI11" s="545"/>
      <c r="AJ11" s="535"/>
      <c r="AK11" s="535"/>
      <c r="AL11" s="535"/>
      <c r="AM11" s="540"/>
      <c r="AN11" s="531"/>
      <c r="AP11" s="545"/>
      <c r="AQ11" s="535"/>
      <c r="AR11" s="535"/>
      <c r="AS11" s="535"/>
      <c r="AT11" s="540"/>
      <c r="AU11" s="531"/>
      <c r="AW11" s="545"/>
      <c r="AX11" s="535"/>
      <c r="AY11" s="535"/>
      <c r="AZ11" s="535"/>
      <c r="BA11" s="540"/>
      <c r="BB11" s="531"/>
      <c r="BD11" s="545"/>
      <c r="BE11" s="535"/>
      <c r="BF11" s="535"/>
      <c r="BG11" s="535"/>
      <c r="BH11" s="540"/>
      <c r="BI11" s="531"/>
      <c r="BK11" s="545"/>
      <c r="BL11" s="535"/>
      <c r="BM11" s="535"/>
      <c r="BN11" s="535"/>
      <c r="BO11" s="540"/>
      <c r="BP11" s="531"/>
      <c r="BR11" s="545"/>
      <c r="BS11" s="535"/>
      <c r="BT11" s="535"/>
      <c r="BU11" s="535"/>
      <c r="BV11" s="540"/>
      <c r="BW11" s="531"/>
      <c r="BY11" s="545"/>
      <c r="BZ11" s="535"/>
      <c r="CA11" s="535"/>
      <c r="CB11" s="535"/>
      <c r="CC11" s="540"/>
      <c r="CD11" s="531"/>
      <c r="CF11" s="545"/>
      <c r="CG11" s="535"/>
      <c r="CH11" s="535"/>
      <c r="CI11" s="535"/>
      <c r="CJ11" s="540"/>
      <c r="CK11" s="531"/>
      <c r="CN11" s="545"/>
      <c r="CO11" s="535"/>
      <c r="CP11" s="535"/>
      <c r="CQ11" s="535"/>
      <c r="CR11" s="540"/>
      <c r="CS11" s="531"/>
    </row>
    <row r="12" spans="1:97" ht="16" x14ac:dyDescent="0.2">
      <c r="A12" s="531"/>
      <c r="B12" s="531"/>
      <c r="C12" s="537"/>
      <c r="D12" s="538"/>
      <c r="E12" s="538"/>
      <c r="F12" s="539"/>
      <c r="G12" s="536">
        <f>+SUM(C12:F12)</f>
        <v>0</v>
      </c>
      <c r="H12" s="531"/>
      <c r="I12" s="531"/>
      <c r="J12" s="531"/>
      <c r="K12" s="537"/>
      <c r="L12" s="538"/>
      <c r="M12" s="538"/>
      <c r="N12" s="539"/>
      <c r="O12" s="536">
        <f>+SUM(K12:N12)</f>
        <v>0</v>
      </c>
      <c r="P12" s="531"/>
      <c r="Q12" s="531"/>
      <c r="R12" s="531"/>
      <c r="S12" s="531"/>
      <c r="T12" s="537"/>
      <c r="U12" s="538"/>
      <c r="V12" s="538"/>
      <c r="W12" s="539"/>
      <c r="X12" s="536">
        <f>+SUM(T12:W12)</f>
        <v>0</v>
      </c>
      <c r="Y12" s="531"/>
      <c r="Z12" s="531"/>
      <c r="AA12" s="531"/>
      <c r="AB12" s="537"/>
      <c r="AC12" s="538"/>
      <c r="AD12" s="538"/>
      <c r="AE12" s="539"/>
      <c r="AF12" s="536">
        <f>+SUM(AB12:AE12)</f>
        <v>0</v>
      </c>
      <c r="AG12" s="531"/>
      <c r="AH12" s="531"/>
      <c r="AI12" s="537"/>
      <c r="AJ12" s="538"/>
      <c r="AK12" s="538"/>
      <c r="AL12" s="539"/>
      <c r="AM12" s="536">
        <f>+SUM(AI12:AL12)</f>
        <v>0</v>
      </c>
      <c r="AN12" s="531"/>
      <c r="AP12" s="537"/>
      <c r="AQ12" s="538"/>
      <c r="AR12" s="538"/>
      <c r="AS12" s="539"/>
      <c r="AT12" s="536">
        <f>+SUM(AP12:AS12)</f>
        <v>0</v>
      </c>
      <c r="AU12" s="531"/>
      <c r="AW12" s="537"/>
      <c r="AX12" s="538"/>
      <c r="AY12" s="538"/>
      <c r="AZ12" s="539"/>
      <c r="BA12" s="536">
        <f>+SUM(AW12:AZ12)</f>
        <v>0</v>
      </c>
      <c r="BB12" s="531"/>
      <c r="BD12" s="537"/>
      <c r="BE12" s="538"/>
      <c r="BF12" s="538"/>
      <c r="BG12" s="539"/>
      <c r="BH12" s="536">
        <f>+SUM(BD12:BG12)</f>
        <v>0</v>
      </c>
      <c r="BI12" s="531"/>
      <c r="BK12" s="537"/>
      <c r="BL12" s="538"/>
      <c r="BM12" s="538"/>
      <c r="BN12" s="539"/>
      <c r="BO12" s="536">
        <f>+SUM(BK12:BN12)</f>
        <v>0</v>
      </c>
      <c r="BP12" s="531"/>
      <c r="BR12" s="537"/>
      <c r="BS12" s="538"/>
      <c r="BT12" s="538"/>
      <c r="BU12" s="539"/>
      <c r="BV12" s="536">
        <f>+SUM(BR12:BU12)</f>
        <v>0</v>
      </c>
      <c r="BW12" s="531"/>
      <c r="BY12" s="537"/>
      <c r="BZ12" s="538"/>
      <c r="CA12" s="538"/>
      <c r="CB12" s="539"/>
      <c r="CC12" s="536">
        <f>+SUM(BY12:CB12)</f>
        <v>0</v>
      </c>
      <c r="CD12" s="531"/>
      <c r="CE12">
        <v>500</v>
      </c>
      <c r="CF12" s="599" t="s">
        <v>613</v>
      </c>
      <c r="CG12" s="538"/>
      <c r="CH12" s="538"/>
      <c r="CI12" s="539"/>
      <c r="CJ12" s="536">
        <f>+SUM(CF12:CI12)</f>
        <v>0</v>
      </c>
      <c r="CK12" s="531"/>
      <c r="CM12">
        <v>2000</v>
      </c>
      <c r="CN12" s="599" t="s">
        <v>617</v>
      </c>
      <c r="CO12" s="538"/>
      <c r="CP12" s="538"/>
      <c r="CQ12" s="539"/>
      <c r="CR12" s="536">
        <f>+SUM(CN12:CQ12)</f>
        <v>0</v>
      </c>
      <c r="CS12" s="531"/>
    </row>
    <row r="13" spans="1:97" ht="16" x14ac:dyDescent="0.2">
      <c r="A13" s="531"/>
      <c r="B13" s="531"/>
      <c r="C13" s="543"/>
      <c r="D13" s="530"/>
      <c r="E13" s="530"/>
      <c r="F13" s="541"/>
      <c r="G13" s="540"/>
      <c r="H13" s="531"/>
      <c r="I13" s="531"/>
      <c r="J13" s="531"/>
      <c r="K13" s="543"/>
      <c r="L13" s="530"/>
      <c r="M13" s="530"/>
      <c r="N13" s="541"/>
      <c r="O13" s="540"/>
      <c r="P13" s="531"/>
      <c r="Q13" s="531"/>
      <c r="R13" s="531"/>
      <c r="S13" s="531"/>
      <c r="T13" s="543"/>
      <c r="U13" s="530"/>
      <c r="V13" s="530"/>
      <c r="W13" s="541"/>
      <c r="X13" s="540"/>
      <c r="Y13" s="531"/>
      <c r="Z13" s="531"/>
      <c r="AA13" s="531"/>
      <c r="AB13" s="543"/>
      <c r="AC13" s="530"/>
      <c r="AD13" s="530"/>
      <c r="AE13" s="541"/>
      <c r="AF13" s="540"/>
      <c r="AG13" s="531"/>
      <c r="AH13" s="531"/>
      <c r="AI13" s="543"/>
      <c r="AJ13" s="530"/>
      <c r="AK13" s="530"/>
      <c r="AL13" s="541"/>
      <c r="AM13" s="540"/>
      <c r="AN13" s="531"/>
      <c r="AP13" s="543"/>
      <c r="AQ13" s="530"/>
      <c r="AR13" s="530"/>
      <c r="AS13" s="541"/>
      <c r="AT13" s="540"/>
      <c r="AU13" s="531"/>
      <c r="AW13" s="543"/>
      <c r="AX13" s="530"/>
      <c r="AY13" s="530"/>
      <c r="AZ13" s="541"/>
      <c r="BA13" s="540"/>
      <c r="BB13" s="531"/>
      <c r="BD13" s="543"/>
      <c r="BE13" s="530"/>
      <c r="BF13" s="530"/>
      <c r="BG13" s="541"/>
      <c r="BH13" s="540"/>
      <c r="BI13" s="531"/>
      <c r="BK13" s="543"/>
      <c r="BL13" s="530"/>
      <c r="BM13" s="530"/>
      <c r="BN13" s="541"/>
      <c r="BO13" s="540"/>
      <c r="BP13" s="531"/>
      <c r="BR13" s="543"/>
      <c r="BS13" s="530"/>
      <c r="BT13" s="530"/>
      <c r="BU13" s="541"/>
      <c r="BV13" s="540"/>
      <c r="BW13" s="531"/>
      <c r="BY13" s="543"/>
      <c r="BZ13" s="530"/>
      <c r="CA13" s="530"/>
      <c r="CB13" s="541"/>
      <c r="CC13" s="540"/>
      <c r="CD13" s="531"/>
      <c r="CE13">
        <v>2500</v>
      </c>
      <c r="CF13" s="644" t="s">
        <v>614</v>
      </c>
      <c r="CG13" s="530"/>
      <c r="CH13" s="530"/>
      <c r="CI13" s="541"/>
      <c r="CJ13" s="540"/>
      <c r="CK13" s="531"/>
      <c r="CM13">
        <v>300</v>
      </c>
      <c r="CN13" s="644" t="s">
        <v>625</v>
      </c>
      <c r="CO13" s="530"/>
      <c r="CP13" s="530"/>
      <c r="CQ13" s="541"/>
      <c r="CR13" s="540"/>
      <c r="CS13" s="531"/>
    </row>
    <row r="14" spans="1:97" ht="16" x14ac:dyDescent="0.2">
      <c r="A14" s="531"/>
      <c r="B14" s="531"/>
      <c r="C14" s="546"/>
      <c r="D14" s="538">
        <f>+D13*D12</f>
        <v>0</v>
      </c>
      <c r="E14" s="538">
        <f>+E13*E12</f>
        <v>0</v>
      </c>
      <c r="F14" s="539">
        <f>+F13*F12</f>
        <v>0</v>
      </c>
      <c r="G14" s="540"/>
      <c r="H14" s="531"/>
      <c r="I14" s="531"/>
      <c r="J14" s="531"/>
      <c r="K14" s="546"/>
      <c r="L14" s="538">
        <f>+L13*L12</f>
        <v>0</v>
      </c>
      <c r="M14" s="538">
        <f>+M13*M12</f>
        <v>0</v>
      </c>
      <c r="N14" s="539">
        <f>+N13*N12</f>
        <v>0</v>
      </c>
      <c r="O14" s="540"/>
      <c r="P14" s="531"/>
      <c r="Q14" s="531"/>
      <c r="R14" s="531"/>
      <c r="S14" s="531"/>
      <c r="T14" s="546"/>
      <c r="U14" s="538">
        <f>+U13*U12</f>
        <v>0</v>
      </c>
      <c r="V14" s="538">
        <f>+V13*V12</f>
        <v>0</v>
      </c>
      <c r="W14" s="539">
        <f>+W13*W12</f>
        <v>0</v>
      </c>
      <c r="X14" s="540"/>
      <c r="Y14" s="531"/>
      <c r="Z14" s="531"/>
      <c r="AA14" s="531"/>
      <c r="AB14" s="546"/>
      <c r="AC14" s="538">
        <f>+AC13*AC12</f>
        <v>0</v>
      </c>
      <c r="AD14" s="538">
        <f>+AD13*AD12</f>
        <v>0</v>
      </c>
      <c r="AE14" s="539">
        <f>+AE13*AE12</f>
        <v>0</v>
      </c>
      <c r="AF14" s="540"/>
      <c r="AG14" s="531"/>
      <c r="AH14" s="531"/>
      <c r="AI14" s="546"/>
      <c r="AJ14" s="538">
        <f>+AJ13*AJ12</f>
        <v>0</v>
      </c>
      <c r="AK14" s="538">
        <f>+AK13*AK12</f>
        <v>0</v>
      </c>
      <c r="AL14" s="539">
        <f>+AL13*AL12</f>
        <v>0</v>
      </c>
      <c r="AM14" s="540"/>
      <c r="AN14" s="531"/>
      <c r="AP14" s="546"/>
      <c r="AQ14" s="538">
        <f>+AQ13*AQ12</f>
        <v>0</v>
      </c>
      <c r="AR14" s="538">
        <f>+AR13*AR12</f>
        <v>0</v>
      </c>
      <c r="AS14" s="539">
        <f>+AS13*AS12</f>
        <v>0</v>
      </c>
      <c r="AT14" s="540"/>
      <c r="AU14" s="531"/>
      <c r="AW14" s="546"/>
      <c r="AX14" s="538">
        <f>+AX13*AX12</f>
        <v>0</v>
      </c>
      <c r="AY14" s="538">
        <f>+AY13*AY12</f>
        <v>0</v>
      </c>
      <c r="AZ14" s="539">
        <f>+AZ13*AZ12</f>
        <v>0</v>
      </c>
      <c r="BA14" s="540"/>
      <c r="BB14" s="531"/>
      <c r="BD14" s="546"/>
      <c r="BE14" s="538">
        <f>+BE13*BE12</f>
        <v>0</v>
      </c>
      <c r="BF14" s="538">
        <f>+BF13*BF12</f>
        <v>0</v>
      </c>
      <c r="BG14" s="539">
        <f>+BG13*BG12</f>
        <v>0</v>
      </c>
      <c r="BH14" s="540"/>
      <c r="BI14" s="531"/>
      <c r="BK14" s="546"/>
      <c r="BL14" s="538">
        <f>+BL13*BL12</f>
        <v>0</v>
      </c>
      <c r="BM14" s="538">
        <f>+BM13*BM12</f>
        <v>0</v>
      </c>
      <c r="BN14" s="539">
        <f>+BN13*BN12</f>
        <v>0</v>
      </c>
      <c r="BO14" s="540"/>
      <c r="BP14" s="531"/>
      <c r="BR14" s="546"/>
      <c r="BS14" s="538">
        <f>+BS13*BS12</f>
        <v>0</v>
      </c>
      <c r="BT14" s="538">
        <f>+BT13*BT12</f>
        <v>0</v>
      </c>
      <c r="BU14" s="539">
        <f>+BU13*BU12</f>
        <v>0</v>
      </c>
      <c r="BV14" s="540"/>
      <c r="BW14" s="531"/>
      <c r="BY14" s="546"/>
      <c r="BZ14" s="538">
        <f>+BZ13*BZ12</f>
        <v>0</v>
      </c>
      <c r="CA14" s="538">
        <f>+CA13*CA12</f>
        <v>0</v>
      </c>
      <c r="CB14" s="539">
        <f>+CB13*CB12</f>
        <v>0</v>
      </c>
      <c r="CC14" s="540"/>
      <c r="CD14" s="531"/>
      <c r="CF14" s="546"/>
      <c r="CG14" s="538">
        <f>+CG13*CG12</f>
        <v>0</v>
      </c>
      <c r="CH14" s="538">
        <f>+CH13*CH12</f>
        <v>0</v>
      </c>
      <c r="CI14" s="539">
        <f>+CI13*CI12</f>
        <v>0</v>
      </c>
      <c r="CJ14" s="540"/>
      <c r="CK14" s="531"/>
      <c r="CN14" s="546"/>
      <c r="CO14" s="538">
        <f>+CO13*CO12</f>
        <v>0</v>
      </c>
      <c r="CP14" s="538">
        <f>+CP13*CP12</f>
        <v>0</v>
      </c>
      <c r="CQ14" s="539">
        <f>+CQ13*CQ12</f>
        <v>0</v>
      </c>
      <c r="CR14" s="540"/>
      <c r="CS14" s="531"/>
    </row>
    <row r="15" spans="1:97" ht="16" x14ac:dyDescent="0.2">
      <c r="A15" s="531"/>
      <c r="B15" s="531"/>
      <c r="C15" s="547"/>
      <c r="D15" s="548">
        <f>+D14</f>
        <v>0</v>
      </c>
      <c r="E15" s="548">
        <f>+D15+E14</f>
        <v>0</v>
      </c>
      <c r="F15" s="549">
        <f>+E15+F14</f>
        <v>0</v>
      </c>
      <c r="G15" s="540"/>
      <c r="H15" s="531"/>
      <c r="I15" s="531"/>
      <c r="J15" s="531"/>
      <c r="K15" s="547"/>
      <c r="L15" s="548">
        <f>+L14</f>
        <v>0</v>
      </c>
      <c r="M15" s="548">
        <f>+L15+M14</f>
        <v>0</v>
      </c>
      <c r="N15" s="549">
        <f>+M15+N14</f>
        <v>0</v>
      </c>
      <c r="O15" s="540"/>
      <c r="P15" s="531"/>
      <c r="Q15" s="531"/>
      <c r="R15" s="531"/>
      <c r="S15" s="531"/>
      <c r="T15" s="547"/>
      <c r="U15" s="548">
        <f>+U14</f>
        <v>0</v>
      </c>
      <c r="V15" s="548">
        <f>+U15+V14</f>
        <v>0</v>
      </c>
      <c r="W15" s="549">
        <f>+V15+W14</f>
        <v>0</v>
      </c>
      <c r="X15" s="540"/>
      <c r="Y15" s="531"/>
      <c r="Z15" s="531"/>
      <c r="AA15" s="531"/>
      <c r="AB15" s="547"/>
      <c r="AC15" s="548">
        <f>+AC14</f>
        <v>0</v>
      </c>
      <c r="AD15" s="548">
        <f>+AC15+AD14</f>
        <v>0</v>
      </c>
      <c r="AE15" s="549">
        <f>+AD15+AE14</f>
        <v>0</v>
      </c>
      <c r="AF15" s="540"/>
      <c r="AG15" s="531"/>
      <c r="AH15" s="531"/>
      <c r="AI15" s="547"/>
      <c r="AJ15" s="548">
        <f>+AJ14</f>
        <v>0</v>
      </c>
      <c r="AK15" s="548">
        <f>+AJ15+AK14</f>
        <v>0</v>
      </c>
      <c r="AL15" s="549">
        <f>+AK15+AL14</f>
        <v>0</v>
      </c>
      <c r="AM15" s="540"/>
      <c r="AN15" s="531"/>
      <c r="AP15" s="547"/>
      <c r="AQ15" s="548">
        <f>+AQ14</f>
        <v>0</v>
      </c>
      <c r="AR15" s="548">
        <f>+AQ15+AR14</f>
        <v>0</v>
      </c>
      <c r="AS15" s="549">
        <f>+AR15+AS14</f>
        <v>0</v>
      </c>
      <c r="AT15" s="540"/>
      <c r="AU15" s="531"/>
      <c r="AW15" s="547"/>
      <c r="AX15" s="548">
        <f>+AX14</f>
        <v>0</v>
      </c>
      <c r="AY15" s="548">
        <f>+AX15+AY14</f>
        <v>0</v>
      </c>
      <c r="AZ15" s="549">
        <f>+AY15+AZ14</f>
        <v>0</v>
      </c>
      <c r="BA15" s="540"/>
      <c r="BB15" s="531"/>
      <c r="BD15" s="547"/>
      <c r="BE15" s="548">
        <f>+BE14</f>
        <v>0</v>
      </c>
      <c r="BF15" s="548">
        <f>+BE15+BF14</f>
        <v>0</v>
      </c>
      <c r="BG15" s="549">
        <f>+BF15+BG14</f>
        <v>0</v>
      </c>
      <c r="BH15" s="540"/>
      <c r="BI15" s="531"/>
      <c r="BK15" s="547"/>
      <c r="BL15" s="548">
        <f>+BL14</f>
        <v>0</v>
      </c>
      <c r="BM15" s="548">
        <f>+BL15+BM14</f>
        <v>0</v>
      </c>
      <c r="BN15" s="549">
        <f>+BM15+BN14</f>
        <v>0</v>
      </c>
      <c r="BO15" s="540"/>
      <c r="BP15" s="531"/>
      <c r="BR15" s="547"/>
      <c r="BS15" s="548">
        <f>+BS14</f>
        <v>0</v>
      </c>
      <c r="BT15" s="548">
        <f>+BS15+BT14</f>
        <v>0</v>
      </c>
      <c r="BU15" s="549">
        <f>+BT15+BU14</f>
        <v>0</v>
      </c>
      <c r="BV15" s="540"/>
      <c r="BW15" s="531"/>
      <c r="BY15" s="547"/>
      <c r="BZ15" s="548">
        <f>+BZ14</f>
        <v>0</v>
      </c>
      <c r="CA15" s="548">
        <f>+BZ15+CA14</f>
        <v>0</v>
      </c>
      <c r="CB15" s="549">
        <f>+CA15+CB14</f>
        <v>0</v>
      </c>
      <c r="CC15" s="540"/>
      <c r="CD15" s="531"/>
      <c r="CF15" s="543"/>
      <c r="CG15" s="548">
        <f>+CG14</f>
        <v>0</v>
      </c>
      <c r="CH15" s="548">
        <f>+CG15+CH14</f>
        <v>0</v>
      </c>
      <c r="CI15" s="549">
        <f>+CH15+CI14</f>
        <v>0</v>
      </c>
      <c r="CJ15" s="540"/>
      <c r="CK15" s="531"/>
      <c r="CN15" s="543"/>
      <c r="CO15" s="548">
        <f>+CO14</f>
        <v>0</v>
      </c>
      <c r="CP15" s="548">
        <f>+CO15+CP14</f>
        <v>0</v>
      </c>
      <c r="CQ15" s="549">
        <f>+CP15+CQ14</f>
        <v>0</v>
      </c>
      <c r="CR15" s="540"/>
      <c r="CS15" s="531"/>
    </row>
    <row r="16" spans="1:97" ht="16" x14ac:dyDescent="0.2">
      <c r="A16" s="531"/>
      <c r="B16" s="531"/>
      <c r="C16" s="543"/>
      <c r="D16" s="544"/>
      <c r="E16" s="544"/>
      <c r="F16" s="536"/>
      <c r="G16" s="540"/>
      <c r="H16" s="531"/>
      <c r="I16" s="531"/>
      <c r="J16" s="531"/>
      <c r="K16" s="543"/>
      <c r="L16" s="544"/>
      <c r="M16" s="544"/>
      <c r="N16" s="536"/>
      <c r="O16" s="540"/>
      <c r="P16" s="531"/>
      <c r="Q16" s="531"/>
      <c r="R16" s="531"/>
      <c r="S16" s="531"/>
      <c r="T16" s="543"/>
      <c r="U16" s="544"/>
      <c r="V16" s="544"/>
      <c r="W16" s="536"/>
      <c r="X16" s="540"/>
      <c r="Y16" s="531"/>
      <c r="Z16" s="531"/>
      <c r="AA16" s="531"/>
      <c r="AB16" s="543"/>
      <c r="AC16" s="544"/>
      <c r="AD16" s="544"/>
      <c r="AE16" s="536"/>
      <c r="AF16" s="540"/>
      <c r="AG16" s="531"/>
      <c r="AH16" s="531"/>
      <c r="AI16" s="543"/>
      <c r="AJ16" s="544"/>
      <c r="AK16" s="544"/>
      <c r="AL16" s="536"/>
      <c r="AM16" s="540"/>
      <c r="AN16" s="531"/>
      <c r="AP16" s="543"/>
      <c r="AQ16" s="544"/>
      <c r="AR16" s="544"/>
      <c r="AS16" s="536"/>
      <c r="AT16" s="540"/>
      <c r="AU16" s="531"/>
      <c r="AW16" s="543"/>
      <c r="AX16" s="544"/>
      <c r="AY16" s="544"/>
      <c r="AZ16" s="536"/>
      <c r="BA16" s="540"/>
      <c r="BB16" s="531"/>
      <c r="BD16" s="543"/>
      <c r="BE16" s="544"/>
      <c r="BF16" s="544"/>
      <c r="BG16" s="536"/>
      <c r="BH16" s="540"/>
      <c r="BI16" s="531"/>
      <c r="BK16" s="543"/>
      <c r="BL16" s="544"/>
      <c r="BM16" s="544"/>
      <c r="BN16" s="536"/>
      <c r="BO16" s="540"/>
      <c r="BP16" s="531"/>
      <c r="BR16" s="543"/>
      <c r="BS16" s="544"/>
      <c r="BT16" s="544"/>
      <c r="BU16" s="536"/>
      <c r="BV16" s="540"/>
      <c r="BW16" s="531"/>
      <c r="BY16" s="543"/>
      <c r="BZ16" s="544"/>
      <c r="CA16" s="544"/>
      <c r="CB16" s="536"/>
      <c r="CC16" s="540"/>
      <c r="CD16" s="531"/>
      <c r="CG16" s="544"/>
      <c r="CH16" s="544"/>
      <c r="CI16" s="536"/>
      <c r="CJ16" s="540"/>
      <c r="CK16" s="531"/>
      <c r="CO16" s="544"/>
      <c r="CP16" s="544"/>
      <c r="CQ16" s="536"/>
      <c r="CR16" s="540"/>
      <c r="CS16" s="531"/>
    </row>
    <row r="17" spans="1:97" ht="16" x14ac:dyDescent="0.2">
      <c r="A17" s="531"/>
      <c r="B17" s="531"/>
      <c r="C17" s="545"/>
      <c r="D17" s="535">
        <f>+'[2]Ca...'!C17</f>
        <v>0</v>
      </c>
      <c r="E17" s="535">
        <f>+'[2]Ca...'!D17</f>
        <v>0</v>
      </c>
      <c r="F17" s="535">
        <f>+'[2]Ca...'!E17</f>
        <v>0</v>
      </c>
      <c r="G17" s="540"/>
      <c r="H17" s="531"/>
      <c r="I17" s="531"/>
      <c r="J17" s="531"/>
      <c r="K17" s="545"/>
      <c r="L17" s="535">
        <f>+'[2]Ca...'!K17</f>
        <v>0</v>
      </c>
      <c r="M17" s="535">
        <f>+'[2]Ca...'!L17</f>
        <v>0</v>
      </c>
      <c r="N17" s="535">
        <f>+'[2]Ca...'!M17</f>
        <v>0</v>
      </c>
      <c r="O17" s="540"/>
      <c r="P17" s="531"/>
      <c r="Q17" s="531"/>
      <c r="R17" s="531"/>
      <c r="S17" s="531"/>
      <c r="T17" s="545"/>
      <c r="U17" s="535"/>
      <c r="V17" s="535"/>
      <c r="W17" s="535">
        <f>+'[2]Ca...'!V28</f>
        <v>0</v>
      </c>
      <c r="X17" s="540"/>
      <c r="Y17" s="531"/>
      <c r="Z17" s="531"/>
      <c r="AA17" s="531"/>
      <c r="AB17" s="545"/>
      <c r="AC17" s="535"/>
      <c r="AD17" s="535"/>
      <c r="AE17" s="535"/>
      <c r="AF17" s="540"/>
      <c r="AG17" s="531"/>
      <c r="AH17" s="531"/>
      <c r="AI17" s="545"/>
      <c r="AJ17" s="535"/>
      <c r="AK17" s="535"/>
      <c r="AL17" s="535"/>
      <c r="AM17" s="540"/>
      <c r="AN17" s="531"/>
      <c r="AP17" s="545"/>
      <c r="AQ17" s="535"/>
      <c r="AR17" s="535"/>
      <c r="AS17" s="535"/>
      <c r="AT17" s="540"/>
      <c r="AU17" s="531"/>
      <c r="AW17" s="545"/>
      <c r="AX17" s="535"/>
      <c r="AY17" s="535"/>
      <c r="AZ17" s="535"/>
      <c r="BA17" s="540"/>
      <c r="BB17" s="531"/>
      <c r="BD17" s="545"/>
      <c r="BE17" s="535"/>
      <c r="BF17" s="535"/>
      <c r="BG17" s="535"/>
      <c r="BH17" s="540"/>
      <c r="BI17" s="531"/>
      <c r="BK17" s="545"/>
      <c r="BL17" s="535"/>
      <c r="BM17" s="535"/>
      <c r="BN17" s="535"/>
      <c r="BO17" s="540"/>
      <c r="BP17" s="531"/>
      <c r="BR17" s="545"/>
      <c r="BS17" s="535"/>
      <c r="BT17" s="535"/>
      <c r="BU17" s="535"/>
      <c r="BV17" s="540"/>
      <c r="BW17" s="531"/>
      <c r="BY17" s="545"/>
      <c r="BZ17" s="535"/>
      <c r="CA17" s="535"/>
      <c r="CB17" s="535"/>
      <c r="CC17" s="540"/>
      <c r="CD17" s="531"/>
      <c r="CF17" s="545"/>
      <c r="CG17" s="535"/>
      <c r="CH17" s="535"/>
      <c r="CI17" s="535"/>
      <c r="CJ17" s="540"/>
      <c r="CK17" s="531"/>
      <c r="CN17" s="545"/>
      <c r="CO17" s="535"/>
      <c r="CP17" s="535"/>
      <c r="CQ17" s="535"/>
      <c r="CR17" s="540"/>
      <c r="CS17" s="531"/>
    </row>
    <row r="18" spans="1:97" ht="16" x14ac:dyDescent="0.2">
      <c r="A18" s="531"/>
      <c r="B18" s="531"/>
      <c r="C18" s="537"/>
      <c r="D18" s="538"/>
      <c r="E18" s="538"/>
      <c r="F18" s="539">
        <v>0</v>
      </c>
      <c r="G18" s="536">
        <f>+SUM(C18:F18)</f>
        <v>0</v>
      </c>
      <c r="H18" s="531"/>
      <c r="I18" s="531"/>
      <c r="J18" s="531"/>
      <c r="K18" s="537"/>
      <c r="L18" s="538"/>
      <c r="M18" s="538"/>
      <c r="N18" s="539">
        <v>0</v>
      </c>
      <c r="O18" s="536">
        <f>+SUM(K18:N18)</f>
        <v>0</v>
      </c>
      <c r="P18" s="531"/>
      <c r="Q18" s="531"/>
      <c r="R18" s="531"/>
      <c r="S18" s="531"/>
      <c r="T18" s="537"/>
      <c r="U18" s="538"/>
      <c r="V18" s="538"/>
      <c r="W18" s="539">
        <v>0</v>
      </c>
      <c r="X18" s="536">
        <f>+SUM(T18:W18)</f>
        <v>0</v>
      </c>
      <c r="Y18" s="531"/>
      <c r="Z18" s="531"/>
      <c r="AA18" s="531"/>
      <c r="AB18" s="537"/>
      <c r="AC18" s="538"/>
      <c r="AD18" s="538"/>
      <c r="AE18" s="539">
        <v>0</v>
      </c>
      <c r="AF18" s="536">
        <f>+SUM(AB18:AE18)</f>
        <v>0</v>
      </c>
      <c r="AG18" s="531"/>
      <c r="AH18" s="531"/>
      <c r="AI18" s="537"/>
      <c r="AJ18" s="538"/>
      <c r="AK18" s="538"/>
      <c r="AL18" s="539">
        <v>0</v>
      </c>
      <c r="AM18" s="536">
        <f>+SUM(AI18:AL18)</f>
        <v>0</v>
      </c>
      <c r="AN18" s="531"/>
      <c r="AP18" s="537"/>
      <c r="AQ18" s="538"/>
      <c r="AR18" s="538"/>
      <c r="AS18" s="539">
        <v>0</v>
      </c>
      <c r="AT18" s="536">
        <f>+SUM(AP18:AS18)</f>
        <v>0</v>
      </c>
      <c r="AU18" s="531"/>
      <c r="AW18" s="537"/>
      <c r="AX18" s="538"/>
      <c r="AY18" s="538"/>
      <c r="AZ18" s="539">
        <v>0</v>
      </c>
      <c r="BA18" s="536">
        <f>+SUM(AW18:AZ18)</f>
        <v>0</v>
      </c>
      <c r="BB18" s="531"/>
      <c r="BD18" s="537"/>
      <c r="BE18" s="538"/>
      <c r="BF18" s="538"/>
      <c r="BG18" s="539">
        <v>0</v>
      </c>
      <c r="BH18" s="536">
        <f>+SUM(BD18:BG18)</f>
        <v>0</v>
      </c>
      <c r="BI18" s="531"/>
      <c r="BK18" s="537"/>
      <c r="BL18" s="538"/>
      <c r="BM18" s="538"/>
      <c r="BN18" s="539">
        <v>0</v>
      </c>
      <c r="BO18" s="536">
        <f>+SUM(BK18:BN18)</f>
        <v>0</v>
      </c>
      <c r="BP18" s="531"/>
      <c r="BR18" s="537"/>
      <c r="BS18" s="538"/>
      <c r="BT18" s="538"/>
      <c r="BU18" s="539">
        <v>0</v>
      </c>
      <c r="BV18" s="536">
        <f>+SUM(BR18:BU18)</f>
        <v>0</v>
      </c>
      <c r="BW18" s="531"/>
      <c r="BY18" s="537"/>
      <c r="BZ18" s="538"/>
      <c r="CA18" s="538"/>
      <c r="CB18" s="539">
        <v>0</v>
      </c>
      <c r="CC18" s="536">
        <f>+SUM(BY18:CB18)</f>
        <v>0</v>
      </c>
      <c r="CD18" s="531"/>
      <c r="CF18" s="537"/>
      <c r="CG18" s="538"/>
      <c r="CH18" s="538"/>
      <c r="CI18" s="539">
        <v>0</v>
      </c>
      <c r="CJ18" s="536">
        <f>+SUM(CF18:CI18)</f>
        <v>0</v>
      </c>
      <c r="CK18" s="531"/>
      <c r="CN18" s="537"/>
      <c r="CO18" s="538"/>
      <c r="CP18" s="538"/>
      <c r="CQ18" s="539">
        <v>0</v>
      </c>
      <c r="CR18" s="536">
        <f>+SUM(CN18:CQ18)</f>
        <v>0</v>
      </c>
      <c r="CS18" s="531"/>
    </row>
    <row r="19" spans="1:97" ht="16" x14ac:dyDescent="0.2">
      <c r="A19" s="531"/>
      <c r="B19" s="531"/>
      <c r="C19" s="543"/>
      <c r="D19" s="530"/>
      <c r="E19" s="530"/>
      <c r="F19" s="541">
        <v>0</v>
      </c>
      <c r="G19" s="540"/>
      <c r="H19" s="531"/>
      <c r="I19" s="531"/>
      <c r="J19" s="531"/>
      <c r="K19" s="543"/>
      <c r="L19" s="530"/>
      <c r="M19" s="530"/>
      <c r="N19" s="541">
        <v>0</v>
      </c>
      <c r="O19" s="540"/>
      <c r="P19" s="531"/>
      <c r="Q19" s="531"/>
      <c r="R19" s="531"/>
      <c r="S19" s="531"/>
      <c r="T19" s="543"/>
      <c r="U19" s="530"/>
      <c r="V19" s="530"/>
      <c r="W19" s="541">
        <v>0</v>
      </c>
      <c r="X19" s="540"/>
      <c r="Y19" s="531"/>
      <c r="Z19" s="531"/>
      <c r="AA19" s="531"/>
      <c r="AB19" s="543"/>
      <c r="AC19" s="530"/>
      <c r="AD19" s="530"/>
      <c r="AE19" s="541">
        <v>0</v>
      </c>
      <c r="AF19" s="540"/>
      <c r="AG19" s="531"/>
      <c r="AH19" s="531"/>
      <c r="AI19" s="543"/>
      <c r="AJ19" s="530"/>
      <c r="AK19" s="530"/>
      <c r="AL19" s="541">
        <v>0</v>
      </c>
      <c r="AM19" s="540"/>
      <c r="AN19" s="531"/>
      <c r="AP19" s="543"/>
      <c r="AQ19" s="530"/>
      <c r="AR19" s="530"/>
      <c r="AS19" s="541">
        <v>0</v>
      </c>
      <c r="AT19" s="540"/>
      <c r="AU19" s="531"/>
      <c r="AW19" s="543"/>
      <c r="AX19" s="530"/>
      <c r="AY19" s="530"/>
      <c r="AZ19" s="541">
        <v>0</v>
      </c>
      <c r="BA19" s="540"/>
      <c r="BB19" s="531"/>
      <c r="BD19" s="543"/>
      <c r="BE19" s="530"/>
      <c r="BF19" s="530"/>
      <c r="BG19" s="541">
        <v>0</v>
      </c>
      <c r="BH19" s="540"/>
      <c r="BI19" s="531"/>
      <c r="BK19" s="543"/>
      <c r="BL19" s="530"/>
      <c r="BM19" s="530"/>
      <c r="BN19" s="541">
        <v>0</v>
      </c>
      <c r="BO19" s="540"/>
      <c r="BP19" s="531"/>
      <c r="BR19" s="543"/>
      <c r="BS19" s="530"/>
      <c r="BT19" s="530"/>
      <c r="BU19" s="541">
        <v>0</v>
      </c>
      <c r="BV19" s="540"/>
      <c r="BW19" s="531"/>
      <c r="BY19" s="543"/>
      <c r="BZ19" s="530"/>
      <c r="CA19" s="530"/>
      <c r="CB19" s="541">
        <v>0</v>
      </c>
      <c r="CC19" s="540"/>
      <c r="CD19" s="531"/>
      <c r="CF19" s="543"/>
      <c r="CG19" s="530"/>
      <c r="CH19" s="530"/>
      <c r="CI19" s="541">
        <v>0</v>
      </c>
      <c r="CJ19" s="540"/>
      <c r="CK19" s="531"/>
      <c r="CN19" s="543"/>
      <c r="CO19" s="530"/>
      <c r="CP19" s="530"/>
      <c r="CQ19" s="541">
        <v>0</v>
      </c>
      <c r="CR19" s="540"/>
      <c r="CS19" s="531"/>
    </row>
    <row r="20" spans="1:97" ht="16" x14ac:dyDescent="0.2">
      <c r="A20" s="531"/>
      <c r="B20" s="531"/>
      <c r="C20" s="546"/>
      <c r="D20" s="550">
        <f>+D19*D18</f>
        <v>0</v>
      </c>
      <c r="E20" s="550"/>
      <c r="F20" s="551">
        <f>+F19*F18</f>
        <v>0</v>
      </c>
      <c r="G20" s="540"/>
      <c r="H20" s="531"/>
      <c r="I20" s="531"/>
      <c r="J20" s="531"/>
      <c r="K20" s="546"/>
      <c r="L20" s="550">
        <f>+L19*L18</f>
        <v>0</v>
      </c>
      <c r="M20" s="550"/>
      <c r="N20" s="551">
        <f>+N19*N18</f>
        <v>0</v>
      </c>
      <c r="O20" s="540"/>
      <c r="P20" s="531"/>
      <c r="Q20" s="531"/>
      <c r="R20" s="531"/>
      <c r="S20" s="531"/>
      <c r="T20" s="546"/>
      <c r="U20" s="550">
        <f>+U19*U18</f>
        <v>0</v>
      </c>
      <c r="V20" s="550"/>
      <c r="W20" s="551">
        <f>+W19*W18</f>
        <v>0</v>
      </c>
      <c r="X20" s="540"/>
      <c r="Y20" s="531"/>
      <c r="Z20" s="531"/>
      <c r="AA20" s="531"/>
      <c r="AB20" s="546"/>
      <c r="AC20" s="550">
        <f>+AC19*AC18</f>
        <v>0</v>
      </c>
      <c r="AD20" s="550"/>
      <c r="AE20" s="551">
        <f>+AE19*AE18</f>
        <v>0</v>
      </c>
      <c r="AF20" s="540"/>
      <c r="AG20" s="531"/>
      <c r="AH20" s="531"/>
      <c r="AI20" s="546"/>
      <c r="AJ20" s="550">
        <f>+AJ19*AJ18</f>
        <v>0</v>
      </c>
      <c r="AK20" s="550"/>
      <c r="AL20" s="551">
        <f>+AL19*AL18</f>
        <v>0</v>
      </c>
      <c r="AM20" s="540"/>
      <c r="AN20" s="531"/>
      <c r="AP20" s="546"/>
      <c r="AQ20" s="550">
        <f>+AQ19*AQ18</f>
        <v>0</v>
      </c>
      <c r="AR20" s="550"/>
      <c r="AS20" s="551">
        <f>+AS19*AS18</f>
        <v>0</v>
      </c>
      <c r="AT20" s="540"/>
      <c r="AU20" s="531"/>
      <c r="AW20" s="546"/>
      <c r="AX20" s="550">
        <f>+AX19*AX18</f>
        <v>0</v>
      </c>
      <c r="AY20" s="550"/>
      <c r="AZ20" s="551">
        <f>+AZ19*AZ18</f>
        <v>0</v>
      </c>
      <c r="BA20" s="540"/>
      <c r="BB20" s="531"/>
      <c r="BD20" s="546"/>
      <c r="BE20" s="550">
        <f>+BE19*BE18</f>
        <v>0</v>
      </c>
      <c r="BF20" s="550"/>
      <c r="BG20" s="551">
        <f>+BG19*BG18</f>
        <v>0</v>
      </c>
      <c r="BH20" s="540"/>
      <c r="BI20" s="531"/>
      <c r="BK20" s="546"/>
      <c r="BL20" s="550">
        <f>+BL19*BL18</f>
        <v>0</v>
      </c>
      <c r="BM20" s="550"/>
      <c r="BN20" s="551">
        <f>+BN19*BN18</f>
        <v>0</v>
      </c>
      <c r="BO20" s="540"/>
      <c r="BP20" s="531"/>
      <c r="BR20" s="546"/>
      <c r="BS20" s="550">
        <f>+BS19*BS18</f>
        <v>0</v>
      </c>
      <c r="BT20" s="550"/>
      <c r="BU20" s="551">
        <f>+BU19*BU18</f>
        <v>0</v>
      </c>
      <c r="BV20" s="540"/>
      <c r="BW20" s="531"/>
      <c r="BY20" s="546"/>
      <c r="BZ20" s="550">
        <f>+BZ19*BZ18</f>
        <v>0</v>
      </c>
      <c r="CA20" s="550"/>
      <c r="CB20" s="551">
        <f>+CB19*CB18</f>
        <v>0</v>
      </c>
      <c r="CC20" s="540"/>
      <c r="CD20" s="531"/>
      <c r="CF20" s="546"/>
      <c r="CG20" s="550">
        <f>+CG19*CG18</f>
        <v>0</v>
      </c>
      <c r="CH20" s="550"/>
      <c r="CI20" s="551">
        <f>+CI19*CI18</f>
        <v>0</v>
      </c>
      <c r="CJ20" s="540"/>
      <c r="CK20" s="531"/>
      <c r="CN20" s="546"/>
      <c r="CO20" s="550">
        <f>+CO19*CO18</f>
        <v>0</v>
      </c>
      <c r="CP20" s="550"/>
      <c r="CQ20" s="551">
        <f>+CQ19*CQ18</f>
        <v>0</v>
      </c>
      <c r="CR20" s="540"/>
      <c r="CS20" s="531"/>
    </row>
    <row r="21" spans="1:97" ht="16" x14ac:dyDescent="0.2">
      <c r="A21" s="531"/>
      <c r="B21" s="531"/>
      <c r="C21" s="547"/>
      <c r="D21" s="552">
        <f>+D20</f>
        <v>0</v>
      </c>
      <c r="E21" s="552">
        <f>+D21+E20</f>
        <v>0</v>
      </c>
      <c r="F21" s="553">
        <f>+E21+F20</f>
        <v>0</v>
      </c>
      <c r="G21" s="540"/>
      <c r="H21" s="531"/>
      <c r="I21" s="531"/>
      <c r="J21" s="531"/>
      <c r="K21" s="547"/>
      <c r="L21" s="552">
        <f>+L20</f>
        <v>0</v>
      </c>
      <c r="M21" s="552">
        <f>+L21+M20</f>
        <v>0</v>
      </c>
      <c r="N21" s="553">
        <f>+M21+N20</f>
        <v>0</v>
      </c>
      <c r="O21" s="540"/>
      <c r="P21" s="531"/>
      <c r="Q21" s="531"/>
      <c r="R21" s="531"/>
      <c r="S21" s="531"/>
      <c r="T21" s="547"/>
      <c r="U21" s="552">
        <f>+U20</f>
        <v>0</v>
      </c>
      <c r="V21" s="552">
        <f>+U21+V20</f>
        <v>0</v>
      </c>
      <c r="W21" s="553">
        <f>+V21+W20</f>
        <v>0</v>
      </c>
      <c r="X21" s="540"/>
      <c r="Y21" s="531"/>
      <c r="Z21" s="531"/>
      <c r="AA21" s="531"/>
      <c r="AB21" s="547"/>
      <c r="AC21" s="552">
        <f>+AC20</f>
        <v>0</v>
      </c>
      <c r="AD21" s="552">
        <f>+AC21+AD20</f>
        <v>0</v>
      </c>
      <c r="AE21" s="553">
        <f>+AD21+AE20</f>
        <v>0</v>
      </c>
      <c r="AF21" s="540"/>
      <c r="AG21" s="531"/>
      <c r="AH21" s="531"/>
      <c r="AI21" s="547"/>
      <c r="AJ21" s="552">
        <f>+AJ20</f>
        <v>0</v>
      </c>
      <c r="AK21" s="552">
        <f>+AJ21+AK20</f>
        <v>0</v>
      </c>
      <c r="AL21" s="553">
        <f>+AK21+AL20</f>
        <v>0</v>
      </c>
      <c r="AM21" s="540"/>
      <c r="AN21" s="531"/>
      <c r="AP21" s="547"/>
      <c r="AQ21" s="552">
        <f>+AQ20</f>
        <v>0</v>
      </c>
      <c r="AR21" s="552">
        <f>+AQ21+AR20</f>
        <v>0</v>
      </c>
      <c r="AS21" s="553">
        <f>+AR21+AS20</f>
        <v>0</v>
      </c>
      <c r="AT21" s="540"/>
      <c r="AU21" s="531"/>
      <c r="AW21" s="547"/>
      <c r="AX21" s="552">
        <f>+AX20</f>
        <v>0</v>
      </c>
      <c r="AY21" s="552">
        <f>+AX21+AY20</f>
        <v>0</v>
      </c>
      <c r="AZ21" s="553">
        <f>+AY21+AZ20</f>
        <v>0</v>
      </c>
      <c r="BA21" s="540"/>
      <c r="BB21" s="531"/>
      <c r="BD21" s="547"/>
      <c r="BE21" s="552">
        <f>+BE20</f>
        <v>0</v>
      </c>
      <c r="BF21" s="552">
        <f>+BE21+BF20</f>
        <v>0</v>
      </c>
      <c r="BG21" s="553">
        <f>+BF21+BG20</f>
        <v>0</v>
      </c>
      <c r="BH21" s="540"/>
      <c r="BI21" s="531"/>
      <c r="BK21" s="547"/>
      <c r="BL21" s="552">
        <f>+BL20</f>
        <v>0</v>
      </c>
      <c r="BM21" s="552">
        <f>+BL21+BM20</f>
        <v>0</v>
      </c>
      <c r="BN21" s="553">
        <f>+BM21+BN20</f>
        <v>0</v>
      </c>
      <c r="BO21" s="540"/>
      <c r="BP21" s="531"/>
      <c r="BR21" s="547"/>
      <c r="BS21" s="552">
        <f>+BS20</f>
        <v>0</v>
      </c>
      <c r="BT21" s="552">
        <f>+BS21+BT20</f>
        <v>0</v>
      </c>
      <c r="BU21" s="553">
        <f>+BT21+BU20</f>
        <v>0</v>
      </c>
      <c r="BV21" s="540"/>
      <c r="BW21" s="531"/>
      <c r="BY21" s="547"/>
      <c r="BZ21" s="552">
        <f>+BZ20</f>
        <v>0</v>
      </c>
      <c r="CA21" s="552">
        <f>+BZ21+CA20</f>
        <v>0</v>
      </c>
      <c r="CB21" s="553">
        <f>+CA21+CB20</f>
        <v>0</v>
      </c>
      <c r="CC21" s="540"/>
      <c r="CD21" s="531"/>
      <c r="CF21" s="547"/>
      <c r="CG21" s="552">
        <f>+CG20</f>
        <v>0</v>
      </c>
      <c r="CH21" s="552">
        <f>+CG21+CH20</f>
        <v>0</v>
      </c>
      <c r="CI21" s="553">
        <f>+CH21+CI20</f>
        <v>0</v>
      </c>
      <c r="CJ21" s="540"/>
      <c r="CK21" s="531"/>
      <c r="CN21" s="547"/>
      <c r="CO21" s="552">
        <f>+CO20</f>
        <v>0</v>
      </c>
      <c r="CP21" s="552">
        <f>+CO21+CP20</f>
        <v>0</v>
      </c>
      <c r="CQ21" s="553">
        <f>+CP21+CQ20</f>
        <v>0</v>
      </c>
      <c r="CR21" s="540"/>
      <c r="CS21" s="531"/>
    </row>
    <row r="22" spans="1:97" ht="16" x14ac:dyDescent="0.2">
      <c r="A22" s="531"/>
      <c r="B22" s="531"/>
      <c r="C22" s="554"/>
      <c r="D22" s="555"/>
      <c r="E22" s="555"/>
      <c r="F22" s="556"/>
      <c r="G22" s="540"/>
      <c r="H22" s="531"/>
      <c r="I22" s="531"/>
      <c r="J22" s="531"/>
      <c r="K22" s="554"/>
      <c r="L22" s="555"/>
      <c r="M22" s="555"/>
      <c r="N22" s="556"/>
      <c r="O22" s="540"/>
      <c r="P22" s="531"/>
      <c r="Q22" s="531"/>
      <c r="R22" s="531"/>
      <c r="S22" s="531"/>
      <c r="T22" s="554"/>
      <c r="U22" s="555"/>
      <c r="V22" s="555"/>
      <c r="W22" s="556"/>
      <c r="X22" s="540"/>
      <c r="Y22" s="531"/>
      <c r="Z22" s="531"/>
      <c r="AA22" s="531"/>
      <c r="AB22" s="554"/>
      <c r="AC22" s="555"/>
      <c r="AD22" s="555"/>
      <c r="AE22" s="556"/>
      <c r="AF22" s="540"/>
      <c r="AG22" s="531"/>
      <c r="AH22" s="531"/>
      <c r="AI22" s="554"/>
      <c r="AJ22" s="555"/>
      <c r="AK22" s="555"/>
      <c r="AL22" s="556"/>
      <c r="AM22" s="540"/>
      <c r="AN22" s="531"/>
      <c r="AP22" s="554"/>
      <c r="AQ22" s="555"/>
      <c r="AR22" s="555"/>
      <c r="AS22" s="556"/>
      <c r="AT22" s="540"/>
      <c r="AU22" s="531"/>
      <c r="AW22" s="554"/>
      <c r="AX22" s="555"/>
      <c r="AY22" s="555"/>
      <c r="AZ22" s="556"/>
      <c r="BA22" s="540"/>
      <c r="BB22" s="531"/>
      <c r="BD22" s="554"/>
      <c r="BE22" s="555"/>
      <c r="BF22" s="555"/>
      <c r="BG22" s="556"/>
      <c r="BH22" s="540"/>
      <c r="BI22" s="531"/>
      <c r="BK22" s="554"/>
      <c r="BL22" s="555"/>
      <c r="BM22" s="555"/>
      <c r="BN22" s="556"/>
      <c r="BO22" s="540"/>
      <c r="BP22" s="531"/>
      <c r="BR22" s="554"/>
      <c r="BS22" s="555"/>
      <c r="BT22" s="555"/>
      <c r="BU22" s="556"/>
      <c r="BV22" s="540"/>
      <c r="BW22" s="531"/>
      <c r="BY22" s="554"/>
      <c r="BZ22" s="555"/>
      <c r="CA22" s="555"/>
      <c r="CB22" s="556"/>
      <c r="CC22" s="540"/>
      <c r="CD22" s="531"/>
      <c r="CF22" s="554"/>
      <c r="CG22" s="555"/>
      <c r="CH22" s="555"/>
      <c r="CI22" s="556"/>
      <c r="CJ22" s="540"/>
      <c r="CK22" s="531"/>
      <c r="CN22" s="554"/>
      <c r="CO22" s="555"/>
      <c r="CP22" s="555"/>
      <c r="CQ22" s="556"/>
      <c r="CR22" s="540"/>
      <c r="CS22" s="531"/>
    </row>
    <row r="23" spans="1:97" ht="16" x14ac:dyDescent="0.2">
      <c r="A23" s="531"/>
      <c r="B23" s="531"/>
      <c r="C23" s="557" t="s">
        <v>23</v>
      </c>
      <c r="D23" s="558">
        <f>+D8+D14+D20</f>
        <v>0</v>
      </c>
      <c r="E23" s="558">
        <f>+E20+E14+E8</f>
        <v>0</v>
      </c>
      <c r="F23" s="558">
        <f>+F20+F14+F8</f>
        <v>0</v>
      </c>
      <c r="G23" s="852">
        <f>+SUM(G6:G22)</f>
        <v>0</v>
      </c>
      <c r="H23" s="531"/>
      <c r="I23" s="531"/>
      <c r="J23" s="531"/>
      <c r="K23" s="557" t="s">
        <v>23</v>
      </c>
      <c r="L23" s="558">
        <f>+L8+L14+L20</f>
        <v>0</v>
      </c>
      <c r="M23" s="558">
        <f>+M20+M14+M8</f>
        <v>0</v>
      </c>
      <c r="N23" s="558">
        <f>+N20+N14+N8</f>
        <v>0</v>
      </c>
      <c r="O23" s="852">
        <f>+SUM(O6:O22)</f>
        <v>0</v>
      </c>
      <c r="P23" s="531"/>
      <c r="Q23" s="531"/>
      <c r="R23" s="531"/>
      <c r="S23" s="531"/>
      <c r="T23" s="557" t="s">
        <v>23</v>
      </c>
      <c r="U23" s="558">
        <f>+U8+U14+U20</f>
        <v>0</v>
      </c>
      <c r="V23" s="558">
        <f>+V20+V14+V8</f>
        <v>0</v>
      </c>
      <c r="W23" s="558">
        <f>+W20+W14+W8</f>
        <v>0</v>
      </c>
      <c r="X23" s="852">
        <f>+SUM(X6:X22)</f>
        <v>0</v>
      </c>
      <c r="Y23" s="531"/>
      <c r="Z23" s="531"/>
      <c r="AA23" s="531"/>
      <c r="AB23" s="557" t="s">
        <v>23</v>
      </c>
      <c r="AC23" s="558">
        <f>+AC8+AC14+AC20</f>
        <v>0</v>
      </c>
      <c r="AD23" s="558">
        <f>+AD20+AD14+AD8</f>
        <v>0</v>
      </c>
      <c r="AE23" s="558">
        <f>+AE20+AE14+AE8</f>
        <v>0</v>
      </c>
      <c r="AF23" s="852">
        <f>+SUM(AF6:AF22)</f>
        <v>0</v>
      </c>
      <c r="AG23" s="531"/>
      <c r="AH23" s="531"/>
      <c r="AI23" s="557" t="s">
        <v>23</v>
      </c>
      <c r="AJ23" s="558">
        <f>+AJ8+AJ14+AJ20</f>
        <v>0</v>
      </c>
      <c r="AK23" s="558">
        <f>+AK20+AK14+AK8</f>
        <v>0</v>
      </c>
      <c r="AL23" s="558">
        <f>+AL20+AL14+AL8</f>
        <v>0</v>
      </c>
      <c r="AM23" s="852">
        <f>+SUM(AM6:AM22)</f>
        <v>0</v>
      </c>
      <c r="AN23" s="531"/>
      <c r="AP23" s="557" t="s">
        <v>23</v>
      </c>
      <c r="AQ23" s="558">
        <f>+AQ8+AQ14+AQ20</f>
        <v>0</v>
      </c>
      <c r="AR23" s="558">
        <f>+AR20+AR14+AR8</f>
        <v>0</v>
      </c>
      <c r="AS23" s="558">
        <f>+AS20+AS14+AS8</f>
        <v>0</v>
      </c>
      <c r="AT23" s="852">
        <f>+SUM(AT6:AT22)</f>
        <v>0</v>
      </c>
      <c r="AU23" s="531"/>
      <c r="AW23" s="557" t="s">
        <v>23</v>
      </c>
      <c r="AX23" s="558">
        <f>+AX8+AX14+AX20</f>
        <v>0</v>
      </c>
      <c r="AY23" s="558">
        <f>+AY20+AY14+AY8</f>
        <v>0</v>
      </c>
      <c r="AZ23" s="558">
        <f>+AZ20+AZ14+AZ8</f>
        <v>0</v>
      </c>
      <c r="BA23" s="852">
        <f>+SUM(BA6:BA22)</f>
        <v>0</v>
      </c>
      <c r="BB23" s="531"/>
      <c r="BD23" s="557" t="s">
        <v>23</v>
      </c>
      <c r="BE23" s="558">
        <f>+BE8+BE14+BE20</f>
        <v>0</v>
      </c>
      <c r="BF23" s="558">
        <f>+BF20+BF14+BF8</f>
        <v>0</v>
      </c>
      <c r="BG23" s="558">
        <f>+BG20+BG14+BG8</f>
        <v>0</v>
      </c>
      <c r="BH23" s="852">
        <f>+SUM(BH6:BH22)</f>
        <v>0</v>
      </c>
      <c r="BI23" s="531"/>
      <c r="BK23" s="557" t="s">
        <v>23</v>
      </c>
      <c r="BL23" s="558">
        <f>+BL8+BL14+BL20</f>
        <v>0</v>
      </c>
      <c r="BM23" s="558">
        <f>+BM20+BM14+BM8</f>
        <v>0</v>
      </c>
      <c r="BN23" s="558">
        <f>+BN20+BN14+BN8</f>
        <v>0</v>
      </c>
      <c r="BO23" s="852">
        <f>+SUM(BO6:BO22)</f>
        <v>0</v>
      </c>
      <c r="BP23" s="531"/>
      <c r="BR23" s="557" t="s">
        <v>23</v>
      </c>
      <c r="BS23" s="558">
        <f>+BS8+BS14+BS20</f>
        <v>0</v>
      </c>
      <c r="BT23" s="558">
        <f>+BT20+BT14+BT8</f>
        <v>0</v>
      </c>
      <c r="BU23" s="558">
        <f>+BU20+BU14+BU8</f>
        <v>0</v>
      </c>
      <c r="BV23" s="852">
        <f>+SUM(BV6:BV22)</f>
        <v>0</v>
      </c>
      <c r="BW23" s="531"/>
      <c r="BY23" s="557" t="s">
        <v>23</v>
      </c>
      <c r="BZ23" s="558">
        <f>+BZ8+BZ14+BZ20</f>
        <v>0</v>
      </c>
      <c r="CA23" s="558">
        <f>+CA20+CA14+CA8</f>
        <v>0</v>
      </c>
      <c r="CB23" s="558">
        <f>+CB20+CB14+CB8</f>
        <v>0</v>
      </c>
      <c r="CC23" s="852">
        <f>+SUM(CC6:CC22)</f>
        <v>0</v>
      </c>
      <c r="CD23" s="531"/>
      <c r="CF23" s="557" t="s">
        <v>23</v>
      </c>
      <c r="CG23" s="558">
        <f>+CG8+CG14+CG20</f>
        <v>0</v>
      </c>
      <c r="CH23" s="558">
        <f>+CH20+CH14+CH8</f>
        <v>0</v>
      </c>
      <c r="CI23" s="558">
        <f>+CI20+CI14+CI8</f>
        <v>0</v>
      </c>
      <c r="CJ23" s="852">
        <f>+SUM(CJ6:CJ22)</f>
        <v>0</v>
      </c>
      <c r="CK23" s="531"/>
      <c r="CN23" s="557" t="s">
        <v>23</v>
      </c>
      <c r="CO23" s="558">
        <f>+CO8+CO14+CO20</f>
        <v>0</v>
      </c>
      <c r="CP23" s="558">
        <f>+CP20+CP14+CP8</f>
        <v>0</v>
      </c>
      <c r="CQ23" s="558">
        <f>+CQ20+CQ14+CQ8</f>
        <v>0</v>
      </c>
      <c r="CR23" s="852">
        <f>+SUM(CR6:CR22)</f>
        <v>0</v>
      </c>
      <c r="CS23" s="531"/>
    </row>
    <row r="24" spans="1:97" ht="16" x14ac:dyDescent="0.2">
      <c r="A24" s="531"/>
      <c r="B24" s="531"/>
      <c r="C24" s="559" t="s">
        <v>29</v>
      </c>
      <c r="D24" s="560">
        <f>+D23</f>
        <v>0</v>
      </c>
      <c r="E24" s="560">
        <f>+D24+E23</f>
        <v>0</v>
      </c>
      <c r="F24" s="560">
        <f>+E24+F23</f>
        <v>0</v>
      </c>
      <c r="G24" s="851"/>
      <c r="H24" s="531"/>
      <c r="I24" s="531"/>
      <c r="J24" s="531"/>
      <c r="K24" s="559" t="s">
        <v>29</v>
      </c>
      <c r="L24" s="560">
        <f>+L23</f>
        <v>0</v>
      </c>
      <c r="M24" s="560">
        <f>+L24+M23</f>
        <v>0</v>
      </c>
      <c r="N24" s="560">
        <f>+M24+N23</f>
        <v>0</v>
      </c>
      <c r="O24" s="851"/>
      <c r="P24" s="531"/>
      <c r="Q24" s="531"/>
      <c r="R24" s="531"/>
      <c r="S24" s="531"/>
      <c r="T24" s="559" t="s">
        <v>29</v>
      </c>
      <c r="U24" s="560">
        <f>+U23</f>
        <v>0</v>
      </c>
      <c r="V24" s="560">
        <f>+U24+V23</f>
        <v>0</v>
      </c>
      <c r="W24" s="560">
        <f>+V24+W23</f>
        <v>0</v>
      </c>
      <c r="X24" s="851"/>
      <c r="Y24" s="531"/>
      <c r="Z24" s="531"/>
      <c r="AA24" s="531"/>
      <c r="AB24" s="559" t="s">
        <v>29</v>
      </c>
      <c r="AC24" s="560">
        <f>+AC23</f>
        <v>0</v>
      </c>
      <c r="AD24" s="560">
        <f>+AC24+AD23</f>
        <v>0</v>
      </c>
      <c r="AE24" s="560">
        <f>+AD24+AE23</f>
        <v>0</v>
      </c>
      <c r="AF24" s="851"/>
      <c r="AG24" s="531"/>
      <c r="AH24" s="531"/>
      <c r="AI24" s="559" t="s">
        <v>29</v>
      </c>
      <c r="AJ24" s="560">
        <f>+AJ23</f>
        <v>0</v>
      </c>
      <c r="AK24" s="560">
        <f>+AJ24+AK23</f>
        <v>0</v>
      </c>
      <c r="AL24" s="560">
        <f>+AK24+AL23</f>
        <v>0</v>
      </c>
      <c r="AM24" s="851"/>
      <c r="AN24" s="531"/>
      <c r="AP24" s="559" t="s">
        <v>29</v>
      </c>
      <c r="AQ24" s="560">
        <f>+AQ23</f>
        <v>0</v>
      </c>
      <c r="AR24" s="560">
        <f>+AQ24+AR23</f>
        <v>0</v>
      </c>
      <c r="AS24" s="560">
        <f>+AR24+AS23</f>
        <v>0</v>
      </c>
      <c r="AT24" s="851"/>
      <c r="AU24" s="531"/>
      <c r="AW24" s="559" t="s">
        <v>29</v>
      </c>
      <c r="AX24" s="560">
        <f>+AX23</f>
        <v>0</v>
      </c>
      <c r="AY24" s="560">
        <f>+AX24+AY23</f>
        <v>0</v>
      </c>
      <c r="AZ24" s="560">
        <f>+AY24+AZ23</f>
        <v>0</v>
      </c>
      <c r="BA24" s="851"/>
      <c r="BB24" s="531"/>
      <c r="BD24" s="559" t="s">
        <v>29</v>
      </c>
      <c r="BE24" s="560">
        <f>+BE23</f>
        <v>0</v>
      </c>
      <c r="BF24" s="560">
        <f>+BE24+BF23</f>
        <v>0</v>
      </c>
      <c r="BG24" s="560">
        <f>+BF24+BG23</f>
        <v>0</v>
      </c>
      <c r="BH24" s="851"/>
      <c r="BI24" s="531"/>
      <c r="BK24" s="559" t="s">
        <v>29</v>
      </c>
      <c r="BL24" s="560">
        <f>+BL23</f>
        <v>0</v>
      </c>
      <c r="BM24" s="560">
        <f>+BL24+BM23</f>
        <v>0</v>
      </c>
      <c r="BN24" s="560">
        <f>+BM24+BN23</f>
        <v>0</v>
      </c>
      <c r="BO24" s="851"/>
      <c r="BP24" s="531"/>
      <c r="BR24" s="559" t="s">
        <v>29</v>
      </c>
      <c r="BS24" s="560">
        <f>+BS23</f>
        <v>0</v>
      </c>
      <c r="BT24" s="560">
        <f>+BS24+BT23</f>
        <v>0</v>
      </c>
      <c r="BU24" s="560">
        <f>+BT24+BU23</f>
        <v>0</v>
      </c>
      <c r="BV24" s="851"/>
      <c r="BW24" s="531"/>
      <c r="BY24" s="559" t="s">
        <v>29</v>
      </c>
      <c r="BZ24" s="560">
        <f>+BZ23</f>
        <v>0</v>
      </c>
      <c r="CA24" s="560">
        <f>+BZ24+CA23</f>
        <v>0</v>
      </c>
      <c r="CB24" s="560">
        <f>+CA24+CB23</f>
        <v>0</v>
      </c>
      <c r="CC24" s="851"/>
      <c r="CD24" s="531"/>
      <c r="CF24" s="559" t="s">
        <v>29</v>
      </c>
      <c r="CG24" s="560">
        <f>+CG23</f>
        <v>0</v>
      </c>
      <c r="CH24" s="560">
        <f>+CG24+CH23</f>
        <v>0</v>
      </c>
      <c r="CI24" s="560">
        <f>+CH24+CI23</f>
        <v>0</v>
      </c>
      <c r="CJ24" s="851"/>
      <c r="CK24" s="531"/>
      <c r="CN24" s="559" t="s">
        <v>29</v>
      </c>
      <c r="CO24" s="560">
        <f>+CO23</f>
        <v>0</v>
      </c>
      <c r="CP24" s="560">
        <f>+CO24+CP23</f>
        <v>0</v>
      </c>
      <c r="CQ24" s="560">
        <f>+CP24+CQ23</f>
        <v>0</v>
      </c>
      <c r="CR24" s="851"/>
      <c r="CS24" s="531"/>
    </row>
    <row r="25" spans="1:97" ht="16" x14ac:dyDescent="0.2">
      <c r="A25" s="531"/>
      <c r="B25" s="531"/>
      <c r="C25" s="531"/>
      <c r="D25" s="561"/>
      <c r="E25" s="561"/>
      <c r="F25" s="562"/>
      <c r="G25" s="531"/>
      <c r="H25" s="531"/>
      <c r="I25" s="531"/>
      <c r="J25" s="531"/>
      <c r="K25" s="531"/>
      <c r="L25" s="561"/>
      <c r="M25" s="561"/>
      <c r="N25" s="562"/>
      <c r="O25" s="531"/>
      <c r="P25" s="531"/>
      <c r="Q25" s="531"/>
      <c r="R25" s="531"/>
      <c r="S25" s="531"/>
      <c r="T25" s="531"/>
      <c r="U25" s="531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  <c r="AP25" s="531"/>
      <c r="AQ25" s="531"/>
      <c r="AR25" s="531"/>
      <c r="AS25" s="531"/>
      <c r="AT25" s="531"/>
      <c r="AU25" s="531"/>
      <c r="AW25" s="531"/>
      <c r="AX25" s="531"/>
      <c r="AY25" s="531"/>
      <c r="AZ25" s="531"/>
      <c r="BA25" s="531"/>
      <c r="BB25" s="531"/>
      <c r="BD25" s="531"/>
      <c r="BE25" s="531"/>
      <c r="BF25" s="531"/>
      <c r="BG25" s="531"/>
      <c r="BH25" s="531"/>
      <c r="BI25" s="531"/>
      <c r="BK25" s="531"/>
      <c r="BL25" s="531"/>
      <c r="BM25" s="531"/>
      <c r="BN25" s="531"/>
      <c r="BO25" s="531"/>
      <c r="BP25" s="531"/>
      <c r="BR25" s="531"/>
      <c r="BS25" s="531"/>
      <c r="BT25" s="531"/>
      <c r="BU25" s="531"/>
      <c r="BV25" s="531"/>
      <c r="BW25" s="531"/>
      <c r="BY25" s="531"/>
      <c r="BZ25" s="531"/>
      <c r="CA25" s="531"/>
      <c r="CB25" s="531"/>
      <c r="CC25" s="531"/>
      <c r="CD25" s="531"/>
      <c r="CF25" s="531"/>
      <c r="CG25" s="531"/>
      <c r="CH25" s="531"/>
      <c r="CI25" s="531"/>
      <c r="CJ25" s="531"/>
      <c r="CK25" s="531"/>
      <c r="CN25" s="531"/>
      <c r="CO25" s="531"/>
      <c r="CP25" s="531"/>
      <c r="CQ25" s="531"/>
      <c r="CR25" s="531"/>
      <c r="CS25" s="531"/>
    </row>
    <row r="26" spans="1:97" ht="16" x14ac:dyDescent="0.2">
      <c r="A26" s="531"/>
      <c r="B26" s="531"/>
      <c r="C26" s="531"/>
      <c r="D26" s="563"/>
      <c r="E26" s="563"/>
      <c r="F26" s="563"/>
      <c r="G26" s="531"/>
      <c r="H26" s="531"/>
      <c r="I26" s="531"/>
      <c r="J26" s="531"/>
      <c r="K26" s="531"/>
      <c r="L26" s="563"/>
      <c r="M26" s="563"/>
      <c r="N26" s="563"/>
      <c r="O26" s="531"/>
      <c r="P26" s="531"/>
      <c r="Q26" s="531"/>
      <c r="R26" s="531"/>
      <c r="S26" s="531"/>
      <c r="T26" s="531"/>
      <c r="U26" s="531"/>
      <c r="V26" s="531"/>
      <c r="W26" s="531"/>
      <c r="X26" s="531"/>
      <c r="Y26" s="531"/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P26" s="531"/>
      <c r="AQ26" s="531"/>
      <c r="AR26" s="531"/>
      <c r="AS26" s="531"/>
      <c r="AT26" s="531"/>
      <c r="AU26" s="531"/>
      <c r="AW26" s="531"/>
      <c r="AX26" s="531"/>
      <c r="AY26" s="531"/>
      <c r="AZ26" s="531"/>
      <c r="BA26" s="531"/>
      <c r="BB26" s="531"/>
      <c r="BD26" s="531"/>
      <c r="BE26" s="531"/>
      <c r="BF26" s="531"/>
      <c r="BG26" s="531"/>
      <c r="BH26" s="531"/>
      <c r="BI26" s="531"/>
      <c r="BK26" s="531"/>
      <c r="BL26" s="531"/>
      <c r="BM26" s="531"/>
      <c r="BN26" s="531"/>
      <c r="BO26" s="531"/>
      <c r="BP26" s="531"/>
      <c r="BR26" s="531"/>
      <c r="BS26" s="531"/>
      <c r="BT26" s="531"/>
      <c r="BU26" s="531"/>
      <c r="BV26" s="531"/>
      <c r="BW26" s="531"/>
      <c r="BY26" s="531"/>
      <c r="BZ26" s="531"/>
      <c r="CA26" s="531"/>
      <c r="CB26" s="531"/>
      <c r="CC26" s="531"/>
      <c r="CD26" s="531"/>
      <c r="CF26" s="531"/>
      <c r="CG26" s="531"/>
      <c r="CH26" s="531"/>
      <c r="CI26" s="531"/>
      <c r="CJ26" s="531"/>
      <c r="CK26" s="531"/>
      <c r="CN26" s="531"/>
      <c r="CO26" s="531"/>
      <c r="CP26" s="531"/>
      <c r="CQ26" s="531"/>
      <c r="CR26" s="531"/>
      <c r="CS26" s="531"/>
    </row>
    <row r="27" spans="1:97" ht="16" x14ac:dyDescent="0.2">
      <c r="A27" s="531"/>
      <c r="B27" s="531"/>
      <c r="C27" s="818" t="s">
        <v>475</v>
      </c>
      <c r="D27" s="819"/>
      <c r="E27" s="819"/>
      <c r="F27" s="819"/>
      <c r="G27" s="819"/>
      <c r="H27" s="820"/>
      <c r="I27" s="77"/>
      <c r="J27" s="77"/>
      <c r="K27" s="818" t="s">
        <v>481</v>
      </c>
      <c r="L27" s="819"/>
      <c r="M27" s="819"/>
      <c r="N27" s="819"/>
      <c r="O27" s="819"/>
      <c r="P27" s="820"/>
      <c r="Q27" s="531"/>
      <c r="R27" s="531"/>
      <c r="S27" s="531"/>
      <c r="T27" s="818" t="s">
        <v>486</v>
      </c>
      <c r="U27" s="819"/>
      <c r="V27" s="819"/>
      <c r="W27" s="819"/>
      <c r="X27" s="819"/>
      <c r="Y27" s="820" t="s">
        <v>27</v>
      </c>
      <c r="Z27" s="531"/>
      <c r="AA27" s="531"/>
      <c r="AB27" s="818" t="s">
        <v>492</v>
      </c>
      <c r="AC27" s="819"/>
      <c r="AD27" s="819"/>
      <c r="AE27" s="819"/>
      <c r="AF27" s="819"/>
      <c r="AG27" s="820" t="s">
        <v>27</v>
      </c>
      <c r="AH27" s="531"/>
      <c r="AI27" s="818" t="s">
        <v>514</v>
      </c>
      <c r="AJ27" s="819"/>
      <c r="AK27" s="819"/>
      <c r="AL27" s="819"/>
      <c r="AM27" s="819"/>
      <c r="AN27" s="820" t="s">
        <v>27</v>
      </c>
      <c r="AP27" s="818" t="s">
        <v>516</v>
      </c>
      <c r="AQ27" s="819"/>
      <c r="AR27" s="819"/>
      <c r="AS27" s="819"/>
      <c r="AT27" s="819"/>
      <c r="AU27" s="820" t="s">
        <v>27</v>
      </c>
      <c r="AW27" s="818" t="s">
        <v>539</v>
      </c>
      <c r="AX27" s="819"/>
      <c r="AY27" s="819"/>
      <c r="AZ27" s="819"/>
      <c r="BA27" s="819"/>
      <c r="BB27" s="820" t="s">
        <v>27</v>
      </c>
      <c r="BD27" s="818" t="s">
        <v>548</v>
      </c>
      <c r="BE27" s="819"/>
      <c r="BF27" s="819"/>
      <c r="BG27" s="819"/>
      <c r="BH27" s="819"/>
      <c r="BI27" s="820" t="s">
        <v>27</v>
      </c>
      <c r="BK27" s="818" t="s">
        <v>556</v>
      </c>
      <c r="BL27" s="819"/>
      <c r="BM27" s="819"/>
      <c r="BN27" s="819"/>
      <c r="BO27" s="819"/>
      <c r="BP27" s="820" t="s">
        <v>27</v>
      </c>
      <c r="BR27" s="818" t="s">
        <v>562</v>
      </c>
      <c r="BS27" s="819"/>
      <c r="BT27" s="819"/>
      <c r="BU27" s="819"/>
      <c r="BV27" s="819"/>
      <c r="BW27" s="820" t="s">
        <v>27</v>
      </c>
      <c r="BY27" s="818" t="s">
        <v>574</v>
      </c>
      <c r="BZ27" s="819"/>
      <c r="CA27" s="819"/>
      <c r="CB27" s="819"/>
      <c r="CC27" s="819"/>
      <c r="CD27" s="820" t="s">
        <v>27</v>
      </c>
      <c r="CF27" s="818" t="s">
        <v>578</v>
      </c>
      <c r="CG27" s="819"/>
      <c r="CH27" s="819"/>
      <c r="CI27" s="819"/>
      <c r="CJ27" s="819"/>
      <c r="CK27" s="820" t="s">
        <v>27</v>
      </c>
      <c r="CN27" s="818" t="s">
        <v>578</v>
      </c>
      <c r="CO27" s="819"/>
      <c r="CP27" s="819"/>
      <c r="CQ27" s="819"/>
      <c r="CR27" s="819"/>
      <c r="CS27" s="820" t="s">
        <v>27</v>
      </c>
    </row>
    <row r="28" spans="1:97" ht="16" x14ac:dyDescent="0.2">
      <c r="A28" s="531"/>
      <c r="B28" s="531"/>
      <c r="C28" s="89" t="s">
        <v>25</v>
      </c>
      <c r="D28" s="77" t="s">
        <v>9</v>
      </c>
      <c r="E28" s="78" t="s">
        <v>106</v>
      </c>
      <c r="F28" s="78" t="s">
        <v>10</v>
      </c>
      <c r="G28" s="78" t="s">
        <v>11</v>
      </c>
      <c r="H28" s="533" t="s">
        <v>24</v>
      </c>
      <c r="I28" s="564"/>
      <c r="J28" s="564"/>
      <c r="K28" s="89" t="s">
        <v>25</v>
      </c>
      <c r="L28" s="77" t="s">
        <v>9</v>
      </c>
      <c r="M28" s="78" t="s">
        <v>106</v>
      </c>
      <c r="N28" s="78" t="s">
        <v>10</v>
      </c>
      <c r="O28" s="78" t="s">
        <v>11</v>
      </c>
      <c r="P28" s="533" t="s">
        <v>24</v>
      </c>
      <c r="Q28" s="531"/>
      <c r="R28" s="531"/>
      <c r="S28" s="531"/>
      <c r="T28" s="89" t="s">
        <v>28</v>
      </c>
      <c r="U28" s="77" t="s">
        <v>9</v>
      </c>
      <c r="V28" s="78" t="s">
        <v>106</v>
      </c>
      <c r="W28" s="78" t="s">
        <v>10</v>
      </c>
      <c r="X28" s="78" t="s">
        <v>11</v>
      </c>
      <c r="Y28" s="533" t="s">
        <v>24</v>
      </c>
      <c r="Z28" s="531"/>
      <c r="AA28" s="531"/>
      <c r="AB28" s="89" t="s">
        <v>28</v>
      </c>
      <c r="AC28" s="77" t="s">
        <v>9</v>
      </c>
      <c r="AD28" s="78" t="s">
        <v>106</v>
      </c>
      <c r="AE28" s="78" t="s">
        <v>10</v>
      </c>
      <c r="AF28" s="78" t="s">
        <v>11</v>
      </c>
      <c r="AG28" s="533" t="s">
        <v>27</v>
      </c>
      <c r="AH28" s="531"/>
      <c r="AI28" s="89" t="s">
        <v>28</v>
      </c>
      <c r="AJ28" s="77" t="s">
        <v>9</v>
      </c>
      <c r="AK28" s="78" t="s">
        <v>106</v>
      </c>
      <c r="AL28" s="78" t="s">
        <v>10</v>
      </c>
      <c r="AM28" s="78" t="s">
        <v>11</v>
      </c>
      <c r="AN28" s="533" t="s">
        <v>27</v>
      </c>
      <c r="AP28" s="89" t="s">
        <v>28</v>
      </c>
      <c r="AQ28" s="77" t="s">
        <v>9</v>
      </c>
      <c r="AR28" s="78" t="s">
        <v>106</v>
      </c>
      <c r="AS28" s="78" t="s">
        <v>10</v>
      </c>
      <c r="AT28" s="78" t="s">
        <v>11</v>
      </c>
      <c r="AU28" s="533" t="s">
        <v>27</v>
      </c>
      <c r="AW28" s="89" t="s">
        <v>28</v>
      </c>
      <c r="AX28" s="77" t="s">
        <v>9</v>
      </c>
      <c r="AY28" s="78" t="s">
        <v>106</v>
      </c>
      <c r="AZ28" s="78" t="s">
        <v>10</v>
      </c>
      <c r="BA28" s="78" t="s">
        <v>11</v>
      </c>
      <c r="BB28" s="533" t="s">
        <v>27</v>
      </c>
      <c r="BD28" s="89" t="s">
        <v>28</v>
      </c>
      <c r="BE28" s="77" t="s">
        <v>9</v>
      </c>
      <c r="BF28" s="78" t="s">
        <v>106</v>
      </c>
      <c r="BG28" s="78" t="s">
        <v>10</v>
      </c>
      <c r="BH28" s="78" t="s">
        <v>11</v>
      </c>
      <c r="BI28" s="533" t="s">
        <v>27</v>
      </c>
      <c r="BK28" s="89" t="s">
        <v>28</v>
      </c>
      <c r="BL28" s="77" t="s">
        <v>9</v>
      </c>
      <c r="BM28" s="78" t="s">
        <v>106</v>
      </c>
      <c r="BN28" s="78" t="s">
        <v>10</v>
      </c>
      <c r="BO28" s="78" t="s">
        <v>11</v>
      </c>
      <c r="BP28" s="533" t="s">
        <v>27</v>
      </c>
      <c r="BR28" s="89" t="s">
        <v>28</v>
      </c>
      <c r="BS28" s="77" t="s">
        <v>9</v>
      </c>
      <c r="BT28" s="78" t="s">
        <v>106</v>
      </c>
      <c r="BU28" s="78" t="s">
        <v>10</v>
      </c>
      <c r="BV28" s="78" t="s">
        <v>11</v>
      </c>
      <c r="BW28" s="533" t="s">
        <v>27</v>
      </c>
      <c r="BY28" s="89" t="s">
        <v>28</v>
      </c>
      <c r="BZ28" s="77" t="s">
        <v>9</v>
      </c>
      <c r="CA28" s="78" t="s">
        <v>106</v>
      </c>
      <c r="CB28" s="78" t="s">
        <v>10</v>
      </c>
      <c r="CC28" s="78" t="s">
        <v>11</v>
      </c>
      <c r="CD28" s="533" t="s">
        <v>27</v>
      </c>
      <c r="CF28" s="89" t="s">
        <v>28</v>
      </c>
      <c r="CG28" s="77" t="s">
        <v>9</v>
      </c>
      <c r="CH28" s="78" t="s">
        <v>106</v>
      </c>
      <c r="CI28" s="78" t="s">
        <v>10</v>
      </c>
      <c r="CJ28" s="78" t="s">
        <v>11</v>
      </c>
      <c r="CK28" s="533" t="s">
        <v>27</v>
      </c>
      <c r="CN28" s="89" t="s">
        <v>28</v>
      </c>
      <c r="CO28" s="77" t="s">
        <v>9</v>
      </c>
      <c r="CP28" s="78" t="s">
        <v>106</v>
      </c>
      <c r="CQ28" s="78" t="s">
        <v>10</v>
      </c>
      <c r="CR28" s="78" t="s">
        <v>11</v>
      </c>
      <c r="CS28" s="533" t="s">
        <v>27</v>
      </c>
    </row>
    <row r="29" spans="1:97" ht="16" x14ac:dyDescent="0.2">
      <c r="A29" s="531"/>
      <c r="B29" s="531"/>
      <c r="C29" s="534" t="s">
        <v>498</v>
      </c>
      <c r="D29" s="535"/>
      <c r="E29" s="535">
        <v>20</v>
      </c>
      <c r="F29" s="535"/>
      <c r="G29" s="535"/>
      <c r="H29" s="536">
        <f>+SUM(D29:G29)</f>
        <v>20</v>
      </c>
      <c r="I29" s="565"/>
      <c r="J29" s="565"/>
      <c r="K29" s="534" t="s">
        <v>498</v>
      </c>
      <c r="L29" s="535"/>
      <c r="M29" s="535">
        <v>10</v>
      </c>
      <c r="N29" s="535"/>
      <c r="O29" s="535"/>
      <c r="P29" s="536">
        <f>+SUM(L29:O29)</f>
        <v>10</v>
      </c>
      <c r="Q29" s="531"/>
      <c r="R29" s="531"/>
      <c r="S29" s="531"/>
      <c r="T29" s="534" t="s">
        <v>498</v>
      </c>
      <c r="U29" s="535"/>
      <c r="V29" s="535">
        <v>20</v>
      </c>
      <c r="W29" s="535"/>
      <c r="X29" s="535"/>
      <c r="Y29" s="536">
        <f>+SUM(U29:X29)</f>
        <v>20</v>
      </c>
      <c r="Z29" s="531"/>
      <c r="AA29" s="531"/>
      <c r="AB29" s="534" t="s">
        <v>498</v>
      </c>
      <c r="AC29" s="535"/>
      <c r="AD29" s="535">
        <v>10</v>
      </c>
      <c r="AE29" s="535"/>
      <c r="AF29" s="535"/>
      <c r="AG29" s="536">
        <f>SUM(AC29:AF29)</f>
        <v>10</v>
      </c>
      <c r="AH29" s="531"/>
      <c r="AI29" s="534" t="s">
        <v>615</v>
      </c>
      <c r="AJ29" s="535"/>
      <c r="AK29" s="535"/>
      <c r="AL29" s="535"/>
      <c r="AM29" s="535">
        <v>5</v>
      </c>
      <c r="AN29" s="536">
        <f>SUM(AJ29:AM29)</f>
        <v>5</v>
      </c>
      <c r="AP29" s="534" t="s">
        <v>615</v>
      </c>
      <c r="AQ29" s="535"/>
      <c r="AR29" s="535"/>
      <c r="AS29" s="535"/>
      <c r="AT29" s="535">
        <v>10</v>
      </c>
      <c r="AU29" s="536">
        <f>SUM(AQ29:AT29)</f>
        <v>10</v>
      </c>
      <c r="AW29" s="534" t="s">
        <v>615</v>
      </c>
      <c r="AX29" s="535">
        <v>10</v>
      </c>
      <c r="AY29" s="535"/>
      <c r="AZ29" s="535"/>
      <c r="BA29" s="535"/>
      <c r="BB29" s="536">
        <f>SUM(AX29:BA29)</f>
        <v>10</v>
      </c>
      <c r="BD29" s="534" t="s">
        <v>615</v>
      </c>
      <c r="BE29" s="535">
        <v>5</v>
      </c>
      <c r="BF29" s="535"/>
      <c r="BG29" s="535"/>
      <c r="BH29" s="535"/>
      <c r="BI29" s="536">
        <f>SUM(BE29:BH29)</f>
        <v>5</v>
      </c>
      <c r="BK29" s="534" t="s">
        <v>615</v>
      </c>
      <c r="BL29" s="535"/>
      <c r="BM29" s="535"/>
      <c r="BN29" s="535">
        <v>10</v>
      </c>
      <c r="BO29" s="535"/>
      <c r="BP29" s="536">
        <f>SUM(BL29:BO29)</f>
        <v>10</v>
      </c>
      <c r="BR29" s="534" t="s">
        <v>615</v>
      </c>
      <c r="BS29" s="535"/>
      <c r="BT29" s="535"/>
      <c r="BU29" s="535">
        <v>5</v>
      </c>
      <c r="BV29" s="535"/>
      <c r="BW29" s="536">
        <f>SUM(BS29:BV29)</f>
        <v>5</v>
      </c>
      <c r="BY29" s="534" t="s">
        <v>615</v>
      </c>
      <c r="BZ29" s="535"/>
      <c r="CA29" s="535"/>
      <c r="CB29" s="535"/>
      <c r="CC29" s="535">
        <v>10</v>
      </c>
      <c r="CD29" s="536">
        <f>SUM(BZ29:CC29)</f>
        <v>10</v>
      </c>
      <c r="CF29" s="534" t="s">
        <v>615</v>
      </c>
      <c r="CG29" s="535">
        <v>5</v>
      </c>
      <c r="CH29" s="535"/>
      <c r="CI29" s="535"/>
      <c r="CJ29" s="535"/>
      <c r="CK29" s="536">
        <f>SUM(CG29:CJ29)</f>
        <v>5</v>
      </c>
      <c r="CN29" s="534" t="s">
        <v>615</v>
      </c>
      <c r="CO29" s="535">
        <v>5</v>
      </c>
      <c r="CP29" s="535"/>
      <c r="CQ29" s="535"/>
      <c r="CR29" s="535"/>
      <c r="CS29" s="536">
        <f>SUM(CO29:CR29)</f>
        <v>5</v>
      </c>
    </row>
    <row r="30" spans="1:97" ht="16" x14ac:dyDescent="0.2">
      <c r="A30" s="531"/>
      <c r="B30" s="531"/>
      <c r="C30" s="537" t="s">
        <v>499</v>
      </c>
      <c r="D30" s="538">
        <f>SUM(F7)</f>
        <v>331418.2609710744</v>
      </c>
      <c r="E30" s="538">
        <f>+D30</f>
        <v>331418.2609710744</v>
      </c>
      <c r="F30" s="538">
        <f>+E30</f>
        <v>331418.2609710744</v>
      </c>
      <c r="G30" s="538">
        <f>SUM(F7)</f>
        <v>331418.2609710744</v>
      </c>
      <c r="H30" s="540"/>
      <c r="I30" s="531"/>
      <c r="J30" s="531"/>
      <c r="K30" s="537" t="s">
        <v>506</v>
      </c>
      <c r="L30" s="538">
        <f>SUM(L7)</f>
        <v>327710.02537190082</v>
      </c>
      <c r="M30" s="538">
        <f>+L30</f>
        <v>327710.02537190082</v>
      </c>
      <c r="N30" s="538">
        <f>+M30</f>
        <v>327710.02537190082</v>
      </c>
      <c r="O30" s="538">
        <f>SUM(N30)</f>
        <v>327710.02537190082</v>
      </c>
      <c r="P30" s="540"/>
      <c r="Q30" s="531"/>
      <c r="R30" s="531"/>
      <c r="S30" s="531"/>
      <c r="T30" s="537" t="s">
        <v>504</v>
      </c>
      <c r="U30" s="538">
        <f>SUM(U7)</f>
        <v>452321.47785123973</v>
      </c>
      <c r="V30" s="538">
        <f>SUM(U30)</f>
        <v>452321.47785123973</v>
      </c>
      <c r="W30" s="538">
        <f>SUM(V30)</f>
        <v>452321.47785123973</v>
      </c>
      <c r="X30" s="538">
        <f>SUM(W30)</f>
        <v>452321.47785123973</v>
      </c>
      <c r="Y30" s="540"/>
      <c r="Z30" s="531"/>
      <c r="AA30" s="531"/>
      <c r="AB30" s="537" t="s">
        <v>507</v>
      </c>
      <c r="AC30" s="538">
        <f>SUM(AC7)</f>
        <v>153373.29712809919</v>
      </c>
      <c r="AD30" s="538">
        <f>SUM(AC30)</f>
        <v>153373.29712809919</v>
      </c>
      <c r="AE30" s="538">
        <f>SUM(AD30)</f>
        <v>153373.29712809919</v>
      </c>
      <c r="AF30" s="538">
        <f>SUM(AE30)</f>
        <v>153373.29712809919</v>
      </c>
      <c r="AG30" s="540"/>
      <c r="AH30" s="531"/>
      <c r="AI30" s="599" t="s">
        <v>526</v>
      </c>
      <c r="AJ30" s="538">
        <f>SUM(AJ7)</f>
        <v>1475365.444214876</v>
      </c>
      <c r="AK30" s="538">
        <f>SUM(AJ30)</f>
        <v>1475365.444214876</v>
      </c>
      <c r="AL30" s="538">
        <f>SUM(AK30)</f>
        <v>1475365.444214876</v>
      </c>
      <c r="AM30" s="538">
        <f>SUM(AL30)</f>
        <v>1475365.444214876</v>
      </c>
      <c r="AN30" s="540"/>
      <c r="AP30" s="537" t="s">
        <v>507</v>
      </c>
      <c r="AQ30" s="538">
        <f>SUM(AQ7)</f>
        <v>203562.87099173549</v>
      </c>
      <c r="AR30" s="538">
        <f>SUM(AQ30)</f>
        <v>203562.87099173549</v>
      </c>
      <c r="AS30" s="538">
        <f>SUM(AR30)</f>
        <v>203562.87099173549</v>
      </c>
      <c r="AT30" s="538">
        <f>SUM(AS30)</f>
        <v>203562.87099173549</v>
      </c>
      <c r="AU30" s="540"/>
      <c r="AW30" s="599" t="s">
        <v>538</v>
      </c>
      <c r="AX30" s="538">
        <f>SUM(AX7)</f>
        <v>896757.48966942145</v>
      </c>
      <c r="AY30" s="538">
        <f>SUM(AX30)</f>
        <v>896757.48966942145</v>
      </c>
      <c r="AZ30" s="538">
        <f>SUM(AY30)</f>
        <v>896757.48966942145</v>
      </c>
      <c r="BA30" s="538">
        <f>SUM(AZ30)</f>
        <v>896757.48966942145</v>
      </c>
      <c r="BB30" s="540"/>
      <c r="BD30" s="599" t="s">
        <v>547</v>
      </c>
      <c r="BE30" s="538">
        <f>SUM(BE7)</f>
        <v>2890070.3770661158</v>
      </c>
      <c r="BF30" s="538">
        <f>SUM(BE30)</f>
        <v>2890070.3770661158</v>
      </c>
      <c r="BG30" s="538">
        <f>SUM(BF30)</f>
        <v>2890070.3770661158</v>
      </c>
      <c r="BH30" s="538">
        <f>SUM(BG30)</f>
        <v>2890070.3770661158</v>
      </c>
      <c r="BI30" s="540"/>
      <c r="BK30" s="599" t="s">
        <v>558</v>
      </c>
      <c r="BL30" s="538">
        <f>SUM(BL7)</f>
        <v>3104715.2634297521</v>
      </c>
      <c r="BM30" s="538">
        <f>SUM(BL30)</f>
        <v>3104715.2634297521</v>
      </c>
      <c r="BN30" s="538">
        <f>SUM(BM30)</f>
        <v>3104715.2634297521</v>
      </c>
      <c r="BO30" s="538">
        <f>SUM(BN30)</f>
        <v>3104715.2634297521</v>
      </c>
      <c r="BP30" s="540"/>
      <c r="BR30" s="599" t="s">
        <v>559</v>
      </c>
      <c r="BS30" s="538">
        <f>SUM(BS7)</f>
        <v>1053822.570247934</v>
      </c>
      <c r="BT30" s="538">
        <f>SUM(BS30)</f>
        <v>1053822.570247934</v>
      </c>
      <c r="BU30" s="538">
        <f>SUM(BT30)</f>
        <v>1053822.570247934</v>
      </c>
      <c r="BV30" s="538">
        <f>SUM(BU30)</f>
        <v>1053822.570247934</v>
      </c>
      <c r="BW30" s="540"/>
      <c r="BY30" s="599" t="s">
        <v>571</v>
      </c>
      <c r="BZ30" s="538">
        <f>SUM(BZ7)</f>
        <v>548466.58636363631</v>
      </c>
      <c r="CA30" s="538">
        <f>SUM(BZ30)</f>
        <v>548466.58636363631</v>
      </c>
      <c r="CB30" s="538">
        <f>SUM(CA30)</f>
        <v>548466.58636363631</v>
      </c>
      <c r="CC30" s="538">
        <f>SUM(CB30)</f>
        <v>548466.58636363631</v>
      </c>
      <c r="CD30" s="540"/>
      <c r="CF30" s="599" t="s">
        <v>612</v>
      </c>
      <c r="CG30" s="538">
        <f>SUM(CG7)</f>
        <v>1250000</v>
      </c>
      <c r="CH30" s="538">
        <f>SUM(CG30)</f>
        <v>1250000</v>
      </c>
      <c r="CI30" s="538">
        <f>SUM(CH30)</f>
        <v>1250000</v>
      </c>
      <c r="CJ30" s="538">
        <f>SUM(CI30)</f>
        <v>1250000</v>
      </c>
      <c r="CK30" s="540"/>
      <c r="CN30" s="599" t="s">
        <v>571</v>
      </c>
      <c r="CO30" s="538">
        <f>SUM(CO7)</f>
        <v>600000</v>
      </c>
      <c r="CP30" s="538">
        <f>SUM(CO30)</f>
        <v>600000</v>
      </c>
      <c r="CQ30" s="538">
        <f>SUM(CP30)</f>
        <v>600000</v>
      </c>
      <c r="CR30" s="538">
        <f>SUM(CQ30)</f>
        <v>600000</v>
      </c>
      <c r="CS30" s="540"/>
    </row>
    <row r="31" spans="1:97" ht="16" x14ac:dyDescent="0.2">
      <c r="A31" s="531"/>
      <c r="B31" s="531"/>
      <c r="C31" s="95" t="s">
        <v>7</v>
      </c>
      <c r="D31" s="530">
        <f>+D30*D29</f>
        <v>0</v>
      </c>
      <c r="E31" s="530">
        <f>+E30*E29</f>
        <v>6628365.2194214882</v>
      </c>
      <c r="F31" s="541">
        <f>+F30*F29</f>
        <v>0</v>
      </c>
      <c r="G31" s="541">
        <f>+G30*G29</f>
        <v>0</v>
      </c>
      <c r="H31" s="540"/>
      <c r="I31" s="531"/>
      <c r="J31" s="531"/>
      <c r="K31" s="95" t="s">
        <v>7</v>
      </c>
      <c r="L31" s="530">
        <f>+L30*L29</f>
        <v>0</v>
      </c>
      <c r="M31" s="530">
        <f>+M30*M29</f>
        <v>3277100.2537190081</v>
      </c>
      <c r="N31" s="541">
        <f>+N30*N29</f>
        <v>0</v>
      </c>
      <c r="O31" s="541">
        <f>+O30*O29</f>
        <v>0</v>
      </c>
      <c r="P31" s="540"/>
      <c r="Q31" s="531"/>
      <c r="R31" s="531"/>
      <c r="S31" s="531"/>
      <c r="T31" s="95" t="s">
        <v>7</v>
      </c>
      <c r="U31" s="530">
        <f>+U30*U29</f>
        <v>0</v>
      </c>
      <c r="V31" s="530">
        <f>+V30*V29</f>
        <v>9046429.5570247956</v>
      </c>
      <c r="W31" s="541">
        <f>+W30*W29</f>
        <v>0</v>
      </c>
      <c r="X31" s="541">
        <f>+X30*X29</f>
        <v>0</v>
      </c>
      <c r="Y31" s="540"/>
      <c r="Z31" s="531"/>
      <c r="AA31" s="531"/>
      <c r="AB31" s="95" t="s">
        <v>7</v>
      </c>
      <c r="AC31" s="530">
        <f>+AC30*AC29</f>
        <v>0</v>
      </c>
      <c r="AD31" s="530">
        <f>+AD30*AD29</f>
        <v>1533732.971280992</v>
      </c>
      <c r="AE31" s="541">
        <f>+AE30*AE29</f>
        <v>0</v>
      </c>
      <c r="AF31" s="541">
        <f>+AF30*AF29</f>
        <v>0</v>
      </c>
      <c r="AG31" s="540"/>
      <c r="AH31" s="531"/>
      <c r="AI31" s="95" t="s">
        <v>7</v>
      </c>
      <c r="AJ31" s="530">
        <f>+AJ30*AJ29</f>
        <v>0</v>
      </c>
      <c r="AK31" s="530">
        <f>+AK30*AK29</f>
        <v>0</v>
      </c>
      <c r="AL31" s="541">
        <f>+AL30*AL29</f>
        <v>0</v>
      </c>
      <c r="AM31" s="541">
        <f>+AM30*AM29</f>
        <v>7376827.22107438</v>
      </c>
      <c r="AN31" s="540"/>
      <c r="AP31" s="95" t="s">
        <v>7</v>
      </c>
      <c r="AQ31" s="530">
        <f>+AQ30*AQ29</f>
        <v>0</v>
      </c>
      <c r="AR31" s="530">
        <f>+AR30*AR29</f>
        <v>0</v>
      </c>
      <c r="AS31" s="541">
        <f>+AS30*AS29</f>
        <v>0</v>
      </c>
      <c r="AT31" s="541">
        <f>+AT30*AT29</f>
        <v>2035628.7099173549</v>
      </c>
      <c r="AU31" s="540"/>
      <c r="AW31" s="95" t="s">
        <v>7</v>
      </c>
      <c r="AX31" s="530">
        <f>+AX30*AX29</f>
        <v>8967574.896694215</v>
      </c>
      <c r="AY31" s="530">
        <f>+AY30*AY29</f>
        <v>0</v>
      </c>
      <c r="AZ31" s="541">
        <f>+AZ30*AZ29</f>
        <v>0</v>
      </c>
      <c r="BA31" s="541">
        <f>+BA30*BA29</f>
        <v>0</v>
      </c>
      <c r="BB31" s="540"/>
      <c r="BD31" s="95" t="s">
        <v>7</v>
      </c>
      <c r="BE31" s="530">
        <f>+BE30*BE29</f>
        <v>14450351.88533058</v>
      </c>
      <c r="BF31" s="530">
        <f>+BF30*BF29</f>
        <v>0</v>
      </c>
      <c r="BG31" s="541">
        <f>+BG30*BG29</f>
        <v>0</v>
      </c>
      <c r="BH31" s="541">
        <f>+BH30*BH29</f>
        <v>0</v>
      </c>
      <c r="BI31" s="540"/>
      <c r="BK31" s="95" t="s">
        <v>7</v>
      </c>
      <c r="BL31" s="530">
        <f>+BL30*BL29</f>
        <v>0</v>
      </c>
      <c r="BM31" s="530">
        <f>+BM30*BM29</f>
        <v>0</v>
      </c>
      <c r="BN31" s="541">
        <f>+BN30*BN29</f>
        <v>31047152.63429752</v>
      </c>
      <c r="BO31" s="541">
        <f>+BO30*BO29</f>
        <v>0</v>
      </c>
      <c r="BP31" s="540"/>
      <c r="BR31" s="95" t="s">
        <v>7</v>
      </c>
      <c r="BS31" s="530">
        <f>+BS30*BS29</f>
        <v>0</v>
      </c>
      <c r="BT31" s="530">
        <f>+BT30*BT29</f>
        <v>0</v>
      </c>
      <c r="BU31" s="541">
        <f>+BU30*BU29</f>
        <v>5269112.8512396701</v>
      </c>
      <c r="BV31" s="541">
        <f>+BV30*BV29</f>
        <v>0</v>
      </c>
      <c r="BW31" s="540"/>
      <c r="BY31" s="95" t="s">
        <v>7</v>
      </c>
      <c r="BZ31" s="530">
        <f>+BZ30*BZ29</f>
        <v>0</v>
      </c>
      <c r="CA31" s="530">
        <f>+CA30*CA29</f>
        <v>0</v>
      </c>
      <c r="CB31" s="541">
        <f>+CB30*CB29</f>
        <v>0</v>
      </c>
      <c r="CC31" s="541">
        <f>+CC30*CC29</f>
        <v>5484665.8636363633</v>
      </c>
      <c r="CD31" s="540"/>
      <c r="CF31" s="95" t="s">
        <v>7</v>
      </c>
      <c r="CG31" s="530">
        <f>+CG30*CG29</f>
        <v>6250000</v>
      </c>
      <c r="CH31" s="530">
        <f>+CH30*CH29</f>
        <v>0</v>
      </c>
      <c r="CI31" s="541">
        <f>+CI30*CI29</f>
        <v>0</v>
      </c>
      <c r="CJ31" s="541">
        <f>+CJ30*CJ29</f>
        <v>0</v>
      </c>
      <c r="CK31" s="540"/>
      <c r="CN31" s="95" t="s">
        <v>7</v>
      </c>
      <c r="CO31" s="530">
        <f>+CO30*CO29</f>
        <v>3000000</v>
      </c>
      <c r="CP31" s="530">
        <f>+CP30*CP29</f>
        <v>0</v>
      </c>
      <c r="CQ31" s="541">
        <f>+CQ30*CQ29</f>
        <v>0</v>
      </c>
      <c r="CR31" s="541">
        <f>+CR30*CR29</f>
        <v>0</v>
      </c>
      <c r="CS31" s="540"/>
    </row>
    <row r="32" spans="1:97" ht="16" x14ac:dyDescent="0.2">
      <c r="A32" s="531"/>
      <c r="B32" s="531"/>
      <c r="C32" s="542" t="s">
        <v>8</v>
      </c>
      <c r="D32" s="538">
        <f>+D31</f>
        <v>0</v>
      </c>
      <c r="E32" s="538">
        <f>+D32+E31</f>
        <v>6628365.2194214882</v>
      </c>
      <c r="F32" s="539">
        <f>+E32+F31</f>
        <v>6628365.2194214882</v>
      </c>
      <c r="G32" s="539">
        <f>+F32+G31</f>
        <v>6628365.2194214882</v>
      </c>
      <c r="H32" s="540"/>
      <c r="I32" s="531"/>
      <c r="J32" s="531"/>
      <c r="K32" s="542" t="s">
        <v>8</v>
      </c>
      <c r="L32" s="538">
        <f>+L31</f>
        <v>0</v>
      </c>
      <c r="M32" s="538">
        <f>+L32+M31</f>
        <v>3277100.2537190081</v>
      </c>
      <c r="N32" s="539">
        <f>+M32+N31</f>
        <v>3277100.2537190081</v>
      </c>
      <c r="O32" s="539">
        <f>+N32+O31</f>
        <v>3277100.2537190081</v>
      </c>
      <c r="P32" s="540"/>
      <c r="Q32" s="531"/>
      <c r="R32" s="531"/>
      <c r="S32" s="531"/>
      <c r="T32" s="542" t="s">
        <v>8</v>
      </c>
      <c r="U32" s="538">
        <f>+U31</f>
        <v>0</v>
      </c>
      <c r="V32" s="538">
        <f>+U32+V31</f>
        <v>9046429.5570247956</v>
      </c>
      <c r="W32" s="539">
        <f>+V32+W31</f>
        <v>9046429.5570247956</v>
      </c>
      <c r="X32" s="539">
        <f>+W32+X31</f>
        <v>9046429.5570247956</v>
      </c>
      <c r="Y32" s="540"/>
      <c r="Z32" s="531"/>
      <c r="AA32" s="531"/>
      <c r="AB32" s="542" t="s">
        <v>8</v>
      </c>
      <c r="AC32" s="538">
        <f>+AC31</f>
        <v>0</v>
      </c>
      <c r="AD32" s="538">
        <f>+AC32+AD31</f>
        <v>1533732.971280992</v>
      </c>
      <c r="AE32" s="539">
        <f>+AD32+AE31</f>
        <v>1533732.971280992</v>
      </c>
      <c r="AF32" s="539">
        <f>+AE32+AF31</f>
        <v>1533732.971280992</v>
      </c>
      <c r="AG32" s="540"/>
      <c r="AH32" s="531"/>
      <c r="AI32" s="542" t="s">
        <v>8</v>
      </c>
      <c r="AJ32" s="538">
        <f>+AJ31</f>
        <v>0</v>
      </c>
      <c r="AK32" s="538">
        <f>+AJ32+AK31</f>
        <v>0</v>
      </c>
      <c r="AL32" s="539">
        <f>+AK32+AL31</f>
        <v>0</v>
      </c>
      <c r="AM32" s="539">
        <f>+AL32+AM31</f>
        <v>7376827.22107438</v>
      </c>
      <c r="AN32" s="540"/>
      <c r="AP32" s="542" t="s">
        <v>8</v>
      </c>
      <c r="AQ32" s="538">
        <f>+AQ31</f>
        <v>0</v>
      </c>
      <c r="AR32" s="538">
        <f>+AQ32+AR31</f>
        <v>0</v>
      </c>
      <c r="AS32" s="539">
        <f>+AR32+AS31</f>
        <v>0</v>
      </c>
      <c r="AT32" s="539">
        <f>+AS32+AT31</f>
        <v>2035628.7099173549</v>
      </c>
      <c r="AU32" s="540"/>
      <c r="AW32" s="542" t="s">
        <v>8</v>
      </c>
      <c r="AX32" s="538">
        <f>+AX31</f>
        <v>8967574.896694215</v>
      </c>
      <c r="AY32" s="538">
        <f>+AX32+AY31</f>
        <v>8967574.896694215</v>
      </c>
      <c r="AZ32" s="539">
        <f>+AY32+AZ31</f>
        <v>8967574.896694215</v>
      </c>
      <c r="BA32" s="539">
        <f>+AZ32+BA31</f>
        <v>8967574.896694215</v>
      </c>
      <c r="BB32" s="540"/>
      <c r="BD32" s="542" t="s">
        <v>8</v>
      </c>
      <c r="BE32" s="538">
        <f>+BE31</f>
        <v>14450351.88533058</v>
      </c>
      <c r="BF32" s="538">
        <f>+BE32+BF31</f>
        <v>14450351.88533058</v>
      </c>
      <c r="BG32" s="539">
        <f>+BF32+BG31</f>
        <v>14450351.88533058</v>
      </c>
      <c r="BH32" s="539">
        <f>+BG32+BH31</f>
        <v>14450351.88533058</v>
      </c>
      <c r="BI32" s="540"/>
      <c r="BK32" s="542" t="s">
        <v>8</v>
      </c>
      <c r="BL32" s="538">
        <f>+BL31</f>
        <v>0</v>
      </c>
      <c r="BM32" s="538">
        <f>+BL32+BM31</f>
        <v>0</v>
      </c>
      <c r="BN32" s="539">
        <f>+BM32+BN31</f>
        <v>31047152.63429752</v>
      </c>
      <c r="BO32" s="539">
        <f>+BN32+BO31</f>
        <v>31047152.63429752</v>
      </c>
      <c r="BP32" s="540"/>
      <c r="BR32" s="542" t="s">
        <v>8</v>
      </c>
      <c r="BS32" s="538">
        <f>+BS31</f>
        <v>0</v>
      </c>
      <c r="BT32" s="538">
        <f>+BS32+BT31</f>
        <v>0</v>
      </c>
      <c r="BU32" s="539">
        <f>+BT32+BU31</f>
        <v>5269112.8512396701</v>
      </c>
      <c r="BV32" s="539">
        <f>+BU32+BV31</f>
        <v>5269112.8512396701</v>
      </c>
      <c r="BW32" s="540"/>
      <c r="BY32" s="542" t="s">
        <v>8</v>
      </c>
      <c r="BZ32" s="538">
        <f>+BZ31</f>
        <v>0</v>
      </c>
      <c r="CA32" s="538">
        <f>+BZ32+CA31</f>
        <v>0</v>
      </c>
      <c r="CB32" s="539">
        <f>+CA32+CB31</f>
        <v>0</v>
      </c>
      <c r="CC32" s="539">
        <f>+CB32+CC31</f>
        <v>5484665.8636363633</v>
      </c>
      <c r="CD32" s="540"/>
      <c r="CF32" s="542" t="s">
        <v>8</v>
      </c>
      <c r="CG32" s="538">
        <f>+CG31</f>
        <v>6250000</v>
      </c>
      <c r="CH32" s="538">
        <f>+CG32+CH31</f>
        <v>6250000</v>
      </c>
      <c r="CI32" s="539">
        <f>+CH32+CI31</f>
        <v>6250000</v>
      </c>
      <c r="CJ32" s="539">
        <f>+CI32+CJ31</f>
        <v>6250000</v>
      </c>
      <c r="CK32" s="540"/>
      <c r="CN32" s="542" t="s">
        <v>8</v>
      </c>
      <c r="CO32" s="538">
        <f>+CO31</f>
        <v>3000000</v>
      </c>
      <c r="CP32" s="538">
        <f>+CO32+CP31</f>
        <v>3000000</v>
      </c>
      <c r="CQ32" s="539">
        <f>+CP32+CQ31</f>
        <v>3000000</v>
      </c>
      <c r="CR32" s="539">
        <f>+CQ32+CR31</f>
        <v>3000000</v>
      </c>
      <c r="CS32" s="540"/>
    </row>
    <row r="33" spans="1:97" ht="16" x14ac:dyDescent="0.2">
      <c r="A33" s="531"/>
      <c r="B33" s="531"/>
      <c r="C33" s="543"/>
      <c r="D33" s="544"/>
      <c r="E33" s="544"/>
      <c r="F33" s="536"/>
      <c r="G33" s="536"/>
      <c r="H33" s="540"/>
      <c r="I33" s="531"/>
      <c r="J33" s="531"/>
      <c r="K33" s="543"/>
      <c r="L33" s="544"/>
      <c r="M33" s="544"/>
      <c r="N33" s="536"/>
      <c r="O33" s="536"/>
      <c r="P33" s="540"/>
      <c r="Q33" s="531"/>
      <c r="R33" s="531"/>
      <c r="S33" s="531"/>
      <c r="T33" s="543"/>
      <c r="U33" s="544"/>
      <c r="V33" s="544"/>
      <c r="W33" s="536"/>
      <c r="X33" s="536"/>
      <c r="Y33" s="540"/>
      <c r="Z33" s="531"/>
      <c r="AA33" s="531"/>
      <c r="AB33" s="543"/>
      <c r="AC33" s="544"/>
      <c r="AD33" s="544"/>
      <c r="AE33" s="536"/>
      <c r="AF33" s="536"/>
      <c r="AG33" s="540"/>
      <c r="AH33" s="531"/>
      <c r="AI33" s="543"/>
      <c r="AJ33" s="544"/>
      <c r="AK33" s="544"/>
      <c r="AL33" s="536"/>
      <c r="AM33" s="536"/>
      <c r="AN33" s="540"/>
      <c r="AP33" s="543"/>
      <c r="AQ33" s="544"/>
      <c r="AR33" s="544"/>
      <c r="AS33" s="536"/>
      <c r="AT33" s="536"/>
      <c r="AU33" s="540"/>
      <c r="AW33" s="543"/>
      <c r="AX33" s="544"/>
      <c r="AY33" s="544"/>
      <c r="AZ33" s="536"/>
      <c r="BA33" s="536"/>
      <c r="BB33" s="540"/>
      <c r="BD33" s="543"/>
      <c r="BE33" s="544"/>
      <c r="BF33" s="544"/>
      <c r="BG33" s="536"/>
      <c r="BH33" s="536"/>
      <c r="BI33" s="540"/>
      <c r="BK33" s="543"/>
      <c r="BL33" s="544"/>
      <c r="BM33" s="544"/>
      <c r="BN33" s="536"/>
      <c r="BO33" s="536"/>
      <c r="BP33" s="540"/>
      <c r="BR33" s="543"/>
      <c r="BS33" s="544"/>
      <c r="BT33" s="544"/>
      <c r="BU33" s="536"/>
      <c r="BV33" s="536"/>
      <c r="BW33" s="540"/>
      <c r="BY33" s="543"/>
      <c r="BZ33" s="544"/>
      <c r="CA33" s="544"/>
      <c r="CB33" s="536"/>
      <c r="CC33" s="536"/>
      <c r="CD33" s="540"/>
      <c r="CF33" s="543"/>
      <c r="CG33" s="544"/>
      <c r="CH33" s="544"/>
      <c r="CI33" s="536"/>
      <c r="CJ33" s="536"/>
      <c r="CK33" s="540"/>
      <c r="CN33" s="543"/>
      <c r="CO33" s="544"/>
      <c r="CP33" s="544"/>
      <c r="CQ33" s="536"/>
      <c r="CR33" s="536"/>
      <c r="CS33" s="540"/>
    </row>
    <row r="34" spans="1:97" ht="16" x14ac:dyDescent="0.2">
      <c r="A34" s="531"/>
      <c r="B34" s="531"/>
      <c r="C34" s="545" t="s">
        <v>416</v>
      </c>
      <c r="D34" s="566"/>
      <c r="E34" s="566"/>
      <c r="F34" s="566"/>
      <c r="G34" s="566"/>
      <c r="H34" s="540"/>
      <c r="I34" s="531"/>
      <c r="J34" s="531"/>
      <c r="K34" s="545" t="s">
        <v>416</v>
      </c>
      <c r="L34" s="544"/>
      <c r="M34" s="544"/>
      <c r="N34" s="536"/>
      <c r="O34" s="536"/>
      <c r="P34" s="540"/>
      <c r="Q34" s="531"/>
      <c r="R34" s="531"/>
      <c r="S34" s="531"/>
      <c r="T34" s="545" t="s">
        <v>417</v>
      </c>
      <c r="U34" s="544"/>
      <c r="V34" s="544"/>
      <c r="W34" s="536"/>
      <c r="X34" s="536"/>
      <c r="Y34" s="540"/>
      <c r="Z34" s="531"/>
      <c r="AA34" s="531"/>
      <c r="AB34" s="545" t="s">
        <v>417</v>
      </c>
      <c r="AC34" s="544"/>
      <c r="AD34" s="544"/>
      <c r="AE34" s="536"/>
      <c r="AF34" s="536"/>
      <c r="AG34" s="540"/>
      <c r="AH34" s="531"/>
      <c r="AI34" s="545" t="s">
        <v>417</v>
      </c>
      <c r="AJ34" s="544"/>
      <c r="AK34" s="544"/>
      <c r="AL34" s="536"/>
      <c r="AM34" s="536"/>
      <c r="AN34" s="540"/>
      <c r="AP34" s="545" t="s">
        <v>417</v>
      </c>
      <c r="AQ34" s="544"/>
      <c r="AR34" s="544"/>
      <c r="AS34" s="536"/>
      <c r="AT34" s="536"/>
      <c r="AU34" s="540"/>
      <c r="AW34" s="545" t="s">
        <v>417</v>
      </c>
      <c r="AX34" s="544"/>
      <c r="AY34" s="544"/>
      <c r="AZ34" s="536"/>
      <c r="BA34" s="536"/>
      <c r="BB34" s="540"/>
      <c r="BD34" s="545" t="s">
        <v>417</v>
      </c>
      <c r="BE34" s="544"/>
      <c r="BF34" s="544"/>
      <c r="BG34" s="536"/>
      <c r="BH34" s="536"/>
      <c r="BI34" s="540"/>
      <c r="BK34" s="545" t="s">
        <v>417</v>
      </c>
      <c r="BL34" s="544"/>
      <c r="BM34" s="544"/>
      <c r="BN34" s="536"/>
      <c r="BO34" s="536"/>
      <c r="BP34" s="540"/>
      <c r="BR34" s="545" t="s">
        <v>417</v>
      </c>
      <c r="BS34" s="544"/>
      <c r="BT34" s="544"/>
      <c r="BU34" s="536"/>
      <c r="BV34" s="536"/>
      <c r="BW34" s="540"/>
      <c r="BY34" s="545" t="s">
        <v>417</v>
      </c>
      <c r="BZ34" s="544"/>
      <c r="CA34" s="544"/>
      <c r="CB34" s="536"/>
      <c r="CC34" s="536"/>
      <c r="CD34" s="540"/>
      <c r="CF34" s="545" t="s">
        <v>616</v>
      </c>
      <c r="CG34" s="544"/>
      <c r="CH34" s="544"/>
      <c r="CI34" s="536"/>
      <c r="CJ34" s="536"/>
      <c r="CK34" s="540"/>
      <c r="CN34" s="545" t="s">
        <v>616</v>
      </c>
      <c r="CO34" s="544"/>
      <c r="CP34" s="544"/>
      <c r="CQ34" s="536"/>
      <c r="CR34" s="536"/>
      <c r="CS34" s="540"/>
    </row>
    <row r="35" spans="1:97" ht="16" x14ac:dyDescent="0.2">
      <c r="A35" s="531"/>
      <c r="B35" s="531"/>
      <c r="C35" s="537" t="s">
        <v>418</v>
      </c>
      <c r="D35" s="538">
        <f>+D29</f>
        <v>0</v>
      </c>
      <c r="E35" s="538">
        <f>+E29</f>
        <v>20</v>
      </c>
      <c r="F35" s="538">
        <f>+F29</f>
        <v>0</v>
      </c>
      <c r="G35" s="538">
        <f>+G29</f>
        <v>0</v>
      </c>
      <c r="H35" s="536"/>
      <c r="I35" s="565"/>
      <c r="J35" s="565"/>
      <c r="K35" s="537" t="s">
        <v>418</v>
      </c>
      <c r="L35" s="538">
        <f>+L29</f>
        <v>0</v>
      </c>
      <c r="M35" s="538">
        <f>+M29</f>
        <v>10</v>
      </c>
      <c r="N35" s="538">
        <f>+N29</f>
        <v>0</v>
      </c>
      <c r="O35" s="538">
        <f>+O29</f>
        <v>0</v>
      </c>
      <c r="P35" s="536"/>
      <c r="Q35" s="531"/>
      <c r="R35" s="531"/>
      <c r="S35" s="531"/>
      <c r="T35" s="537" t="s">
        <v>1</v>
      </c>
      <c r="U35" s="538">
        <f>+U29</f>
        <v>0</v>
      </c>
      <c r="V35" s="538">
        <f>+V29</f>
        <v>20</v>
      </c>
      <c r="W35" s="538">
        <f>+W29</f>
        <v>0</v>
      </c>
      <c r="X35" s="538">
        <f>+X29</f>
        <v>0</v>
      </c>
      <c r="Y35" s="536"/>
      <c r="Z35" s="531"/>
      <c r="AA35" s="531"/>
      <c r="AB35" s="537" t="s">
        <v>1</v>
      </c>
      <c r="AC35" s="538">
        <f>+AC29</f>
        <v>0</v>
      </c>
      <c r="AD35" s="538">
        <f>+AD29</f>
        <v>10</v>
      </c>
      <c r="AE35" s="538">
        <f>+AE29</f>
        <v>0</v>
      </c>
      <c r="AF35" s="538">
        <f>+AF29</f>
        <v>0</v>
      </c>
      <c r="AG35" s="536"/>
      <c r="AH35" s="531"/>
      <c r="AI35" s="537" t="s">
        <v>1</v>
      </c>
      <c r="AJ35" s="538">
        <f>+AJ29</f>
        <v>0</v>
      </c>
      <c r="AK35" s="538">
        <f>+AK29</f>
        <v>0</v>
      </c>
      <c r="AL35" s="538">
        <f>+AL29</f>
        <v>0</v>
      </c>
      <c r="AM35" s="538">
        <f>+AM29</f>
        <v>5</v>
      </c>
      <c r="AN35" s="536"/>
      <c r="AP35" s="537" t="s">
        <v>1</v>
      </c>
      <c r="AQ35" s="538">
        <f>+AQ29</f>
        <v>0</v>
      </c>
      <c r="AR35" s="538">
        <f>+AR29</f>
        <v>0</v>
      </c>
      <c r="AS35" s="538">
        <f>+AS29</f>
        <v>0</v>
      </c>
      <c r="AT35" s="538">
        <f>+AT29</f>
        <v>10</v>
      </c>
      <c r="AU35" s="536"/>
      <c r="AW35" s="537" t="s">
        <v>1</v>
      </c>
      <c r="AX35" s="538">
        <f>+AX29</f>
        <v>10</v>
      </c>
      <c r="AY35" s="538">
        <f>+AY29</f>
        <v>0</v>
      </c>
      <c r="AZ35" s="538">
        <f>+AZ29</f>
        <v>0</v>
      </c>
      <c r="BA35" s="538">
        <f>+BA29</f>
        <v>0</v>
      </c>
      <c r="BB35" s="536"/>
      <c r="BD35" s="537" t="s">
        <v>1</v>
      </c>
      <c r="BE35" s="538">
        <f>+BE29</f>
        <v>5</v>
      </c>
      <c r="BF35" s="538">
        <f>+BF29</f>
        <v>0</v>
      </c>
      <c r="BG35" s="538">
        <f>+BG29</f>
        <v>0</v>
      </c>
      <c r="BH35" s="538">
        <f>+BH29</f>
        <v>0</v>
      </c>
      <c r="BI35" s="536"/>
      <c r="BK35" s="537" t="s">
        <v>1</v>
      </c>
      <c r="BL35" s="538">
        <f>+BL29</f>
        <v>0</v>
      </c>
      <c r="BM35" s="538">
        <f>+BM29</f>
        <v>0</v>
      </c>
      <c r="BN35" s="538">
        <f>+BN29</f>
        <v>10</v>
      </c>
      <c r="BO35" s="538">
        <f>+BO29</f>
        <v>0</v>
      </c>
      <c r="BP35" s="536"/>
      <c r="BR35" s="537" t="s">
        <v>1</v>
      </c>
      <c r="BS35" s="538">
        <f>+BS29</f>
        <v>0</v>
      </c>
      <c r="BT35" s="538">
        <f>+BT29</f>
        <v>0</v>
      </c>
      <c r="BU35" s="538">
        <f>+BU29</f>
        <v>5</v>
      </c>
      <c r="BV35" s="538">
        <f>+BV29</f>
        <v>0</v>
      </c>
      <c r="BW35" s="536"/>
      <c r="BY35" s="537" t="s">
        <v>1</v>
      </c>
      <c r="BZ35" s="538">
        <f>+BZ29</f>
        <v>0</v>
      </c>
      <c r="CA35" s="538">
        <f>+CA29</f>
        <v>0</v>
      </c>
      <c r="CB35" s="538">
        <f>+CB29</f>
        <v>0</v>
      </c>
      <c r="CC35" s="538">
        <f>+CC29</f>
        <v>10</v>
      </c>
      <c r="CD35" s="536"/>
      <c r="CF35" s="537" t="s">
        <v>1</v>
      </c>
      <c r="CG35" s="538">
        <f>+CG29</f>
        <v>5</v>
      </c>
      <c r="CH35" s="538">
        <v>5</v>
      </c>
      <c r="CI35" s="538">
        <v>5</v>
      </c>
      <c r="CJ35" s="538">
        <v>5</v>
      </c>
      <c r="CK35" s="536"/>
      <c r="CN35" s="537" t="s">
        <v>1</v>
      </c>
      <c r="CO35" s="538">
        <f>+CO29</f>
        <v>5</v>
      </c>
      <c r="CP35" s="538">
        <v>5</v>
      </c>
      <c r="CQ35" s="538"/>
      <c r="CR35" s="538"/>
      <c r="CS35" s="536"/>
    </row>
    <row r="36" spans="1:97" ht="16" x14ac:dyDescent="0.2">
      <c r="A36" s="531"/>
      <c r="B36" s="531"/>
      <c r="C36" s="543" t="s">
        <v>0</v>
      </c>
      <c r="D36" s="567">
        <v>35000</v>
      </c>
      <c r="E36" s="567">
        <f>+D36</f>
        <v>35000</v>
      </c>
      <c r="F36" s="568">
        <f>+E36</f>
        <v>35000</v>
      </c>
      <c r="G36" s="568">
        <f>+F36</f>
        <v>35000</v>
      </c>
      <c r="H36" s="540"/>
      <c r="I36" s="531"/>
      <c r="J36" s="531"/>
      <c r="K36" s="543" t="s">
        <v>0</v>
      </c>
      <c r="L36" s="567">
        <v>35000</v>
      </c>
      <c r="M36" s="567">
        <f>+L36</f>
        <v>35000</v>
      </c>
      <c r="N36" s="567">
        <f>+M36</f>
        <v>35000</v>
      </c>
      <c r="O36" s="567">
        <f>+N36</f>
        <v>35000</v>
      </c>
      <c r="P36" s="540"/>
      <c r="Q36" s="531"/>
      <c r="R36" s="531"/>
      <c r="S36" s="531"/>
      <c r="T36" s="543" t="s">
        <v>0</v>
      </c>
      <c r="U36" s="567">
        <f>SUM(L36)</f>
        <v>35000</v>
      </c>
      <c r="V36" s="567">
        <f>SUM(U36)</f>
        <v>35000</v>
      </c>
      <c r="W36" s="567">
        <f>SUM(V36)</f>
        <v>35000</v>
      </c>
      <c r="X36" s="567">
        <f>SUM(W36)</f>
        <v>35000</v>
      </c>
      <c r="Y36" s="540"/>
      <c r="Z36" s="531"/>
      <c r="AA36" s="531"/>
      <c r="AB36" s="543" t="s">
        <v>0</v>
      </c>
      <c r="AC36" s="567">
        <f>SUM(U36)</f>
        <v>35000</v>
      </c>
      <c r="AD36" s="567">
        <f>SUM(AC36)</f>
        <v>35000</v>
      </c>
      <c r="AE36" s="567">
        <f>SUM(AD36)</f>
        <v>35000</v>
      </c>
      <c r="AF36" s="567">
        <f>SUM(AE36)</f>
        <v>35000</v>
      </c>
      <c r="AG36" s="540"/>
      <c r="AH36" s="531"/>
      <c r="AI36" s="543" t="s">
        <v>0</v>
      </c>
      <c r="AJ36" s="567">
        <f>SUM(AC36)</f>
        <v>35000</v>
      </c>
      <c r="AK36" s="567">
        <f>SUM(AJ36)</f>
        <v>35000</v>
      </c>
      <c r="AL36" s="567">
        <f>SUM(AK36)</f>
        <v>35000</v>
      </c>
      <c r="AM36" s="567">
        <f>SUM(AL36)</f>
        <v>35000</v>
      </c>
      <c r="AN36" s="540"/>
      <c r="AP36" s="543" t="s">
        <v>0</v>
      </c>
      <c r="AQ36" s="567">
        <f>SUM(AJ36)</f>
        <v>35000</v>
      </c>
      <c r="AR36" s="567">
        <f>SUM(AQ36)</f>
        <v>35000</v>
      </c>
      <c r="AS36" s="567">
        <f>SUM(AR36)</f>
        <v>35000</v>
      </c>
      <c r="AT36" s="567">
        <f>SUM(AS36)</f>
        <v>35000</v>
      </c>
      <c r="AU36" s="540"/>
      <c r="AW36" s="543" t="s">
        <v>0</v>
      </c>
      <c r="AX36" s="567">
        <f>SUM(AQ36)</f>
        <v>35000</v>
      </c>
      <c r="AY36" s="567">
        <f>SUM(AX36)</f>
        <v>35000</v>
      </c>
      <c r="AZ36" s="567">
        <f>SUM(AY36)</f>
        <v>35000</v>
      </c>
      <c r="BA36" s="567">
        <f>SUM(AZ36)</f>
        <v>35000</v>
      </c>
      <c r="BB36" s="540"/>
      <c r="BD36" s="543" t="s">
        <v>0</v>
      </c>
      <c r="BE36" s="567">
        <f>SUM(AX36)</f>
        <v>35000</v>
      </c>
      <c r="BF36" s="567">
        <f>SUM(BE36)</f>
        <v>35000</v>
      </c>
      <c r="BG36" s="567">
        <f>SUM(BF36)</f>
        <v>35000</v>
      </c>
      <c r="BH36" s="567">
        <f>SUM(BG36)</f>
        <v>35000</v>
      </c>
      <c r="BI36" s="540"/>
      <c r="BK36" s="543" t="s">
        <v>0</v>
      </c>
      <c r="BL36" s="567">
        <f>SUM(BE36)</f>
        <v>35000</v>
      </c>
      <c r="BM36" s="567">
        <f>SUM(BL36)</f>
        <v>35000</v>
      </c>
      <c r="BN36" s="567">
        <f>SUM(BM36)</f>
        <v>35000</v>
      </c>
      <c r="BO36" s="567">
        <f>SUM(BN36)</f>
        <v>35000</v>
      </c>
      <c r="BP36" s="540"/>
      <c r="BR36" s="543" t="s">
        <v>0</v>
      </c>
      <c r="BS36" s="567">
        <f>SUM(BL36)</f>
        <v>35000</v>
      </c>
      <c r="BT36" s="567">
        <f>SUM(BS36)</f>
        <v>35000</v>
      </c>
      <c r="BU36" s="567">
        <f>SUM(BT36)</f>
        <v>35000</v>
      </c>
      <c r="BV36" s="567">
        <f>SUM(BU36)</f>
        <v>35000</v>
      </c>
      <c r="BW36" s="540"/>
      <c r="BY36" s="543" t="s">
        <v>0</v>
      </c>
      <c r="BZ36" s="567">
        <f>SUM(BS36)</f>
        <v>35000</v>
      </c>
      <c r="CA36" s="567">
        <f>SUM(BZ36)</f>
        <v>35000</v>
      </c>
      <c r="CB36" s="567">
        <f>SUM(CA36)</f>
        <v>35000</v>
      </c>
      <c r="CC36" s="567">
        <f>SUM(CB36)</f>
        <v>35000</v>
      </c>
      <c r="CD36" s="540"/>
      <c r="CF36" s="543" t="s">
        <v>0</v>
      </c>
      <c r="CG36" s="567">
        <v>180000</v>
      </c>
      <c r="CH36" s="567">
        <f>SUM(CG36)</f>
        <v>180000</v>
      </c>
      <c r="CI36" s="567">
        <f>SUM(CH36)</f>
        <v>180000</v>
      </c>
      <c r="CJ36" s="567">
        <f>SUM(CG36)</f>
        <v>180000</v>
      </c>
      <c r="CK36" s="540"/>
      <c r="CN36" s="543" t="s">
        <v>0</v>
      </c>
      <c r="CO36" s="567">
        <v>180000</v>
      </c>
      <c r="CP36" s="567">
        <f>SUM(CO36)</f>
        <v>180000</v>
      </c>
      <c r="CQ36" s="567">
        <f>SUM(CP36)</f>
        <v>180000</v>
      </c>
      <c r="CR36" s="567">
        <f>SUM(CO36)</f>
        <v>180000</v>
      </c>
      <c r="CS36" s="540"/>
    </row>
    <row r="37" spans="1:97" ht="16" x14ac:dyDescent="0.2">
      <c r="A37" s="531"/>
      <c r="B37" s="531"/>
      <c r="C37" s="546" t="s">
        <v>7</v>
      </c>
      <c r="D37" s="538">
        <f>+D36*D35</f>
        <v>0</v>
      </c>
      <c r="E37" s="538">
        <f>+E36*E35</f>
        <v>700000</v>
      </c>
      <c r="F37" s="539">
        <f>+F36*F35</f>
        <v>0</v>
      </c>
      <c r="G37" s="539">
        <f>+G36*G35</f>
        <v>0</v>
      </c>
      <c r="H37" s="540"/>
      <c r="I37" s="531"/>
      <c r="J37" s="531"/>
      <c r="K37" s="546" t="s">
        <v>7</v>
      </c>
      <c r="L37" s="538">
        <f>+L36*L35</f>
        <v>0</v>
      </c>
      <c r="M37" s="538">
        <f>+M36*M35</f>
        <v>350000</v>
      </c>
      <c r="N37" s="539">
        <f>+N36*N35</f>
        <v>0</v>
      </c>
      <c r="O37" s="539">
        <f>+O36*O35</f>
        <v>0</v>
      </c>
      <c r="P37" s="540"/>
      <c r="Q37" s="531"/>
      <c r="R37" s="531"/>
      <c r="S37" s="531"/>
      <c r="T37" s="546" t="s">
        <v>7</v>
      </c>
      <c r="U37" s="538">
        <f>+U36*U35</f>
        <v>0</v>
      </c>
      <c r="V37" s="538">
        <f>+V36*V35</f>
        <v>700000</v>
      </c>
      <c r="W37" s="539">
        <f>+W36*W35</f>
        <v>0</v>
      </c>
      <c r="X37" s="539">
        <f>+X36*X35</f>
        <v>0</v>
      </c>
      <c r="Y37" s="540"/>
      <c r="Z37" s="531"/>
      <c r="AA37" s="531"/>
      <c r="AB37" s="546" t="s">
        <v>7</v>
      </c>
      <c r="AC37" s="538">
        <f>+AC36*AC35</f>
        <v>0</v>
      </c>
      <c r="AD37" s="538">
        <f>+AD36*AD35</f>
        <v>350000</v>
      </c>
      <c r="AE37" s="539">
        <f>+AE36*AE35</f>
        <v>0</v>
      </c>
      <c r="AF37" s="539">
        <f>+AF36*AF35</f>
        <v>0</v>
      </c>
      <c r="AG37" s="540"/>
      <c r="AH37" s="531"/>
      <c r="AI37" s="546" t="s">
        <v>7</v>
      </c>
      <c r="AJ37" s="538">
        <f>+AJ36*AJ35</f>
        <v>0</v>
      </c>
      <c r="AK37" s="538">
        <f>+AK36*AK35</f>
        <v>0</v>
      </c>
      <c r="AL37" s="539">
        <f>+AL36*AL35</f>
        <v>0</v>
      </c>
      <c r="AM37" s="539">
        <f>+AM36*AM35</f>
        <v>175000</v>
      </c>
      <c r="AN37" s="540"/>
      <c r="AP37" s="546" t="s">
        <v>7</v>
      </c>
      <c r="AQ37" s="538">
        <f>+AQ36*AQ35</f>
        <v>0</v>
      </c>
      <c r="AR37" s="538">
        <f>+AR36*AR35</f>
        <v>0</v>
      </c>
      <c r="AS37" s="539">
        <f>+AS36*AS35</f>
        <v>0</v>
      </c>
      <c r="AT37" s="539">
        <f>+AT36*AT35</f>
        <v>350000</v>
      </c>
      <c r="AU37" s="540"/>
      <c r="AW37" s="546" t="s">
        <v>7</v>
      </c>
      <c r="AX37" s="538">
        <f>+AX36*AX35</f>
        <v>350000</v>
      </c>
      <c r="AY37" s="538">
        <f>+AY36*AY35</f>
        <v>0</v>
      </c>
      <c r="AZ37" s="539">
        <f>+AZ36*AZ35</f>
        <v>0</v>
      </c>
      <c r="BA37" s="539">
        <f>+BA36*BA35</f>
        <v>0</v>
      </c>
      <c r="BB37" s="540"/>
      <c r="BD37" s="546" t="s">
        <v>7</v>
      </c>
      <c r="BE37" s="538">
        <f>+BE36*BE35</f>
        <v>175000</v>
      </c>
      <c r="BF37" s="538">
        <f>+BF36*BF35</f>
        <v>0</v>
      </c>
      <c r="BG37" s="539">
        <f>+BG36*BG35</f>
        <v>0</v>
      </c>
      <c r="BH37" s="539">
        <f>+BH36*BH35</f>
        <v>0</v>
      </c>
      <c r="BI37" s="540"/>
      <c r="BK37" s="546" t="s">
        <v>7</v>
      </c>
      <c r="BL37" s="538">
        <f>+BL36*BL35</f>
        <v>0</v>
      </c>
      <c r="BM37" s="538">
        <f>+BM36*BM35</f>
        <v>0</v>
      </c>
      <c r="BN37" s="539">
        <f>+BN36*BN35</f>
        <v>350000</v>
      </c>
      <c r="BO37" s="539">
        <f>+BO36*BO35</f>
        <v>0</v>
      </c>
      <c r="BP37" s="540"/>
      <c r="BR37" s="546" t="s">
        <v>7</v>
      </c>
      <c r="BS37" s="538">
        <f>+BS36*BS35</f>
        <v>0</v>
      </c>
      <c r="BT37" s="538">
        <f>+BT36*BT35</f>
        <v>0</v>
      </c>
      <c r="BU37" s="539">
        <f>+BU36*BU35</f>
        <v>175000</v>
      </c>
      <c r="BV37" s="539">
        <f>+BV36*BV35</f>
        <v>0</v>
      </c>
      <c r="BW37" s="540"/>
      <c r="BY37" s="546" t="s">
        <v>7</v>
      </c>
      <c r="BZ37" s="538">
        <f>+BZ36*BZ35</f>
        <v>0</v>
      </c>
      <c r="CA37" s="538">
        <f>+CA36*CA35</f>
        <v>0</v>
      </c>
      <c r="CB37" s="539">
        <f>+CB36*CB35</f>
        <v>0</v>
      </c>
      <c r="CC37" s="539">
        <f>+CC36*CC35</f>
        <v>350000</v>
      </c>
      <c r="CD37" s="540"/>
      <c r="CF37" s="546" t="s">
        <v>7</v>
      </c>
      <c r="CG37" s="538">
        <f>+CG36*CG35</f>
        <v>900000</v>
      </c>
      <c r="CH37" s="538">
        <f>+CH36*CH35</f>
        <v>900000</v>
      </c>
      <c r="CI37" s="539">
        <f>+CI36*CI35</f>
        <v>900000</v>
      </c>
      <c r="CJ37" s="539">
        <f>+CJ36*CJ35</f>
        <v>900000</v>
      </c>
      <c r="CK37" s="540"/>
      <c r="CN37" s="546" t="s">
        <v>7</v>
      </c>
      <c r="CO37" s="538">
        <f>+CO36*CO35</f>
        <v>900000</v>
      </c>
      <c r="CP37" s="538">
        <f>+CP36*CP35</f>
        <v>900000</v>
      </c>
      <c r="CQ37" s="539">
        <f>+CQ36*CQ35</f>
        <v>0</v>
      </c>
      <c r="CR37" s="539">
        <f>+CR36*CR35</f>
        <v>0</v>
      </c>
      <c r="CS37" s="540"/>
    </row>
    <row r="38" spans="1:97" ht="16" x14ac:dyDescent="0.2">
      <c r="A38" s="531"/>
      <c r="B38" s="531"/>
      <c r="C38" s="547" t="s">
        <v>8</v>
      </c>
      <c r="D38" s="548">
        <f>+D37</f>
        <v>0</v>
      </c>
      <c r="E38" s="548">
        <f>+D38+E37</f>
        <v>700000</v>
      </c>
      <c r="F38" s="549">
        <f>+E38+F37</f>
        <v>700000</v>
      </c>
      <c r="G38" s="549">
        <f>+F38+G37</f>
        <v>700000</v>
      </c>
      <c r="H38" s="540"/>
      <c r="I38" s="531"/>
      <c r="J38" s="531"/>
      <c r="K38" s="547" t="s">
        <v>8</v>
      </c>
      <c r="L38" s="548">
        <f>+L37</f>
        <v>0</v>
      </c>
      <c r="M38" s="548">
        <f>+L38+M37</f>
        <v>350000</v>
      </c>
      <c r="N38" s="549">
        <f>+M38+N37</f>
        <v>350000</v>
      </c>
      <c r="O38" s="549">
        <f>+N38+O37</f>
        <v>350000</v>
      </c>
      <c r="P38" s="540"/>
      <c r="Q38" s="531"/>
      <c r="R38" s="531"/>
      <c r="S38" s="531"/>
      <c r="T38" s="547" t="s">
        <v>8</v>
      </c>
      <c r="U38" s="548">
        <f>+U37</f>
        <v>0</v>
      </c>
      <c r="V38" s="548">
        <f>+U38+V37</f>
        <v>700000</v>
      </c>
      <c r="W38" s="549">
        <f>+V38+W37</f>
        <v>700000</v>
      </c>
      <c r="X38" s="549">
        <f>+W38+X37</f>
        <v>700000</v>
      </c>
      <c r="Y38" s="540"/>
      <c r="Z38" s="531"/>
      <c r="AA38" s="531"/>
      <c r="AB38" s="547" t="s">
        <v>8</v>
      </c>
      <c r="AC38" s="548">
        <f>+AC37</f>
        <v>0</v>
      </c>
      <c r="AD38" s="548">
        <f>+AC38+AD37</f>
        <v>350000</v>
      </c>
      <c r="AE38" s="549">
        <f>+AD38+AE37</f>
        <v>350000</v>
      </c>
      <c r="AF38" s="549">
        <f>+AE38+AF37</f>
        <v>350000</v>
      </c>
      <c r="AG38" s="540"/>
      <c r="AH38" s="531"/>
      <c r="AI38" s="547" t="s">
        <v>8</v>
      </c>
      <c r="AJ38" s="548">
        <f>+AJ37</f>
        <v>0</v>
      </c>
      <c r="AK38" s="548">
        <f>+AJ38+AK37</f>
        <v>0</v>
      </c>
      <c r="AL38" s="549">
        <f>+AK38+AL37</f>
        <v>0</v>
      </c>
      <c r="AM38" s="549">
        <f>+AL38+AM37</f>
        <v>175000</v>
      </c>
      <c r="AN38" s="540"/>
      <c r="AP38" s="547" t="s">
        <v>8</v>
      </c>
      <c r="AQ38" s="548">
        <f>+AQ37</f>
        <v>0</v>
      </c>
      <c r="AR38" s="548">
        <f>+AQ38+AR37</f>
        <v>0</v>
      </c>
      <c r="AS38" s="549">
        <f>+AR38+AS37</f>
        <v>0</v>
      </c>
      <c r="AT38" s="549">
        <f>+AS38+AT37</f>
        <v>350000</v>
      </c>
      <c r="AU38" s="540"/>
      <c r="AW38" s="547" t="s">
        <v>8</v>
      </c>
      <c r="AX38" s="548">
        <f>+AX37</f>
        <v>350000</v>
      </c>
      <c r="AY38" s="548">
        <f>+AX38+AY37</f>
        <v>350000</v>
      </c>
      <c r="AZ38" s="549">
        <f>+AY38+AZ37</f>
        <v>350000</v>
      </c>
      <c r="BA38" s="549">
        <f>+AZ38+BA37</f>
        <v>350000</v>
      </c>
      <c r="BB38" s="540"/>
      <c r="BD38" s="547" t="s">
        <v>8</v>
      </c>
      <c r="BE38" s="548">
        <f>+BE37</f>
        <v>175000</v>
      </c>
      <c r="BF38" s="548">
        <f>+BE38+BF37</f>
        <v>175000</v>
      </c>
      <c r="BG38" s="549">
        <f>+BF38+BG37</f>
        <v>175000</v>
      </c>
      <c r="BH38" s="549">
        <f>+BG38+BH37</f>
        <v>175000</v>
      </c>
      <c r="BI38" s="540"/>
      <c r="BK38" s="547" t="s">
        <v>8</v>
      </c>
      <c r="BL38" s="548">
        <f>+BL37</f>
        <v>0</v>
      </c>
      <c r="BM38" s="548">
        <f>+BL38+BM37</f>
        <v>0</v>
      </c>
      <c r="BN38" s="549">
        <f>+BM38+BN37</f>
        <v>350000</v>
      </c>
      <c r="BO38" s="549">
        <f>+BN38+BO37</f>
        <v>350000</v>
      </c>
      <c r="BP38" s="540"/>
      <c r="BR38" s="547" t="s">
        <v>8</v>
      </c>
      <c r="BS38" s="548">
        <f>+BS37</f>
        <v>0</v>
      </c>
      <c r="BT38" s="548">
        <f>+BS38+BT37</f>
        <v>0</v>
      </c>
      <c r="BU38" s="549">
        <f>+BT38+BU37</f>
        <v>175000</v>
      </c>
      <c r="BV38" s="549">
        <f>+BU38+BV37</f>
        <v>175000</v>
      </c>
      <c r="BW38" s="540"/>
      <c r="BY38" s="547" t="s">
        <v>8</v>
      </c>
      <c r="BZ38" s="548">
        <f>+BZ37</f>
        <v>0</v>
      </c>
      <c r="CA38" s="548">
        <f>+BZ38+CA37</f>
        <v>0</v>
      </c>
      <c r="CB38" s="549">
        <f>+CA38+CB37</f>
        <v>0</v>
      </c>
      <c r="CC38" s="549">
        <f>+CB38+CC37</f>
        <v>350000</v>
      </c>
      <c r="CD38" s="540"/>
      <c r="CF38" s="547" t="s">
        <v>8</v>
      </c>
      <c r="CG38" s="548">
        <f>+CG37</f>
        <v>900000</v>
      </c>
      <c r="CH38" s="548">
        <f>+CG38+CH37</f>
        <v>1800000</v>
      </c>
      <c r="CI38" s="549">
        <f>+CH38+CI37</f>
        <v>2700000</v>
      </c>
      <c r="CJ38" s="549">
        <f>+CI38+CJ37</f>
        <v>3600000</v>
      </c>
      <c r="CK38" s="540"/>
      <c r="CN38" s="547" t="s">
        <v>8</v>
      </c>
      <c r="CO38" s="548">
        <f>+CO37</f>
        <v>900000</v>
      </c>
      <c r="CP38" s="548">
        <f>+CO38+CP37</f>
        <v>1800000</v>
      </c>
      <c r="CQ38" s="549">
        <f>+CP38+CQ37</f>
        <v>1800000</v>
      </c>
      <c r="CR38" s="549">
        <f>+CQ38+CR37</f>
        <v>1800000</v>
      </c>
      <c r="CS38" s="540"/>
    </row>
    <row r="39" spans="1:97" ht="16" x14ac:dyDescent="0.2">
      <c r="A39" s="531"/>
      <c r="B39" s="531"/>
      <c r="C39" s="543"/>
      <c r="D39" s="544"/>
      <c r="E39" s="544"/>
      <c r="F39" s="536"/>
      <c r="G39" s="536"/>
      <c r="H39" s="540"/>
      <c r="I39" s="531"/>
      <c r="J39" s="531"/>
      <c r="K39" s="543"/>
      <c r="L39" s="544"/>
      <c r="M39" s="544"/>
      <c r="N39" s="536"/>
      <c r="O39" s="536"/>
      <c r="P39" s="540"/>
      <c r="Q39" s="531"/>
      <c r="R39" s="531"/>
      <c r="S39" s="531"/>
      <c r="T39" s="543"/>
      <c r="U39" s="544"/>
      <c r="V39" s="544"/>
      <c r="W39" s="536"/>
      <c r="X39" s="536"/>
      <c r="Y39" s="540"/>
      <c r="Z39" s="531"/>
      <c r="AA39" s="531"/>
      <c r="AB39" s="543"/>
      <c r="AC39" s="544"/>
      <c r="AD39" s="544"/>
      <c r="AE39" s="536"/>
      <c r="AF39" s="536"/>
      <c r="AG39" s="540"/>
      <c r="AH39" s="531"/>
      <c r="AI39" s="543"/>
      <c r="AJ39" s="544"/>
      <c r="AK39" s="544"/>
      <c r="AL39" s="536"/>
      <c r="AM39" s="536"/>
      <c r="AN39" s="540"/>
      <c r="AP39" s="543"/>
      <c r="AQ39" s="544"/>
      <c r="AR39" s="544"/>
      <c r="AS39" s="536"/>
      <c r="AT39" s="536"/>
      <c r="AU39" s="540"/>
      <c r="AW39" s="543"/>
      <c r="AX39" s="544"/>
      <c r="AY39" s="544"/>
      <c r="AZ39" s="536"/>
      <c r="BA39" s="536"/>
      <c r="BB39" s="540"/>
      <c r="BD39" s="543"/>
      <c r="BE39" s="544"/>
      <c r="BF39" s="544"/>
      <c r="BG39" s="536"/>
      <c r="BH39" s="536"/>
      <c r="BI39" s="540"/>
      <c r="BK39" s="543"/>
      <c r="BL39" s="544"/>
      <c r="BM39" s="544"/>
      <c r="BN39" s="536"/>
      <c r="BO39" s="536"/>
      <c r="BP39" s="540"/>
      <c r="BR39" s="543"/>
      <c r="BS39" s="544"/>
      <c r="BT39" s="544"/>
      <c r="BU39" s="536"/>
      <c r="BV39" s="536"/>
      <c r="BW39" s="540"/>
      <c r="BY39" s="543"/>
      <c r="BZ39" s="544"/>
      <c r="CA39" s="544"/>
      <c r="CB39" s="536"/>
      <c r="CC39" s="536"/>
      <c r="CD39" s="540"/>
      <c r="CF39" s="543"/>
      <c r="CG39" s="544"/>
      <c r="CH39" s="544"/>
      <c r="CI39" s="536"/>
      <c r="CJ39" s="536"/>
      <c r="CK39" s="540"/>
      <c r="CN39" s="543"/>
      <c r="CO39" s="544"/>
      <c r="CP39" s="544"/>
      <c r="CQ39" s="536"/>
      <c r="CR39" s="536"/>
      <c r="CS39" s="540"/>
    </row>
    <row r="40" spans="1:97" ht="16" x14ac:dyDescent="0.2">
      <c r="A40" s="531"/>
      <c r="B40" s="531"/>
      <c r="C40" s="545" t="s">
        <v>501</v>
      </c>
      <c r="D40" s="566">
        <v>25000</v>
      </c>
      <c r="E40" s="566">
        <f>SUM(D40)</f>
        <v>25000</v>
      </c>
      <c r="F40" s="569">
        <f>SUM(D40)</f>
        <v>25000</v>
      </c>
      <c r="G40" s="569">
        <f>SUM(D40)</f>
        <v>25000</v>
      </c>
      <c r="H40" s="540"/>
      <c r="I40" s="531"/>
      <c r="J40" s="531"/>
      <c r="K40" s="545" t="s">
        <v>501</v>
      </c>
      <c r="L40" s="566">
        <v>25000</v>
      </c>
      <c r="M40" s="566">
        <f>SUM(L40)</f>
        <v>25000</v>
      </c>
      <c r="N40" s="566">
        <f>SUM(L40)</f>
        <v>25000</v>
      </c>
      <c r="O40" s="566">
        <f>SUM(L40)</f>
        <v>25000</v>
      </c>
      <c r="P40" s="540"/>
      <c r="Q40" s="531"/>
      <c r="R40" s="531"/>
      <c r="S40" s="531"/>
      <c r="T40" s="545" t="s">
        <v>501</v>
      </c>
      <c r="U40" s="566">
        <f>SUM(L40)</f>
        <v>25000</v>
      </c>
      <c r="V40" s="566">
        <f>SUM(U40)</f>
        <v>25000</v>
      </c>
      <c r="W40" s="566">
        <f>SUM(U40)</f>
        <v>25000</v>
      </c>
      <c r="X40" s="566">
        <f>SUM(U40)</f>
        <v>25000</v>
      </c>
      <c r="Y40" s="540"/>
      <c r="Z40" s="531"/>
      <c r="AA40" s="531"/>
      <c r="AB40" s="545" t="s">
        <v>501</v>
      </c>
      <c r="AC40" s="566">
        <f>SUM(U40)</f>
        <v>25000</v>
      </c>
      <c r="AD40" s="566">
        <f>SUM(AC40)</f>
        <v>25000</v>
      </c>
      <c r="AE40" s="566">
        <f>SUM(AC40)</f>
        <v>25000</v>
      </c>
      <c r="AF40" s="566">
        <f>SUM(AC40)</f>
        <v>25000</v>
      </c>
      <c r="AG40" s="540"/>
      <c r="AH40" s="531"/>
      <c r="AI40" s="545" t="s">
        <v>501</v>
      </c>
      <c r="AJ40" s="566">
        <f>SUM(AC40)</f>
        <v>25000</v>
      </c>
      <c r="AK40" s="566">
        <f>SUM(AJ40)</f>
        <v>25000</v>
      </c>
      <c r="AL40" s="566">
        <f>SUM(AJ40)</f>
        <v>25000</v>
      </c>
      <c r="AM40" s="566">
        <f>SUM(AJ40)</f>
        <v>25000</v>
      </c>
      <c r="AN40" s="540"/>
      <c r="AP40" s="545" t="s">
        <v>501</v>
      </c>
      <c r="AQ40" s="566">
        <f>SUM(AJ40)</f>
        <v>25000</v>
      </c>
      <c r="AR40" s="566">
        <f>SUM(AQ40)</f>
        <v>25000</v>
      </c>
      <c r="AS40" s="566">
        <f>SUM(AQ40)</f>
        <v>25000</v>
      </c>
      <c r="AT40" s="566">
        <f>SUM(AQ40)</f>
        <v>25000</v>
      </c>
      <c r="AU40" s="540"/>
      <c r="AW40" s="545" t="s">
        <v>501</v>
      </c>
      <c r="AX40" s="566">
        <f>SUM(AQ40)</f>
        <v>25000</v>
      </c>
      <c r="AY40" s="566">
        <f>SUM(AX40)</f>
        <v>25000</v>
      </c>
      <c r="AZ40" s="566">
        <f>SUM(AX40)</f>
        <v>25000</v>
      </c>
      <c r="BA40" s="566">
        <f>SUM(AX40)</f>
        <v>25000</v>
      </c>
      <c r="BB40" s="540"/>
      <c r="BD40" s="545" t="s">
        <v>501</v>
      </c>
      <c r="BE40" s="566">
        <f>SUM(AX40)</f>
        <v>25000</v>
      </c>
      <c r="BF40" s="566">
        <f>SUM(BE40)</f>
        <v>25000</v>
      </c>
      <c r="BG40" s="566">
        <f>SUM(BE40)</f>
        <v>25000</v>
      </c>
      <c r="BH40" s="566">
        <f>SUM(BE40)</f>
        <v>25000</v>
      </c>
      <c r="BI40" s="540"/>
      <c r="BK40" s="545" t="s">
        <v>501</v>
      </c>
      <c r="BL40" s="566">
        <f>SUM(BE40)</f>
        <v>25000</v>
      </c>
      <c r="BM40" s="566">
        <f>SUM(BL40)</f>
        <v>25000</v>
      </c>
      <c r="BN40" s="566">
        <f>SUM(BL40)</f>
        <v>25000</v>
      </c>
      <c r="BO40" s="566">
        <f>SUM(BL40)</f>
        <v>25000</v>
      </c>
      <c r="BP40" s="540"/>
      <c r="BR40" s="545" t="s">
        <v>501</v>
      </c>
      <c r="BS40" s="566">
        <f>SUM(BL40)</f>
        <v>25000</v>
      </c>
      <c r="BT40" s="566">
        <f>SUM(BS40)</f>
        <v>25000</v>
      </c>
      <c r="BU40" s="566">
        <f>SUM(BS40)</f>
        <v>25000</v>
      </c>
      <c r="BV40" s="566">
        <f>SUM(BS40)</f>
        <v>25000</v>
      </c>
      <c r="BW40" s="540"/>
      <c r="BY40" s="545" t="s">
        <v>501</v>
      </c>
      <c r="BZ40" s="566">
        <f>SUM(BS40)</f>
        <v>25000</v>
      </c>
      <c r="CA40" s="566">
        <f>SUM(BZ40)</f>
        <v>25000</v>
      </c>
      <c r="CB40" s="566">
        <f>SUM(BZ40)</f>
        <v>25000</v>
      </c>
      <c r="CC40" s="566">
        <f>SUM(BZ40)</f>
        <v>25000</v>
      </c>
      <c r="CD40" s="540"/>
      <c r="CF40" s="545" t="s">
        <v>501</v>
      </c>
      <c r="CG40" s="566">
        <f>SUM(BZ40)</f>
        <v>25000</v>
      </c>
      <c r="CH40" s="566"/>
      <c r="CI40" s="566"/>
      <c r="CJ40" s="566">
        <f>SUM(CG40)</f>
        <v>25000</v>
      </c>
      <c r="CK40" s="540"/>
      <c r="CN40" s="545" t="s">
        <v>623</v>
      </c>
      <c r="CO40" s="566">
        <f>SUM(CH40)</f>
        <v>0</v>
      </c>
      <c r="CP40" s="566"/>
      <c r="CQ40" s="566"/>
      <c r="CR40" s="566">
        <f>SUM(CO40)</f>
        <v>0</v>
      </c>
      <c r="CS40" s="540"/>
    </row>
    <row r="41" spans="1:97" ht="16" x14ac:dyDescent="0.2">
      <c r="A41" s="531"/>
      <c r="B41" s="531"/>
      <c r="C41" s="537" t="s">
        <v>107</v>
      </c>
      <c r="D41" s="538">
        <f>+D29*D40</f>
        <v>0</v>
      </c>
      <c r="E41" s="538">
        <f>+E29*E40</f>
        <v>500000</v>
      </c>
      <c r="F41" s="538">
        <f>+F29*F40</f>
        <v>0</v>
      </c>
      <c r="G41" s="538">
        <f>+G29*G40</f>
        <v>0</v>
      </c>
      <c r="H41" s="536"/>
      <c r="I41" s="565"/>
      <c r="J41" s="565"/>
      <c r="K41" s="537" t="s">
        <v>107</v>
      </c>
      <c r="L41" s="538">
        <f>+L29*L40</f>
        <v>0</v>
      </c>
      <c r="M41" s="538">
        <f>+M29*M40</f>
        <v>250000</v>
      </c>
      <c r="N41" s="538">
        <f>+N29*N40</f>
        <v>0</v>
      </c>
      <c r="O41" s="538">
        <f>+O29*O40</f>
        <v>0</v>
      </c>
      <c r="P41" s="536"/>
      <c r="Q41" s="531"/>
      <c r="R41" s="531"/>
      <c r="S41" s="531"/>
      <c r="T41" s="537" t="s">
        <v>107</v>
      </c>
      <c r="U41" s="538">
        <f>+U29*U40</f>
        <v>0</v>
      </c>
      <c r="V41" s="538">
        <f>+V29*V40</f>
        <v>500000</v>
      </c>
      <c r="W41" s="538">
        <f>+W29*W40</f>
        <v>0</v>
      </c>
      <c r="X41" s="538">
        <f>+X29*X40</f>
        <v>0</v>
      </c>
      <c r="Y41" s="536"/>
      <c r="Z41" s="531"/>
      <c r="AA41" s="531"/>
      <c r="AB41" s="537" t="s">
        <v>107</v>
      </c>
      <c r="AC41" s="538">
        <f>+AC29*AC40</f>
        <v>0</v>
      </c>
      <c r="AD41" s="538">
        <f>+AD29*AD40</f>
        <v>250000</v>
      </c>
      <c r="AE41" s="538">
        <f>+AE29*AE40</f>
        <v>0</v>
      </c>
      <c r="AF41" s="538">
        <f>+AF29*AF40</f>
        <v>0</v>
      </c>
      <c r="AG41" s="536"/>
      <c r="AH41" s="531"/>
      <c r="AI41" s="537" t="s">
        <v>107</v>
      </c>
      <c r="AJ41" s="538">
        <f>+AJ29*AJ40</f>
        <v>0</v>
      </c>
      <c r="AK41" s="538">
        <f>+AK29*AK40</f>
        <v>0</v>
      </c>
      <c r="AL41" s="538">
        <f>+AL29*AL40</f>
        <v>0</v>
      </c>
      <c r="AM41" s="538">
        <f>+AM29*AM40</f>
        <v>125000</v>
      </c>
      <c r="AN41" s="536"/>
      <c r="AP41" s="537" t="s">
        <v>107</v>
      </c>
      <c r="AQ41" s="538">
        <f>+AQ29*AQ40</f>
        <v>0</v>
      </c>
      <c r="AR41" s="538">
        <f>+AR29*AR40</f>
        <v>0</v>
      </c>
      <c r="AS41" s="538">
        <f>+AS29*AS40</f>
        <v>0</v>
      </c>
      <c r="AT41" s="538">
        <f>+AT29*AT40</f>
        <v>250000</v>
      </c>
      <c r="AU41" s="536"/>
      <c r="AW41" s="537" t="s">
        <v>107</v>
      </c>
      <c r="AX41" s="538">
        <f>+AX29*AX40</f>
        <v>250000</v>
      </c>
      <c r="AY41" s="538">
        <f>+AY29*AY40</f>
        <v>0</v>
      </c>
      <c r="AZ41" s="538">
        <f>+AZ29*AZ40</f>
        <v>0</v>
      </c>
      <c r="BA41" s="538">
        <f>+BA29*BA40</f>
        <v>0</v>
      </c>
      <c r="BB41" s="536"/>
      <c r="BD41" s="537" t="s">
        <v>107</v>
      </c>
      <c r="BE41" s="538">
        <f>+BE29*BE40</f>
        <v>125000</v>
      </c>
      <c r="BF41" s="538">
        <f>+BF29*BF40</f>
        <v>0</v>
      </c>
      <c r="BG41" s="538">
        <f>+BG29*BG40</f>
        <v>0</v>
      </c>
      <c r="BH41" s="538">
        <f>+BH29*BH40</f>
        <v>0</v>
      </c>
      <c r="BI41" s="536"/>
      <c r="BK41" s="537" t="s">
        <v>107</v>
      </c>
      <c r="BL41" s="538">
        <f>+BL29*BL40</f>
        <v>0</v>
      </c>
      <c r="BM41" s="538">
        <f>+BM29*BM40</f>
        <v>0</v>
      </c>
      <c r="BN41" s="538">
        <f>+BN29*BN40</f>
        <v>250000</v>
      </c>
      <c r="BO41" s="538">
        <f>+BO29*BO40</f>
        <v>0</v>
      </c>
      <c r="BP41" s="536"/>
      <c r="BR41" s="537" t="s">
        <v>107</v>
      </c>
      <c r="BS41" s="538">
        <f>+BS29*BS40</f>
        <v>0</v>
      </c>
      <c r="BT41" s="538">
        <f>+BT29*BT40</f>
        <v>0</v>
      </c>
      <c r="BU41" s="538">
        <f>+BU29*BU40</f>
        <v>125000</v>
      </c>
      <c r="BV41" s="538">
        <f>+BV29*BV40</f>
        <v>0</v>
      </c>
      <c r="BW41" s="536"/>
      <c r="BY41" s="537" t="s">
        <v>107</v>
      </c>
      <c r="BZ41" s="538">
        <f>+BZ29*BZ40</f>
        <v>0</v>
      </c>
      <c r="CA41" s="538">
        <f>+CA29*CA40</f>
        <v>0</v>
      </c>
      <c r="CB41" s="538">
        <f>+CB29*CB40</f>
        <v>0</v>
      </c>
      <c r="CC41" s="538">
        <f>+CC29*CC40</f>
        <v>250000</v>
      </c>
      <c r="CD41" s="536"/>
      <c r="CF41" s="537" t="s">
        <v>107</v>
      </c>
      <c r="CG41" s="538">
        <f>+CG29*CG40</f>
        <v>125000</v>
      </c>
      <c r="CH41" s="538">
        <f>+CH29*CH40</f>
        <v>0</v>
      </c>
      <c r="CI41" s="538">
        <f>+CI29*CI40</f>
        <v>0</v>
      </c>
      <c r="CJ41" s="538">
        <f>+CJ29*CJ40</f>
        <v>0</v>
      </c>
      <c r="CK41" s="536"/>
      <c r="CN41" s="537" t="s">
        <v>107</v>
      </c>
      <c r="CO41" s="538">
        <f>+CO29*CO40</f>
        <v>0</v>
      </c>
      <c r="CP41" s="538">
        <f>+CP29*CP40</f>
        <v>0</v>
      </c>
      <c r="CQ41" s="538">
        <f>+CQ29*CQ40</f>
        <v>0</v>
      </c>
      <c r="CR41" s="538">
        <f>+CR29*CR40</f>
        <v>0</v>
      </c>
      <c r="CS41" s="536"/>
    </row>
    <row r="42" spans="1:97" ht="16" x14ac:dyDescent="0.2">
      <c r="A42" s="531"/>
      <c r="B42" s="531"/>
      <c r="C42" s="547" t="s">
        <v>8</v>
      </c>
      <c r="D42" s="548">
        <f>+D41</f>
        <v>0</v>
      </c>
      <c r="E42" s="548">
        <f>+D42+E41</f>
        <v>500000</v>
      </c>
      <c r="F42" s="549">
        <f>+E42+F41</f>
        <v>500000</v>
      </c>
      <c r="G42" s="549">
        <f>+F42+G41</f>
        <v>500000</v>
      </c>
      <c r="H42" s="540"/>
      <c r="I42" s="531"/>
      <c r="J42" s="531"/>
      <c r="K42" s="547" t="s">
        <v>8</v>
      </c>
      <c r="L42" s="548">
        <f>+L41</f>
        <v>0</v>
      </c>
      <c r="M42" s="548">
        <f>+L42+M41</f>
        <v>250000</v>
      </c>
      <c r="N42" s="549">
        <f>+M42+N41</f>
        <v>250000</v>
      </c>
      <c r="O42" s="549">
        <f>+N42+O41</f>
        <v>250000</v>
      </c>
      <c r="P42" s="540"/>
      <c r="Q42" s="531"/>
      <c r="R42" s="531"/>
      <c r="S42" s="531"/>
      <c r="T42" s="547" t="s">
        <v>8</v>
      </c>
      <c r="U42" s="548">
        <f>+U41</f>
        <v>0</v>
      </c>
      <c r="V42" s="548">
        <f>+U42+V41</f>
        <v>500000</v>
      </c>
      <c r="W42" s="549">
        <f>+V42+W41</f>
        <v>500000</v>
      </c>
      <c r="X42" s="549">
        <f>+W42+X41</f>
        <v>500000</v>
      </c>
      <c r="Y42" s="540"/>
      <c r="Z42" s="531"/>
      <c r="AA42" s="531"/>
      <c r="AB42" s="547" t="s">
        <v>8</v>
      </c>
      <c r="AC42" s="548">
        <f>+AC41</f>
        <v>0</v>
      </c>
      <c r="AD42" s="548">
        <f>+AC42+AD41</f>
        <v>250000</v>
      </c>
      <c r="AE42" s="549">
        <f>+AD42+AE41</f>
        <v>250000</v>
      </c>
      <c r="AF42" s="549">
        <f>+AE42+AF41</f>
        <v>250000</v>
      </c>
      <c r="AG42" s="540"/>
      <c r="AH42" s="531"/>
      <c r="AI42" s="547" t="s">
        <v>8</v>
      </c>
      <c r="AJ42" s="548">
        <f>+AJ41</f>
        <v>0</v>
      </c>
      <c r="AK42" s="548">
        <f>+AJ42+AK41</f>
        <v>0</v>
      </c>
      <c r="AL42" s="549">
        <f>+AK42+AL41</f>
        <v>0</v>
      </c>
      <c r="AM42" s="549">
        <f>+AL42+AM41</f>
        <v>125000</v>
      </c>
      <c r="AN42" s="540"/>
      <c r="AP42" s="547" t="s">
        <v>8</v>
      </c>
      <c r="AQ42" s="548">
        <f>+AQ41</f>
        <v>0</v>
      </c>
      <c r="AR42" s="548">
        <f>+AQ42+AR41</f>
        <v>0</v>
      </c>
      <c r="AS42" s="549">
        <f>+AR42+AS41</f>
        <v>0</v>
      </c>
      <c r="AT42" s="549">
        <f>+AS42+AT41</f>
        <v>250000</v>
      </c>
      <c r="AU42" s="540"/>
      <c r="AW42" s="547" t="s">
        <v>8</v>
      </c>
      <c r="AX42" s="548">
        <f>+AX41</f>
        <v>250000</v>
      </c>
      <c r="AY42" s="548">
        <f>+AX42+AY41</f>
        <v>250000</v>
      </c>
      <c r="AZ42" s="549">
        <f>+AY42+AZ41</f>
        <v>250000</v>
      </c>
      <c r="BA42" s="549">
        <f>+AZ42+BA41</f>
        <v>250000</v>
      </c>
      <c r="BB42" s="540"/>
      <c r="BD42" s="547" t="s">
        <v>8</v>
      </c>
      <c r="BE42" s="548">
        <f>+BE41</f>
        <v>125000</v>
      </c>
      <c r="BF42" s="548">
        <f>+BE42+BF41</f>
        <v>125000</v>
      </c>
      <c r="BG42" s="549">
        <f>+BF42+BG41</f>
        <v>125000</v>
      </c>
      <c r="BH42" s="549">
        <f>+BG42+BH41</f>
        <v>125000</v>
      </c>
      <c r="BI42" s="540"/>
      <c r="BK42" s="547" t="s">
        <v>8</v>
      </c>
      <c r="BL42" s="548">
        <f>+BL41</f>
        <v>0</v>
      </c>
      <c r="BM42" s="548">
        <f>+BL42+BM41</f>
        <v>0</v>
      </c>
      <c r="BN42" s="549">
        <f>+BM42+BN41</f>
        <v>250000</v>
      </c>
      <c r="BO42" s="549">
        <f>+BN42+BO41</f>
        <v>250000</v>
      </c>
      <c r="BP42" s="540"/>
      <c r="BR42" s="547" t="s">
        <v>8</v>
      </c>
      <c r="BS42" s="548">
        <f>+BS41</f>
        <v>0</v>
      </c>
      <c r="BT42" s="548">
        <f>+BS42+BT41</f>
        <v>0</v>
      </c>
      <c r="BU42" s="549">
        <f>+BT42+BU41</f>
        <v>125000</v>
      </c>
      <c r="BV42" s="549">
        <f>+BU42+BV41</f>
        <v>125000</v>
      </c>
      <c r="BW42" s="540"/>
      <c r="BY42" s="547" t="s">
        <v>8</v>
      </c>
      <c r="BZ42" s="548">
        <f>+BZ41</f>
        <v>0</v>
      </c>
      <c r="CA42" s="548">
        <f>+BZ42+CA41</f>
        <v>0</v>
      </c>
      <c r="CB42" s="549">
        <f>+CA42+CB41</f>
        <v>0</v>
      </c>
      <c r="CC42" s="549">
        <f>+CB42+CC41</f>
        <v>250000</v>
      </c>
      <c r="CD42" s="540"/>
      <c r="CF42" s="547" t="s">
        <v>8</v>
      </c>
      <c r="CG42" s="548">
        <f>+CG41</f>
        <v>125000</v>
      </c>
      <c r="CH42" s="548">
        <f>+CG42+CH41</f>
        <v>125000</v>
      </c>
      <c r="CI42" s="549">
        <f>+CH42+CI41</f>
        <v>125000</v>
      </c>
      <c r="CJ42" s="549">
        <f>+CI42+CJ41</f>
        <v>125000</v>
      </c>
      <c r="CK42" s="540"/>
      <c r="CN42" s="547" t="s">
        <v>8</v>
      </c>
      <c r="CO42" s="548">
        <f>+CO41</f>
        <v>0</v>
      </c>
      <c r="CP42" s="548">
        <f>+CO42+CP41</f>
        <v>0</v>
      </c>
      <c r="CQ42" s="549">
        <f>+CP42+CQ41</f>
        <v>0</v>
      </c>
      <c r="CR42" s="549">
        <f>+CQ42+CR41</f>
        <v>0</v>
      </c>
      <c r="CS42" s="540"/>
    </row>
    <row r="43" spans="1:97" ht="16" x14ac:dyDescent="0.2">
      <c r="A43" s="531"/>
      <c r="B43" s="531"/>
      <c r="C43" s="543"/>
      <c r="D43" s="548"/>
      <c r="E43" s="548"/>
      <c r="F43" s="549"/>
      <c r="G43" s="549"/>
      <c r="H43" s="540"/>
      <c r="I43" s="531"/>
      <c r="J43" s="531"/>
      <c r="K43" s="543"/>
      <c r="L43" s="548"/>
      <c r="M43" s="548"/>
      <c r="N43" s="549"/>
      <c r="O43" s="549"/>
      <c r="P43" s="540"/>
      <c r="Q43" s="531"/>
      <c r="R43" s="531"/>
      <c r="S43" s="531"/>
      <c r="T43" s="543"/>
      <c r="U43" s="548"/>
      <c r="V43" s="548"/>
      <c r="W43" s="549"/>
      <c r="X43" s="549"/>
      <c r="Y43" s="540"/>
      <c r="Z43" s="531"/>
      <c r="AA43" s="531"/>
      <c r="AB43" s="543"/>
      <c r="AC43" s="548"/>
      <c r="AD43" s="548"/>
      <c r="AE43" s="549"/>
      <c r="AF43" s="549"/>
      <c r="AG43" s="540"/>
      <c r="AH43" s="531"/>
      <c r="AI43" s="543"/>
      <c r="AJ43" s="548"/>
      <c r="AK43" s="548"/>
      <c r="AL43" s="549"/>
      <c r="AM43" s="549"/>
      <c r="AN43" s="540"/>
      <c r="AP43" s="543"/>
      <c r="AQ43" s="548"/>
      <c r="AR43" s="548"/>
      <c r="AS43" s="549"/>
      <c r="AT43" s="549"/>
      <c r="AU43" s="540"/>
      <c r="AW43" s="543"/>
      <c r="AX43" s="548"/>
      <c r="AY43" s="548"/>
      <c r="AZ43" s="549"/>
      <c r="BA43" s="549"/>
      <c r="BB43" s="540"/>
      <c r="BD43" s="543"/>
      <c r="BE43" s="548"/>
      <c r="BF43" s="548"/>
      <c r="BG43" s="549"/>
      <c r="BH43" s="549"/>
      <c r="BI43" s="540"/>
      <c r="BK43" s="543"/>
      <c r="BL43" s="548"/>
      <c r="BM43" s="548"/>
      <c r="BN43" s="549"/>
      <c r="BO43" s="549"/>
      <c r="BP43" s="540"/>
      <c r="BR43" s="543"/>
      <c r="BS43" s="548"/>
      <c r="BT43" s="548"/>
      <c r="BU43" s="549"/>
      <c r="BV43" s="549"/>
      <c r="BW43" s="540"/>
      <c r="BY43" s="543"/>
      <c r="BZ43" s="548"/>
      <c r="CA43" s="548"/>
      <c r="CB43" s="549"/>
      <c r="CC43" s="549"/>
      <c r="CD43" s="540"/>
      <c r="CF43" s="543"/>
      <c r="CG43" s="548"/>
      <c r="CH43" s="548"/>
      <c r="CI43" s="549"/>
      <c r="CJ43" s="549"/>
      <c r="CK43" s="540"/>
      <c r="CN43" s="543"/>
      <c r="CO43" s="548"/>
      <c r="CP43" s="548"/>
      <c r="CQ43" s="549"/>
      <c r="CR43" s="549"/>
      <c r="CS43" s="540"/>
    </row>
    <row r="44" spans="1:97" ht="16" x14ac:dyDescent="0.2">
      <c r="A44" s="565"/>
      <c r="B44" s="531"/>
      <c r="C44" s="545"/>
      <c r="D44" s="530"/>
      <c r="E44" s="530"/>
      <c r="F44" s="541"/>
      <c r="G44" s="530"/>
      <c r="H44" s="570" t="s">
        <v>500</v>
      </c>
      <c r="I44" s="531"/>
      <c r="J44" s="531"/>
      <c r="K44" s="545"/>
      <c r="L44" s="530"/>
      <c r="M44" s="530"/>
      <c r="N44" s="541"/>
      <c r="O44" s="530"/>
      <c r="P44" s="570" t="s">
        <v>500</v>
      </c>
      <c r="Q44" s="531"/>
      <c r="R44" s="531"/>
      <c r="S44" s="531"/>
      <c r="T44" s="545"/>
      <c r="U44" s="530"/>
      <c r="V44" s="530"/>
      <c r="W44" s="541"/>
      <c r="X44" s="530"/>
      <c r="Y44" s="570" t="s">
        <v>500</v>
      </c>
      <c r="Z44" s="531"/>
      <c r="AA44" s="531"/>
      <c r="AB44" s="545"/>
      <c r="AC44" s="530"/>
      <c r="AD44" s="530"/>
      <c r="AE44" s="541"/>
      <c r="AF44" s="530"/>
      <c r="AG44" s="570" t="s">
        <v>500</v>
      </c>
      <c r="AH44" s="531"/>
      <c r="AI44" s="545"/>
      <c r="AJ44" s="530"/>
      <c r="AK44" s="530"/>
      <c r="AL44" s="541"/>
      <c r="AM44" s="530"/>
      <c r="AN44" s="570" t="s">
        <v>500</v>
      </c>
      <c r="AP44" s="545"/>
      <c r="AQ44" s="530"/>
      <c r="AR44" s="530"/>
      <c r="AS44" s="541"/>
      <c r="AT44" s="530"/>
      <c r="AU44" s="570" t="s">
        <v>500</v>
      </c>
      <c r="AW44" s="545"/>
      <c r="AX44" s="530"/>
      <c r="AY44" s="530"/>
      <c r="AZ44" s="541"/>
      <c r="BA44" s="530"/>
      <c r="BB44" s="570" t="s">
        <v>500</v>
      </c>
      <c r="BD44" s="545"/>
      <c r="BE44" s="530"/>
      <c r="BF44" s="530"/>
      <c r="BG44" s="541"/>
      <c r="BH44" s="530"/>
      <c r="BI44" s="570" t="s">
        <v>500</v>
      </c>
      <c r="BK44" s="545"/>
      <c r="BL44" s="530"/>
      <c r="BM44" s="530"/>
      <c r="BN44" s="541"/>
      <c r="BO44" s="530"/>
      <c r="BP44" s="570" t="s">
        <v>500</v>
      </c>
      <c r="BR44" s="545"/>
      <c r="BS44" s="530"/>
      <c r="BT44" s="530"/>
      <c r="BU44" s="541"/>
      <c r="BV44" s="530"/>
      <c r="BW44" s="570" t="s">
        <v>500</v>
      </c>
      <c r="BY44" s="545"/>
      <c r="BZ44" s="530"/>
      <c r="CA44" s="530"/>
      <c r="CB44" s="541"/>
      <c r="CC44" s="530"/>
      <c r="CD44" s="570" t="s">
        <v>500</v>
      </c>
      <c r="CF44" s="545"/>
      <c r="CG44" s="530"/>
      <c r="CH44" s="530"/>
      <c r="CI44" s="541"/>
      <c r="CJ44" s="530"/>
      <c r="CK44" s="570" t="s">
        <v>500</v>
      </c>
      <c r="CN44" s="545"/>
      <c r="CO44" s="530"/>
      <c r="CP44" s="530"/>
      <c r="CQ44" s="541"/>
      <c r="CR44" s="530"/>
      <c r="CS44" s="570" t="s">
        <v>500</v>
      </c>
    </row>
    <row r="45" spans="1:97" ht="16" x14ac:dyDescent="0.2">
      <c r="A45" s="531"/>
      <c r="B45" s="531"/>
      <c r="C45" s="554"/>
      <c r="D45" s="555"/>
      <c r="E45" s="555"/>
      <c r="F45" s="556"/>
      <c r="G45" s="555"/>
      <c r="H45" s="571">
        <f>SUM(G47)/H29</f>
        <v>391418.2609710744</v>
      </c>
      <c r="I45" s="531"/>
      <c r="J45" s="531"/>
      <c r="K45" s="554"/>
      <c r="L45" s="555"/>
      <c r="M45" s="555"/>
      <c r="N45" s="556"/>
      <c r="O45" s="555"/>
      <c r="P45" s="571">
        <f>SUM(O47)/P29</f>
        <v>387710.02537190082</v>
      </c>
      <c r="Q45" s="531"/>
      <c r="R45" s="531"/>
      <c r="S45" s="531"/>
      <c r="T45" s="554"/>
      <c r="U45" s="555"/>
      <c r="V45" s="555"/>
      <c r="W45" s="556"/>
      <c r="X45" s="555"/>
      <c r="Y45" s="571">
        <f>SUM(X47)/Y29</f>
        <v>512321.47785123979</v>
      </c>
      <c r="Z45" s="531"/>
      <c r="AA45" s="531"/>
      <c r="AB45" s="554"/>
      <c r="AC45" s="555"/>
      <c r="AD45" s="555"/>
      <c r="AE45" s="556"/>
      <c r="AF45" s="555"/>
      <c r="AG45" s="571">
        <f>SUM(AF47)/AG29</f>
        <v>213373.29712809919</v>
      </c>
      <c r="AH45" s="531"/>
      <c r="AI45" s="554"/>
      <c r="AJ45" s="555"/>
      <c r="AK45" s="555"/>
      <c r="AL45" s="556"/>
      <c r="AM45" s="555"/>
      <c r="AN45" s="571">
        <f>SUM(AM47)/AN29</f>
        <v>1535365.444214876</v>
      </c>
      <c r="AP45" s="554"/>
      <c r="AQ45" s="555"/>
      <c r="AR45" s="555"/>
      <c r="AS45" s="556"/>
      <c r="AT45" s="555"/>
      <c r="AU45" s="571">
        <f>SUM(AT47)/AU29</f>
        <v>263562.87099173549</v>
      </c>
      <c r="AW45" s="554"/>
      <c r="AX45" s="555"/>
      <c r="AY45" s="555"/>
      <c r="AZ45" s="556"/>
      <c r="BA45" s="555"/>
      <c r="BB45" s="571">
        <f>SUM(BA47)/BB29</f>
        <v>956757.48966942145</v>
      </c>
      <c r="BD45" s="554"/>
      <c r="BE45" s="555"/>
      <c r="BF45" s="555"/>
      <c r="BG45" s="556"/>
      <c r="BH45" s="555"/>
      <c r="BI45" s="571">
        <f>SUM(BH47)/BI29</f>
        <v>2950070.3770661158</v>
      </c>
      <c r="BK45" s="554"/>
      <c r="BL45" s="555"/>
      <c r="BM45" s="555"/>
      <c r="BN45" s="556"/>
      <c r="BO45" s="555"/>
      <c r="BP45" s="571">
        <f>SUM(BO47)/BP29</f>
        <v>3164715.2634297521</v>
      </c>
      <c r="BR45" s="554"/>
      <c r="BS45" s="555"/>
      <c r="BT45" s="555"/>
      <c r="BU45" s="556"/>
      <c r="BV45" s="555"/>
      <c r="BW45" s="571">
        <f>SUM(BV47)/BW29</f>
        <v>1113822.570247934</v>
      </c>
      <c r="BY45" s="554"/>
      <c r="BZ45" s="555"/>
      <c r="CA45" s="555"/>
      <c r="CB45" s="556"/>
      <c r="CC45" s="555"/>
      <c r="CD45" s="571">
        <f>SUM(CC47)/CD29</f>
        <v>608466.58636363631</v>
      </c>
      <c r="CF45" s="554"/>
      <c r="CG45" s="555"/>
      <c r="CH45" s="555"/>
      <c r="CI45" s="556"/>
      <c r="CJ45" s="555"/>
      <c r="CK45" s="571">
        <f>SUM(CJ47)/CK29</f>
        <v>1995000</v>
      </c>
      <c r="CN45" s="554"/>
      <c r="CO45" s="555"/>
      <c r="CP45" s="555"/>
      <c r="CQ45" s="556"/>
      <c r="CR45" s="555"/>
      <c r="CS45" s="571">
        <f>SUM(CR47)/CS29</f>
        <v>960000</v>
      </c>
    </row>
    <row r="46" spans="1:97" ht="16" x14ac:dyDescent="0.2">
      <c r="A46" s="531"/>
      <c r="B46" s="531"/>
      <c r="C46" s="557" t="s">
        <v>23</v>
      </c>
      <c r="D46" s="558">
        <f>+D31+D37+D41</f>
        <v>0</v>
      </c>
      <c r="E46" s="558">
        <f>+E31+E37+E41</f>
        <v>7828365.2194214882</v>
      </c>
      <c r="F46" s="558">
        <f>+F31+F37+F41</f>
        <v>0</v>
      </c>
      <c r="G46" s="558">
        <f>+G31+G37+G41</f>
        <v>0</v>
      </c>
      <c r="H46" s="850">
        <f>SUM(H29:H42)</f>
        <v>20</v>
      </c>
      <c r="I46" s="572"/>
      <c r="J46" s="572"/>
      <c r="K46" s="557" t="s">
        <v>23</v>
      </c>
      <c r="L46" s="558">
        <f>+L31+L37+L41</f>
        <v>0</v>
      </c>
      <c r="M46" s="558">
        <f>+M31+M37+M41</f>
        <v>3877100.2537190081</v>
      </c>
      <c r="N46" s="558">
        <f>+N31+N37+N41</f>
        <v>0</v>
      </c>
      <c r="O46" s="558">
        <f>+O31+O37+O41</f>
        <v>0</v>
      </c>
      <c r="P46" s="850">
        <f>SUM(P29:P42)</f>
        <v>10</v>
      </c>
      <c r="Q46" s="531"/>
      <c r="R46" s="531"/>
      <c r="S46" s="531"/>
      <c r="T46" s="557" t="s">
        <v>23</v>
      </c>
      <c r="U46" s="558">
        <f>+U31+U37+U41</f>
        <v>0</v>
      </c>
      <c r="V46" s="558">
        <f>+V31+V37+V41</f>
        <v>10246429.557024796</v>
      </c>
      <c r="W46" s="558">
        <f>+W31+W37+W41</f>
        <v>0</v>
      </c>
      <c r="X46" s="558">
        <f>+X31+X37+X41</f>
        <v>0</v>
      </c>
      <c r="Y46" s="850">
        <f>SUM(Y29:Y42)</f>
        <v>20</v>
      </c>
      <c r="Z46" s="531"/>
      <c r="AA46" s="531"/>
      <c r="AB46" s="557" t="s">
        <v>23</v>
      </c>
      <c r="AC46" s="558">
        <f>+AC31+AC37+AC41</f>
        <v>0</v>
      </c>
      <c r="AD46" s="558">
        <f>+AD31+AD37+AD41</f>
        <v>2133732.971280992</v>
      </c>
      <c r="AE46" s="558">
        <f>+AE31+AE37+AE41</f>
        <v>0</v>
      </c>
      <c r="AF46" s="558">
        <f>+AF31+AF37+AF41</f>
        <v>0</v>
      </c>
      <c r="AG46" s="850">
        <f>SUM(AG29:AG42)</f>
        <v>10</v>
      </c>
      <c r="AH46" s="531"/>
      <c r="AI46" s="557" t="s">
        <v>23</v>
      </c>
      <c r="AJ46" s="558">
        <f>+AJ31+AJ37+AJ41</f>
        <v>0</v>
      </c>
      <c r="AK46" s="558">
        <f>+AK31+AK37+AK41</f>
        <v>0</v>
      </c>
      <c r="AL46" s="558">
        <f>+AL31+AL37+AL41</f>
        <v>0</v>
      </c>
      <c r="AM46" s="558">
        <f>+AM31+AM37+AM41</f>
        <v>7676827.22107438</v>
      </c>
      <c r="AN46" s="850">
        <f>SUM(AN29:AN42)</f>
        <v>5</v>
      </c>
      <c r="AP46" s="557" t="s">
        <v>23</v>
      </c>
      <c r="AQ46" s="558">
        <f>+AQ31+AQ37+AQ41</f>
        <v>0</v>
      </c>
      <c r="AR46" s="558">
        <f>+AR31+AR37+AR41</f>
        <v>0</v>
      </c>
      <c r="AS46" s="558">
        <f>+AS31+AS37+AS41</f>
        <v>0</v>
      </c>
      <c r="AT46" s="558">
        <f>+AT31+AT37+AT41</f>
        <v>2635628.7099173549</v>
      </c>
      <c r="AU46" s="850">
        <f>SUM(AU29:AU42)</f>
        <v>10</v>
      </c>
      <c r="AW46" s="557" t="s">
        <v>23</v>
      </c>
      <c r="AX46" s="558">
        <f>+AX31+AX37+AX41</f>
        <v>9567574.896694215</v>
      </c>
      <c r="AY46" s="558">
        <f>+AY31+AY37+AY41</f>
        <v>0</v>
      </c>
      <c r="AZ46" s="558">
        <f>+AZ31+AZ37+AZ41</f>
        <v>0</v>
      </c>
      <c r="BA46" s="558">
        <f>+BA31+BA37+BA41</f>
        <v>0</v>
      </c>
      <c r="BB46" s="850">
        <f>SUM(BB29:BB42)</f>
        <v>10</v>
      </c>
      <c r="BD46" s="557" t="s">
        <v>23</v>
      </c>
      <c r="BE46" s="558">
        <f>+BE31+BE37+BE41</f>
        <v>14750351.88533058</v>
      </c>
      <c r="BF46" s="558">
        <f>+BF31+BF37+BF41</f>
        <v>0</v>
      </c>
      <c r="BG46" s="558">
        <f>+BG31+BG37+BG41</f>
        <v>0</v>
      </c>
      <c r="BH46" s="558">
        <f>+BH31+BH37+BH41</f>
        <v>0</v>
      </c>
      <c r="BI46" s="850">
        <f>SUM(BI29:BI42)</f>
        <v>5</v>
      </c>
      <c r="BK46" s="557" t="s">
        <v>23</v>
      </c>
      <c r="BL46" s="558">
        <f>+BL31+BL37+BL41</f>
        <v>0</v>
      </c>
      <c r="BM46" s="558">
        <f>+BM31+BM37+BM41</f>
        <v>0</v>
      </c>
      <c r="BN46" s="558">
        <f>+BN31+BN37+BN41</f>
        <v>31647152.63429752</v>
      </c>
      <c r="BO46" s="558">
        <f>+BO31+BO37+BO41</f>
        <v>0</v>
      </c>
      <c r="BP46" s="850">
        <f>SUM(BP29:BP42)</f>
        <v>10</v>
      </c>
      <c r="BR46" s="557" t="s">
        <v>23</v>
      </c>
      <c r="BS46" s="558">
        <f>+BS31+BS37+BS41</f>
        <v>0</v>
      </c>
      <c r="BT46" s="558">
        <f>+BT31+BT37+BT41</f>
        <v>0</v>
      </c>
      <c r="BU46" s="558">
        <f>+BU31+BU37+BU41</f>
        <v>5569112.8512396701</v>
      </c>
      <c r="BV46" s="558">
        <f>+BV31+BV37+BV41</f>
        <v>0</v>
      </c>
      <c r="BW46" s="850">
        <f>SUM(BW29:BW42)</f>
        <v>5</v>
      </c>
      <c r="BY46" s="557" t="s">
        <v>23</v>
      </c>
      <c r="BZ46" s="558">
        <f>+BZ31+BZ37+BZ41</f>
        <v>0</v>
      </c>
      <c r="CA46" s="558">
        <f>+CA31+CA37+CA41</f>
        <v>0</v>
      </c>
      <c r="CB46" s="558">
        <f>+CB31+CB37+CB41</f>
        <v>0</v>
      </c>
      <c r="CC46" s="558">
        <f>+CC31+CC37+CC41</f>
        <v>6084665.8636363633</v>
      </c>
      <c r="CD46" s="850">
        <f>SUM(CD29:CD42)</f>
        <v>10</v>
      </c>
      <c r="CF46" s="557" t="s">
        <v>23</v>
      </c>
      <c r="CG46" s="558">
        <f>+CG31+CG37+CG41</f>
        <v>7275000</v>
      </c>
      <c r="CH46" s="558">
        <f>+CH31+CH37+CH41</f>
        <v>900000</v>
      </c>
      <c r="CI46" s="558">
        <f>+CI31+CI37+CI41</f>
        <v>900000</v>
      </c>
      <c r="CJ46" s="558">
        <f>+CJ31+CJ37+CJ41</f>
        <v>900000</v>
      </c>
      <c r="CK46" s="850">
        <f>SUM(CK29:CK42)</f>
        <v>5</v>
      </c>
      <c r="CN46" s="557" t="s">
        <v>23</v>
      </c>
      <c r="CO46" s="558">
        <f>+CO31+CO37+CO41</f>
        <v>3900000</v>
      </c>
      <c r="CP46" s="558">
        <f>+CP31+CP37+CP41</f>
        <v>900000</v>
      </c>
      <c r="CQ46" s="558">
        <f>+CQ31+CQ37+CQ41</f>
        <v>0</v>
      </c>
      <c r="CR46" s="558">
        <f>+CR31+CR37+CR41</f>
        <v>0</v>
      </c>
      <c r="CS46" s="850">
        <f>SUM(CS29:CS42)</f>
        <v>5</v>
      </c>
    </row>
    <row r="47" spans="1:97" ht="16" x14ac:dyDescent="0.2">
      <c r="A47" s="531"/>
      <c r="B47" s="531"/>
      <c r="C47" s="559" t="s">
        <v>29</v>
      </c>
      <c r="D47" s="560">
        <f>+D46</f>
        <v>0</v>
      </c>
      <c r="E47" s="560">
        <f>+D47+E46</f>
        <v>7828365.2194214882</v>
      </c>
      <c r="F47" s="560">
        <f>+E47+F46</f>
        <v>7828365.2194214882</v>
      </c>
      <c r="G47" s="560">
        <f>+F47+G46</f>
        <v>7828365.2194214882</v>
      </c>
      <c r="H47" s="851"/>
      <c r="I47" s="572"/>
      <c r="J47" s="572"/>
      <c r="K47" s="573" t="s">
        <v>29</v>
      </c>
      <c r="L47" s="574">
        <f>+L46</f>
        <v>0</v>
      </c>
      <c r="M47" s="574">
        <f>+L47+M46</f>
        <v>3877100.2537190081</v>
      </c>
      <c r="N47" s="574">
        <f>+M47+N46</f>
        <v>3877100.2537190081</v>
      </c>
      <c r="O47" s="574">
        <f>+N47+O46</f>
        <v>3877100.2537190081</v>
      </c>
      <c r="P47" s="851"/>
      <c r="Q47" s="531"/>
      <c r="R47" s="531"/>
      <c r="S47" s="531"/>
      <c r="T47" s="573" t="s">
        <v>29</v>
      </c>
      <c r="U47" s="574">
        <f>+U46</f>
        <v>0</v>
      </c>
      <c r="V47" s="574">
        <f>+U47+V46</f>
        <v>10246429.557024796</v>
      </c>
      <c r="W47" s="574">
        <f>+V47+W46</f>
        <v>10246429.557024796</v>
      </c>
      <c r="X47" s="574">
        <f>+W47+X46</f>
        <v>10246429.557024796</v>
      </c>
      <c r="Y47" s="851"/>
      <c r="Z47" s="531"/>
      <c r="AA47" s="531"/>
      <c r="AB47" s="573" t="s">
        <v>29</v>
      </c>
      <c r="AC47" s="574">
        <f>+AC46</f>
        <v>0</v>
      </c>
      <c r="AD47" s="574">
        <f>+AC47+AD46</f>
        <v>2133732.971280992</v>
      </c>
      <c r="AE47" s="574">
        <f>+AD47+AE46</f>
        <v>2133732.971280992</v>
      </c>
      <c r="AF47" s="574">
        <f>+AE47+AF46</f>
        <v>2133732.971280992</v>
      </c>
      <c r="AG47" s="851"/>
      <c r="AH47" s="531"/>
      <c r="AI47" s="573" t="s">
        <v>29</v>
      </c>
      <c r="AJ47" s="574">
        <f>+AJ46</f>
        <v>0</v>
      </c>
      <c r="AK47" s="574">
        <f>+AJ47+AK46</f>
        <v>0</v>
      </c>
      <c r="AL47" s="574">
        <f>+AK47+AL46</f>
        <v>0</v>
      </c>
      <c r="AM47" s="574">
        <f>+AL47+AM46</f>
        <v>7676827.22107438</v>
      </c>
      <c r="AN47" s="851"/>
      <c r="AP47" s="573" t="s">
        <v>29</v>
      </c>
      <c r="AQ47" s="574">
        <f>+AQ46</f>
        <v>0</v>
      </c>
      <c r="AR47" s="574">
        <f>+AQ47+AR46</f>
        <v>0</v>
      </c>
      <c r="AS47" s="574">
        <f>+AR47+AS46</f>
        <v>0</v>
      </c>
      <c r="AT47" s="574">
        <f>+AS47+AT46</f>
        <v>2635628.7099173549</v>
      </c>
      <c r="AU47" s="851"/>
      <c r="AW47" s="573" t="s">
        <v>29</v>
      </c>
      <c r="AX47" s="574">
        <f>+AX46</f>
        <v>9567574.896694215</v>
      </c>
      <c r="AY47" s="574">
        <f>+AX47+AY46</f>
        <v>9567574.896694215</v>
      </c>
      <c r="AZ47" s="574">
        <f>+AY47+AZ46</f>
        <v>9567574.896694215</v>
      </c>
      <c r="BA47" s="574">
        <f>+AZ47+BA46</f>
        <v>9567574.896694215</v>
      </c>
      <c r="BB47" s="851"/>
      <c r="BD47" s="573" t="s">
        <v>29</v>
      </c>
      <c r="BE47" s="574">
        <f>+BE46</f>
        <v>14750351.88533058</v>
      </c>
      <c r="BF47" s="574">
        <f>+BE47+BF46</f>
        <v>14750351.88533058</v>
      </c>
      <c r="BG47" s="574">
        <f>+BF47+BG46</f>
        <v>14750351.88533058</v>
      </c>
      <c r="BH47" s="574">
        <f>+BG47+BH46</f>
        <v>14750351.88533058</v>
      </c>
      <c r="BI47" s="851"/>
      <c r="BK47" s="573" t="s">
        <v>29</v>
      </c>
      <c r="BL47" s="574">
        <f>+BL46</f>
        <v>0</v>
      </c>
      <c r="BM47" s="574">
        <f>+BL47+BM46</f>
        <v>0</v>
      </c>
      <c r="BN47" s="574">
        <f>+BM47+BN46</f>
        <v>31647152.63429752</v>
      </c>
      <c r="BO47" s="574">
        <f>+BN47+BO46</f>
        <v>31647152.63429752</v>
      </c>
      <c r="BP47" s="851"/>
      <c r="BR47" s="573" t="s">
        <v>29</v>
      </c>
      <c r="BS47" s="574">
        <f>+BS46</f>
        <v>0</v>
      </c>
      <c r="BT47" s="574">
        <f>+BS47+BT46</f>
        <v>0</v>
      </c>
      <c r="BU47" s="574">
        <f>+BT47+BU46</f>
        <v>5569112.8512396701</v>
      </c>
      <c r="BV47" s="574">
        <f>+BU47+BV46</f>
        <v>5569112.8512396701</v>
      </c>
      <c r="BW47" s="851"/>
      <c r="BY47" s="573" t="s">
        <v>29</v>
      </c>
      <c r="BZ47" s="574">
        <f>+BZ46</f>
        <v>0</v>
      </c>
      <c r="CA47" s="574">
        <f>+BZ47+CA46</f>
        <v>0</v>
      </c>
      <c r="CB47" s="574">
        <f>+CA47+CB46</f>
        <v>0</v>
      </c>
      <c r="CC47" s="574">
        <f>+CB47+CC46</f>
        <v>6084665.8636363633</v>
      </c>
      <c r="CD47" s="851"/>
      <c r="CF47" s="573" t="s">
        <v>29</v>
      </c>
      <c r="CG47" s="574">
        <f>+CG46</f>
        <v>7275000</v>
      </c>
      <c r="CH47" s="574">
        <f>+CG47+CH46</f>
        <v>8175000</v>
      </c>
      <c r="CI47" s="574">
        <f>+CH47+CI46</f>
        <v>9075000</v>
      </c>
      <c r="CJ47" s="574">
        <f>+CI47+CJ46</f>
        <v>9975000</v>
      </c>
      <c r="CK47" s="851"/>
      <c r="CN47" s="573" t="s">
        <v>29</v>
      </c>
      <c r="CO47" s="574">
        <f>+CO46</f>
        <v>3900000</v>
      </c>
      <c r="CP47" s="574">
        <f>+CO47+CP46</f>
        <v>4800000</v>
      </c>
      <c r="CQ47" s="574">
        <f>+CP47+CQ46</f>
        <v>4800000</v>
      </c>
      <c r="CR47" s="574">
        <f>+CQ47+CR46</f>
        <v>4800000</v>
      </c>
      <c r="CS47" s="851"/>
    </row>
    <row r="48" spans="1:97" ht="16" x14ac:dyDescent="0.2">
      <c r="A48" s="531"/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1"/>
      <c r="Q48" s="531"/>
      <c r="R48" s="531"/>
      <c r="S48" s="531"/>
      <c r="T48" s="531"/>
      <c r="U48" s="531"/>
      <c r="V48" s="531"/>
      <c r="W48" s="531"/>
      <c r="X48" s="531"/>
      <c r="Y48" s="531"/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  <c r="AP48" s="531"/>
      <c r="AQ48" s="531"/>
      <c r="AR48" s="531"/>
      <c r="AS48" s="531"/>
      <c r="AT48" s="531"/>
      <c r="AU48" s="531"/>
      <c r="AW48" s="531"/>
      <c r="AX48" s="531"/>
      <c r="AY48" s="531"/>
      <c r="AZ48" s="531"/>
      <c r="BA48" s="531"/>
      <c r="BB48" s="531"/>
      <c r="BD48" s="531"/>
      <c r="BE48" s="531"/>
      <c r="BF48" s="531"/>
      <c r="BG48" s="531"/>
      <c r="BH48" s="531"/>
      <c r="BI48" s="531"/>
      <c r="BK48" s="531"/>
      <c r="BL48" s="531"/>
      <c r="BM48" s="531"/>
      <c r="BN48" s="531"/>
      <c r="BO48" s="531"/>
      <c r="BP48" s="531"/>
      <c r="BR48" s="531"/>
      <c r="BS48" s="531"/>
      <c r="BT48" s="531"/>
      <c r="BU48" s="531"/>
      <c r="BV48" s="531"/>
      <c r="BW48" s="531"/>
      <c r="BY48" s="531"/>
      <c r="BZ48" s="531"/>
      <c r="CA48" s="531"/>
      <c r="CB48" s="531"/>
      <c r="CC48" s="531"/>
      <c r="CD48" s="531"/>
      <c r="CF48" s="531"/>
      <c r="CG48" s="531"/>
      <c r="CH48" s="531"/>
      <c r="CI48" s="531"/>
      <c r="CJ48" s="531"/>
      <c r="CK48" s="531"/>
      <c r="CN48" s="531"/>
      <c r="CO48" s="531"/>
      <c r="CP48" s="531"/>
      <c r="CQ48" s="531"/>
      <c r="CR48" s="531"/>
      <c r="CS48" s="531"/>
    </row>
    <row r="49" spans="1:97" ht="16" x14ac:dyDescent="0.2">
      <c r="A49" s="531"/>
      <c r="B49" s="531"/>
      <c r="C49" s="531"/>
      <c r="D49" s="531"/>
      <c r="E49" s="531"/>
      <c r="F49" s="531"/>
      <c r="G49" s="531"/>
      <c r="H49" s="531"/>
      <c r="I49" s="531"/>
      <c r="J49" s="531"/>
      <c r="K49" s="531"/>
      <c r="L49" s="531"/>
      <c r="M49" s="531"/>
      <c r="N49" s="531"/>
      <c r="O49" s="531"/>
      <c r="P49" s="531"/>
      <c r="Q49" s="531"/>
      <c r="R49" s="531"/>
      <c r="S49" s="531"/>
      <c r="T49" s="531"/>
      <c r="U49" s="531"/>
      <c r="V49" s="531"/>
      <c r="W49" s="531"/>
      <c r="X49" s="531"/>
      <c r="Y49" s="531"/>
      <c r="Z49" s="531"/>
      <c r="AA49" s="531"/>
      <c r="AB49" s="531"/>
      <c r="AC49" s="531"/>
      <c r="AD49" s="531"/>
      <c r="AE49" s="531"/>
      <c r="AF49" s="531"/>
      <c r="AG49" s="531"/>
      <c r="AH49" s="531"/>
      <c r="AI49" s="531"/>
      <c r="AJ49" s="531"/>
      <c r="AK49" s="531"/>
      <c r="AL49" s="531"/>
      <c r="AM49" s="531"/>
      <c r="AN49" s="531"/>
      <c r="AP49" s="531"/>
      <c r="AQ49" s="531"/>
      <c r="AR49" s="531"/>
      <c r="AS49" s="531"/>
      <c r="AT49" s="531"/>
      <c r="AU49" s="531"/>
      <c r="AW49" s="531"/>
      <c r="AX49" s="531"/>
      <c r="AY49" s="531"/>
      <c r="AZ49" s="531"/>
      <c r="BA49" s="531"/>
      <c r="BB49" s="531"/>
      <c r="BD49" s="531"/>
      <c r="BE49" s="531"/>
      <c r="BF49" s="531"/>
      <c r="BG49" s="531"/>
      <c r="BH49" s="531"/>
      <c r="BI49" s="531"/>
      <c r="BK49" s="531"/>
      <c r="BL49" s="531"/>
      <c r="BM49" s="531"/>
      <c r="BN49" s="531"/>
      <c r="BO49" s="531"/>
      <c r="BP49" s="531"/>
      <c r="BR49" s="531"/>
      <c r="BS49" s="531"/>
      <c r="BT49" s="531"/>
      <c r="BU49" s="531"/>
      <c r="BV49" s="531"/>
      <c r="BW49" s="531"/>
      <c r="BY49" s="531"/>
      <c r="BZ49" s="531"/>
      <c r="CA49" s="531"/>
      <c r="CB49" s="531"/>
      <c r="CC49" s="531"/>
      <c r="CD49" s="531"/>
      <c r="CF49" s="531"/>
      <c r="CG49" s="531"/>
      <c r="CH49" s="531"/>
      <c r="CI49" s="531"/>
      <c r="CJ49" s="531"/>
      <c r="CK49" s="531"/>
      <c r="CN49" s="531"/>
      <c r="CO49" s="531"/>
      <c r="CP49" s="531"/>
      <c r="CQ49" s="531"/>
      <c r="CR49" s="531"/>
      <c r="CS49" s="531"/>
    </row>
    <row r="50" spans="1:97" ht="16" x14ac:dyDescent="0.2">
      <c r="A50" s="531"/>
      <c r="B50" s="531"/>
      <c r="C50" s="531"/>
      <c r="D50" s="563"/>
      <c r="E50" s="563"/>
      <c r="F50" s="563"/>
      <c r="G50" s="531"/>
      <c r="H50" s="531"/>
      <c r="I50" s="531"/>
      <c r="J50" s="531"/>
      <c r="K50" s="531"/>
      <c r="L50" s="563"/>
      <c r="M50" s="563"/>
      <c r="N50" s="563"/>
      <c r="O50" s="531"/>
      <c r="P50" s="531"/>
      <c r="Q50" s="531"/>
      <c r="R50" s="531"/>
      <c r="S50" s="531"/>
      <c r="T50" s="531"/>
      <c r="U50" s="531"/>
      <c r="V50" s="531"/>
      <c r="W50" s="531"/>
      <c r="X50" s="531"/>
      <c r="Y50" s="531"/>
      <c r="Z50" s="531"/>
      <c r="AA50" s="531"/>
      <c r="AB50" s="531"/>
      <c r="AC50" s="531"/>
      <c r="AD50" s="531"/>
      <c r="AE50" s="531"/>
      <c r="AF50" s="531"/>
      <c r="AG50" s="531"/>
      <c r="AH50" s="531"/>
      <c r="AI50" s="531"/>
      <c r="AJ50" s="531"/>
      <c r="AK50" s="531"/>
      <c r="AL50" s="531"/>
      <c r="AM50" s="531"/>
      <c r="AN50" s="531"/>
      <c r="AP50" s="531"/>
      <c r="AQ50" s="531"/>
      <c r="AR50" s="531"/>
      <c r="AS50" s="531"/>
      <c r="AT50" s="531"/>
      <c r="AU50" s="531"/>
      <c r="AW50" s="531"/>
      <c r="AX50" s="531"/>
      <c r="AY50" s="531"/>
      <c r="AZ50" s="531"/>
      <c r="BA50" s="531"/>
      <c r="BB50" s="531"/>
      <c r="BD50" s="531"/>
      <c r="BE50" s="531"/>
      <c r="BF50" s="531"/>
      <c r="BG50" s="531"/>
      <c r="BH50" s="531"/>
      <c r="BI50" s="531"/>
      <c r="BK50" s="531"/>
      <c r="BL50" s="531"/>
      <c r="BM50" s="531"/>
      <c r="BN50" s="531"/>
      <c r="BO50" s="531"/>
      <c r="BP50" s="531"/>
      <c r="BR50" s="531"/>
      <c r="BS50" s="531"/>
      <c r="BT50" s="531"/>
      <c r="BU50" s="531"/>
      <c r="BV50" s="531"/>
      <c r="BW50" s="531"/>
      <c r="BY50" s="531"/>
      <c r="BZ50" s="531"/>
      <c r="CA50" s="531"/>
      <c r="CB50" s="531"/>
      <c r="CC50" s="531"/>
      <c r="CD50" s="531"/>
      <c r="CF50" s="531"/>
      <c r="CG50" s="531"/>
      <c r="CH50" s="531"/>
      <c r="CI50" s="531"/>
      <c r="CJ50" s="531"/>
      <c r="CK50" s="531"/>
      <c r="CN50" s="531"/>
      <c r="CO50" s="531"/>
      <c r="CP50" s="531"/>
      <c r="CQ50" s="531"/>
      <c r="CR50" s="531"/>
      <c r="CS50" s="531"/>
    </row>
    <row r="51" spans="1:97" ht="16" x14ac:dyDescent="0.2">
      <c r="A51" s="531"/>
      <c r="B51" s="531"/>
      <c r="C51" s="818" t="s">
        <v>476</v>
      </c>
      <c r="D51" s="819"/>
      <c r="E51" s="819"/>
      <c r="F51" s="819"/>
      <c r="G51" s="819"/>
      <c r="H51" s="820"/>
      <c r="I51" s="77"/>
      <c r="J51" s="77"/>
      <c r="K51" s="818" t="s">
        <v>485</v>
      </c>
      <c r="L51" s="819"/>
      <c r="M51" s="819"/>
      <c r="N51" s="819"/>
      <c r="O51" s="819"/>
      <c r="P51" s="820"/>
      <c r="Q51" s="531"/>
      <c r="R51" s="531"/>
      <c r="S51" s="531"/>
      <c r="T51" s="818" t="s">
        <v>491</v>
      </c>
      <c r="U51" s="819"/>
      <c r="V51" s="819"/>
      <c r="W51" s="819"/>
      <c r="X51" s="819"/>
      <c r="Y51" s="820" t="s">
        <v>27</v>
      </c>
      <c r="Z51" s="531"/>
      <c r="AA51" s="531"/>
      <c r="AB51" s="818" t="s">
        <v>497</v>
      </c>
      <c r="AC51" s="819"/>
      <c r="AD51" s="819"/>
      <c r="AE51" s="819"/>
      <c r="AF51" s="819"/>
      <c r="AG51" s="820" t="s">
        <v>27</v>
      </c>
      <c r="AH51" s="531"/>
      <c r="AI51" s="818" t="s">
        <v>522</v>
      </c>
      <c r="AJ51" s="819"/>
      <c r="AK51" s="819"/>
      <c r="AL51" s="819"/>
      <c r="AM51" s="819"/>
      <c r="AN51" s="820" t="s">
        <v>27</v>
      </c>
      <c r="AP51" s="818" t="s">
        <v>521</v>
      </c>
      <c r="AQ51" s="819"/>
      <c r="AR51" s="819"/>
      <c r="AS51" s="819"/>
      <c r="AT51" s="819"/>
      <c r="AU51" s="820" t="s">
        <v>27</v>
      </c>
      <c r="AW51" s="818" t="s">
        <v>543</v>
      </c>
      <c r="AX51" s="819"/>
      <c r="AY51" s="819"/>
      <c r="AZ51" s="819"/>
      <c r="BA51" s="819"/>
      <c r="BB51" s="820" t="s">
        <v>27</v>
      </c>
      <c r="BD51" s="818" t="s">
        <v>549</v>
      </c>
      <c r="BE51" s="819"/>
      <c r="BF51" s="819"/>
      <c r="BG51" s="819"/>
      <c r="BH51" s="819"/>
      <c r="BI51" s="820" t="s">
        <v>27</v>
      </c>
      <c r="BK51" s="818" t="s">
        <v>570</v>
      </c>
      <c r="BL51" s="819"/>
      <c r="BM51" s="819"/>
      <c r="BN51" s="819"/>
      <c r="BO51" s="819"/>
      <c r="BP51" s="820" t="s">
        <v>27</v>
      </c>
      <c r="BR51" s="818" t="s">
        <v>566</v>
      </c>
      <c r="BS51" s="819"/>
      <c r="BT51" s="819"/>
      <c r="BU51" s="819"/>
      <c r="BV51" s="819"/>
      <c r="BW51" s="820" t="s">
        <v>27</v>
      </c>
      <c r="BY51" s="818" t="s">
        <v>579</v>
      </c>
      <c r="BZ51" s="819"/>
      <c r="CA51" s="819"/>
      <c r="CB51" s="819"/>
      <c r="CC51" s="819"/>
      <c r="CD51" s="820" t="s">
        <v>27</v>
      </c>
      <c r="CF51" s="818" t="s">
        <v>578</v>
      </c>
      <c r="CG51" s="819"/>
      <c r="CH51" s="819"/>
      <c r="CI51" s="819"/>
      <c r="CJ51" s="819"/>
      <c r="CK51" s="820" t="s">
        <v>27</v>
      </c>
      <c r="CN51" s="818" t="s">
        <v>619</v>
      </c>
      <c r="CO51" s="819"/>
      <c r="CP51" s="819"/>
      <c r="CQ51" s="819"/>
      <c r="CR51" s="819"/>
      <c r="CS51" s="820" t="s">
        <v>27</v>
      </c>
    </row>
    <row r="52" spans="1:97" ht="16" x14ac:dyDescent="0.2">
      <c r="A52" s="531"/>
      <c r="B52" s="531"/>
      <c r="C52" s="89" t="s">
        <v>25</v>
      </c>
      <c r="D52" s="77" t="s">
        <v>9</v>
      </c>
      <c r="E52" s="78" t="s">
        <v>106</v>
      </c>
      <c r="F52" s="78" t="s">
        <v>10</v>
      </c>
      <c r="G52" s="78" t="s">
        <v>11</v>
      </c>
      <c r="H52" s="533" t="s">
        <v>24</v>
      </c>
      <c r="I52" s="564"/>
      <c r="J52" s="564"/>
      <c r="K52" s="89" t="s">
        <v>25</v>
      </c>
      <c r="L52" s="77" t="s">
        <v>9</v>
      </c>
      <c r="M52" s="78" t="s">
        <v>106</v>
      </c>
      <c r="N52" s="78" t="s">
        <v>10</v>
      </c>
      <c r="O52" s="78" t="s">
        <v>11</v>
      </c>
      <c r="P52" s="533" t="s">
        <v>24</v>
      </c>
      <c r="Q52" s="531"/>
      <c r="R52" s="531"/>
      <c r="S52" s="531"/>
      <c r="T52" s="89" t="s">
        <v>28</v>
      </c>
      <c r="U52" s="77" t="s">
        <v>9</v>
      </c>
      <c r="V52" s="78" t="s">
        <v>106</v>
      </c>
      <c r="W52" s="78" t="s">
        <v>10</v>
      </c>
      <c r="X52" s="78" t="s">
        <v>11</v>
      </c>
      <c r="Y52" s="533" t="s">
        <v>27</v>
      </c>
      <c r="Z52" s="531"/>
      <c r="AA52" s="531"/>
      <c r="AB52" s="89" t="s">
        <v>28</v>
      </c>
      <c r="AC52" s="77" t="s">
        <v>9</v>
      </c>
      <c r="AD52" s="78" t="s">
        <v>106</v>
      </c>
      <c r="AE52" s="78" t="s">
        <v>10</v>
      </c>
      <c r="AF52" s="78" t="s">
        <v>11</v>
      </c>
      <c r="AG52" s="533" t="s">
        <v>27</v>
      </c>
      <c r="AH52" s="531"/>
      <c r="AI52" s="89" t="s">
        <v>28</v>
      </c>
      <c r="AJ52" s="77" t="s">
        <v>9</v>
      </c>
      <c r="AK52" s="78" t="s">
        <v>106</v>
      </c>
      <c r="AL52" s="78" t="s">
        <v>10</v>
      </c>
      <c r="AM52" s="78" t="s">
        <v>11</v>
      </c>
      <c r="AN52" s="533" t="s">
        <v>27</v>
      </c>
      <c r="AP52" s="89" t="s">
        <v>28</v>
      </c>
      <c r="AQ52" s="77" t="s">
        <v>9</v>
      </c>
      <c r="AR52" s="78" t="s">
        <v>106</v>
      </c>
      <c r="AS52" s="78" t="s">
        <v>10</v>
      </c>
      <c r="AT52" s="78" t="s">
        <v>11</v>
      </c>
      <c r="AU52" s="533" t="s">
        <v>27</v>
      </c>
      <c r="AW52" s="89" t="s">
        <v>28</v>
      </c>
      <c r="AX52" s="77" t="s">
        <v>9</v>
      </c>
      <c r="AY52" s="78" t="s">
        <v>106</v>
      </c>
      <c r="AZ52" s="78" t="s">
        <v>10</v>
      </c>
      <c r="BA52" s="78" t="s">
        <v>11</v>
      </c>
      <c r="BB52" s="533" t="s">
        <v>27</v>
      </c>
      <c r="BD52" s="89" t="s">
        <v>28</v>
      </c>
      <c r="BE52" s="77" t="s">
        <v>9</v>
      </c>
      <c r="BF52" s="78" t="s">
        <v>106</v>
      </c>
      <c r="BG52" s="78" t="s">
        <v>10</v>
      </c>
      <c r="BH52" s="78" t="s">
        <v>11</v>
      </c>
      <c r="BI52" s="533" t="s">
        <v>27</v>
      </c>
      <c r="BK52" s="89" t="s">
        <v>28</v>
      </c>
      <c r="BL52" s="77" t="s">
        <v>9</v>
      </c>
      <c r="BM52" s="78" t="s">
        <v>106</v>
      </c>
      <c r="BN52" s="78" t="s">
        <v>10</v>
      </c>
      <c r="BO52" s="78" t="s">
        <v>11</v>
      </c>
      <c r="BP52" s="533" t="s">
        <v>27</v>
      </c>
      <c r="BR52" s="89" t="s">
        <v>28</v>
      </c>
      <c r="BS52" s="77" t="s">
        <v>9</v>
      </c>
      <c r="BT52" s="78" t="s">
        <v>106</v>
      </c>
      <c r="BU52" s="78" t="s">
        <v>10</v>
      </c>
      <c r="BV52" s="78" t="s">
        <v>11</v>
      </c>
      <c r="BW52" s="533" t="s">
        <v>27</v>
      </c>
      <c r="BY52" s="89" t="s">
        <v>28</v>
      </c>
      <c r="BZ52" s="77" t="s">
        <v>9</v>
      </c>
      <c r="CA52" s="78" t="s">
        <v>106</v>
      </c>
      <c r="CB52" s="78" t="s">
        <v>10</v>
      </c>
      <c r="CC52" s="78" t="s">
        <v>11</v>
      </c>
      <c r="CD52" s="533" t="s">
        <v>27</v>
      </c>
      <c r="CF52" s="89" t="s">
        <v>28</v>
      </c>
      <c r="CG52" s="77" t="s">
        <v>9</v>
      </c>
      <c r="CH52" s="78" t="s">
        <v>106</v>
      </c>
      <c r="CI52" s="78" t="s">
        <v>10</v>
      </c>
      <c r="CJ52" s="78" t="s">
        <v>11</v>
      </c>
      <c r="CK52" s="533" t="s">
        <v>27</v>
      </c>
      <c r="CN52" s="89" t="s">
        <v>28</v>
      </c>
      <c r="CO52" s="77" t="s">
        <v>9</v>
      </c>
      <c r="CP52" s="78" t="s">
        <v>106</v>
      </c>
      <c r="CQ52" s="78" t="s">
        <v>10</v>
      </c>
      <c r="CR52" s="78" t="s">
        <v>11</v>
      </c>
      <c r="CS52" s="533" t="s">
        <v>27</v>
      </c>
    </row>
    <row r="53" spans="1:97" ht="16" x14ac:dyDescent="0.2">
      <c r="A53" s="531"/>
      <c r="B53" s="531"/>
      <c r="C53" s="534" t="s">
        <v>498</v>
      </c>
      <c r="D53" s="535"/>
      <c r="E53" s="535">
        <v>20</v>
      </c>
      <c r="F53" s="535">
        <f>(+'[2]Ca...'!E53+'[2]Ca...'!E59+'[2]Ca...'!E65)*1.05</f>
        <v>0</v>
      </c>
      <c r="G53" s="535"/>
      <c r="H53" s="536">
        <f>+SUM(D53:G53)</f>
        <v>20</v>
      </c>
      <c r="I53" s="565"/>
      <c r="J53" s="565"/>
      <c r="K53" s="534" t="s">
        <v>498</v>
      </c>
      <c r="L53" s="535"/>
      <c r="M53" s="535">
        <v>10</v>
      </c>
      <c r="N53" s="535"/>
      <c r="O53" s="535"/>
      <c r="P53" s="536">
        <f>+SUM(L53:O53)</f>
        <v>10</v>
      </c>
      <c r="Q53" s="531"/>
      <c r="R53" s="531"/>
      <c r="S53" s="531"/>
      <c r="T53" s="534" t="s">
        <v>498</v>
      </c>
      <c r="U53" s="535"/>
      <c r="V53" s="535">
        <v>20</v>
      </c>
      <c r="W53" s="535"/>
      <c r="X53" s="535"/>
      <c r="Y53" s="536">
        <f>+SUM(U53:X53)</f>
        <v>20</v>
      </c>
      <c r="Z53" s="531"/>
      <c r="AA53" s="531"/>
      <c r="AB53" s="534" t="s">
        <v>498</v>
      </c>
      <c r="AC53" s="535"/>
      <c r="AD53" s="535">
        <v>10</v>
      </c>
      <c r="AE53" s="535"/>
      <c r="AF53" s="535"/>
      <c r="AG53" s="536">
        <f>+SUM(AC53:AF53)</f>
        <v>10</v>
      </c>
      <c r="AH53" s="531"/>
      <c r="AI53" s="534" t="s">
        <v>615</v>
      </c>
      <c r="AJ53" s="535"/>
      <c r="AK53" s="535"/>
      <c r="AL53" s="535"/>
      <c r="AM53" s="535">
        <v>5</v>
      </c>
      <c r="AN53" s="536">
        <f>+SUM(AJ53:AM53)</f>
        <v>5</v>
      </c>
      <c r="AP53" s="534" t="s">
        <v>615</v>
      </c>
      <c r="AQ53" s="535"/>
      <c r="AR53" s="535"/>
      <c r="AS53" s="535"/>
      <c r="AT53" s="535">
        <v>10</v>
      </c>
      <c r="AU53" s="536">
        <f>+SUM(AQ53:AT53)</f>
        <v>10</v>
      </c>
      <c r="AW53" s="534" t="s">
        <v>615</v>
      </c>
      <c r="AX53" s="535">
        <v>10</v>
      </c>
      <c r="AY53" s="535"/>
      <c r="AZ53" s="535"/>
      <c r="BA53" s="535"/>
      <c r="BB53" s="536">
        <f>+SUM(AX53:BA53)</f>
        <v>10</v>
      </c>
      <c r="BD53" s="534" t="s">
        <v>615</v>
      </c>
      <c r="BE53" s="535">
        <v>5</v>
      </c>
      <c r="BF53" s="535"/>
      <c r="BG53" s="535"/>
      <c r="BH53" s="535"/>
      <c r="BI53" s="536">
        <f>+SUM(BE53:BH53)</f>
        <v>5</v>
      </c>
      <c r="BK53" s="534" t="s">
        <v>615</v>
      </c>
      <c r="BL53" s="535"/>
      <c r="BM53" s="535"/>
      <c r="BN53" s="535">
        <v>10</v>
      </c>
      <c r="BO53" s="535"/>
      <c r="BP53" s="536">
        <f>+SUM(BL53:BO53)</f>
        <v>10</v>
      </c>
      <c r="BR53" s="534" t="s">
        <v>615</v>
      </c>
      <c r="BS53" s="535"/>
      <c r="BT53" s="535"/>
      <c r="BU53" s="535">
        <v>5</v>
      </c>
      <c r="BV53" s="535"/>
      <c r="BW53" s="536">
        <f>+SUM(BS53:BV53)</f>
        <v>5</v>
      </c>
      <c r="BY53" s="534" t="s">
        <v>615</v>
      </c>
      <c r="BZ53" s="535"/>
      <c r="CA53" s="535"/>
      <c r="CB53" s="535"/>
      <c r="CC53" s="535">
        <v>10</v>
      </c>
      <c r="CD53" s="536">
        <f>+SUM(BZ53:CC53)</f>
        <v>10</v>
      </c>
      <c r="CF53" s="534" t="s">
        <v>615</v>
      </c>
      <c r="CG53" s="535"/>
      <c r="CH53" s="535"/>
      <c r="CI53" s="535"/>
      <c r="CJ53" s="535"/>
      <c r="CK53" s="536">
        <f>+SUM(CG53:CJ53)</f>
        <v>0</v>
      </c>
      <c r="CN53" s="534" t="s">
        <v>615</v>
      </c>
      <c r="CO53" s="535"/>
      <c r="CP53" s="535"/>
      <c r="CQ53" s="535"/>
      <c r="CR53" s="535"/>
      <c r="CS53" s="536">
        <f>+SUM(CO53:CR53)</f>
        <v>0</v>
      </c>
    </row>
    <row r="54" spans="1:97" ht="16" x14ac:dyDescent="0.2">
      <c r="A54" s="531"/>
      <c r="B54" s="531"/>
      <c r="C54" s="537" t="s">
        <v>503</v>
      </c>
      <c r="D54" s="538">
        <f>SUM(D30)</f>
        <v>331418.2609710744</v>
      </c>
      <c r="E54" s="538">
        <f>+D54</f>
        <v>331418.2609710744</v>
      </c>
      <c r="F54" s="538">
        <f>+E54</f>
        <v>331418.2609710744</v>
      </c>
      <c r="G54" s="538">
        <f>+F54</f>
        <v>331418.2609710744</v>
      </c>
      <c r="H54" s="540"/>
      <c r="I54" s="531"/>
      <c r="J54" s="531"/>
      <c r="K54" s="537" t="s">
        <v>503</v>
      </c>
      <c r="L54" s="538">
        <f>SUM(L30)</f>
        <v>327710.02537190082</v>
      </c>
      <c r="M54" s="538">
        <f>+L54</f>
        <v>327710.02537190082</v>
      </c>
      <c r="N54" s="538">
        <f>+M54</f>
        <v>327710.02537190082</v>
      </c>
      <c r="O54" s="538">
        <f>+N54</f>
        <v>327710.02537190082</v>
      </c>
      <c r="P54" s="540"/>
      <c r="Q54" s="531"/>
      <c r="R54" s="531"/>
      <c r="S54" s="531"/>
      <c r="T54" s="537" t="s">
        <v>503</v>
      </c>
      <c r="U54" s="538">
        <f>SUM(X30)</f>
        <v>452321.47785123973</v>
      </c>
      <c r="V54" s="538">
        <f>SUM(U54)</f>
        <v>452321.47785123973</v>
      </c>
      <c r="W54" s="538">
        <f>SUM(U54)</f>
        <v>452321.47785123973</v>
      </c>
      <c r="X54" s="538">
        <f>SUM(U54)</f>
        <v>452321.47785123973</v>
      </c>
      <c r="Y54" s="540"/>
      <c r="Z54" s="531"/>
      <c r="AA54" s="531"/>
      <c r="AB54" s="537" t="s">
        <v>503</v>
      </c>
      <c r="AC54" s="538">
        <f>SUM(AF30)</f>
        <v>153373.29712809919</v>
      </c>
      <c r="AD54" s="538">
        <f>SUM(AC54)</f>
        <v>153373.29712809919</v>
      </c>
      <c r="AE54" s="538">
        <f>SUM(AC54)</f>
        <v>153373.29712809919</v>
      </c>
      <c r="AF54" s="538">
        <f>SUM(AC54)</f>
        <v>153373.29712809919</v>
      </c>
      <c r="AG54" s="540"/>
      <c r="AH54" s="531"/>
      <c r="AI54" s="537" t="s">
        <v>503</v>
      </c>
      <c r="AJ54" s="538">
        <f>SUM(AM30)</f>
        <v>1475365.444214876</v>
      </c>
      <c r="AK54" s="538">
        <f>SUM(AJ54)</f>
        <v>1475365.444214876</v>
      </c>
      <c r="AL54" s="538">
        <f>SUM(AJ54)</f>
        <v>1475365.444214876</v>
      </c>
      <c r="AM54" s="538">
        <f>SUM(AJ54)</f>
        <v>1475365.444214876</v>
      </c>
      <c r="AN54" s="540"/>
      <c r="AP54" s="537" t="s">
        <v>503</v>
      </c>
      <c r="AQ54" s="538">
        <f>SUM(AT30)</f>
        <v>203562.87099173549</v>
      </c>
      <c r="AR54" s="538">
        <f>SUM(AQ54)</f>
        <v>203562.87099173549</v>
      </c>
      <c r="AS54" s="538">
        <f>SUM(AQ54)</f>
        <v>203562.87099173549</v>
      </c>
      <c r="AT54" s="538">
        <f>SUM(AQ54)</f>
        <v>203562.87099173549</v>
      </c>
      <c r="AU54" s="540"/>
      <c r="AW54" s="537" t="s">
        <v>503</v>
      </c>
      <c r="AX54" s="538">
        <f>SUM(BA30)</f>
        <v>896757.48966942145</v>
      </c>
      <c r="AY54" s="538">
        <f>SUM(AX54)</f>
        <v>896757.48966942145</v>
      </c>
      <c r="AZ54" s="538">
        <f>SUM(AX54)</f>
        <v>896757.48966942145</v>
      </c>
      <c r="BA54" s="538">
        <f>SUM(AX54)</f>
        <v>896757.48966942145</v>
      </c>
      <c r="BB54" s="540"/>
      <c r="BD54" s="537" t="s">
        <v>503</v>
      </c>
      <c r="BE54" s="538">
        <f>SUM(BH30)</f>
        <v>2890070.3770661158</v>
      </c>
      <c r="BF54" s="538">
        <f>SUM(BE54)</f>
        <v>2890070.3770661158</v>
      </c>
      <c r="BG54" s="538">
        <f>SUM(BE54)</f>
        <v>2890070.3770661158</v>
      </c>
      <c r="BH54" s="538">
        <f>SUM(BE54)</f>
        <v>2890070.3770661158</v>
      </c>
      <c r="BI54" s="540"/>
      <c r="BK54" s="537" t="s">
        <v>503</v>
      </c>
      <c r="BL54" s="538">
        <f>SUM(BO30)</f>
        <v>3104715.2634297521</v>
      </c>
      <c r="BM54" s="538">
        <f>SUM(BL54)</f>
        <v>3104715.2634297521</v>
      </c>
      <c r="BN54" s="538">
        <f>SUM(BL54)</f>
        <v>3104715.2634297521</v>
      </c>
      <c r="BO54" s="538">
        <f>SUM(BL54)</f>
        <v>3104715.2634297521</v>
      </c>
      <c r="BP54" s="540"/>
      <c r="BR54" s="537" t="s">
        <v>503</v>
      </c>
      <c r="BS54" s="538">
        <f>SUM(BV30)</f>
        <v>1053822.570247934</v>
      </c>
      <c r="BT54" s="538">
        <f>SUM(BS54)</f>
        <v>1053822.570247934</v>
      </c>
      <c r="BU54" s="538">
        <f>SUM(BS54)</f>
        <v>1053822.570247934</v>
      </c>
      <c r="BV54" s="538">
        <f>SUM(BS54)</f>
        <v>1053822.570247934</v>
      </c>
      <c r="BW54" s="540"/>
      <c r="BY54" s="537" t="s">
        <v>503</v>
      </c>
      <c r="BZ54" s="538">
        <f>SUM(CC30)</f>
        <v>548466.58636363631</v>
      </c>
      <c r="CA54" s="538">
        <f>SUM(BZ54)</f>
        <v>548466.58636363631</v>
      </c>
      <c r="CB54" s="538">
        <f>SUM(BZ54)</f>
        <v>548466.58636363631</v>
      </c>
      <c r="CC54" s="538">
        <f>SUM(BZ54)</f>
        <v>548466.58636363631</v>
      </c>
      <c r="CD54" s="540"/>
      <c r="CF54" s="537" t="s">
        <v>503</v>
      </c>
      <c r="CG54" s="538">
        <f>SUM(CJ30)</f>
        <v>1250000</v>
      </c>
      <c r="CH54" s="538">
        <f>SUM(CG54)</f>
        <v>1250000</v>
      </c>
      <c r="CI54" s="538">
        <f>SUM(CG54)</f>
        <v>1250000</v>
      </c>
      <c r="CJ54" s="538">
        <f>SUM(CG54)</f>
        <v>1250000</v>
      </c>
      <c r="CK54" s="540"/>
      <c r="CN54" s="537" t="s">
        <v>503</v>
      </c>
      <c r="CO54" s="538">
        <f>SUM(CR30)</f>
        <v>600000</v>
      </c>
      <c r="CP54" s="538">
        <f>SUM(CO54)</f>
        <v>600000</v>
      </c>
      <c r="CQ54" s="538">
        <f>SUM(CO54)</f>
        <v>600000</v>
      </c>
      <c r="CR54" s="538">
        <f>SUM(CO54)</f>
        <v>600000</v>
      </c>
      <c r="CS54" s="540"/>
    </row>
    <row r="55" spans="1:97" ht="16" x14ac:dyDescent="0.2">
      <c r="A55" s="531"/>
      <c r="B55" s="531"/>
      <c r="C55" s="95" t="s">
        <v>7</v>
      </c>
      <c r="D55" s="530">
        <f>+D54*D53</f>
        <v>0</v>
      </c>
      <c r="E55" s="530">
        <f>+E54*E53</f>
        <v>6628365.2194214882</v>
      </c>
      <c r="F55" s="541">
        <f>+F54*F53</f>
        <v>0</v>
      </c>
      <c r="G55" s="541">
        <f>+G54*G53</f>
        <v>0</v>
      </c>
      <c r="H55" s="540"/>
      <c r="I55" s="531"/>
      <c r="J55" s="531"/>
      <c r="K55" s="95" t="s">
        <v>7</v>
      </c>
      <c r="L55" s="530">
        <f>+L54*L53</f>
        <v>0</v>
      </c>
      <c r="M55" s="530">
        <f>+M54*M53</f>
        <v>3277100.2537190081</v>
      </c>
      <c r="N55" s="541">
        <f>+N54*N53</f>
        <v>0</v>
      </c>
      <c r="O55" s="541">
        <f>+O54*O53</f>
        <v>0</v>
      </c>
      <c r="P55" s="540"/>
      <c r="Q55" s="531"/>
      <c r="R55" s="531"/>
      <c r="S55" s="531"/>
      <c r="T55" s="95" t="s">
        <v>7</v>
      </c>
      <c r="U55" s="530">
        <f>+U54*U53</f>
        <v>0</v>
      </c>
      <c r="V55" s="530">
        <f>+V54*V53</f>
        <v>9046429.5570247956</v>
      </c>
      <c r="W55" s="541">
        <f>+W54*W53</f>
        <v>0</v>
      </c>
      <c r="X55" s="541">
        <f>+X54*X53</f>
        <v>0</v>
      </c>
      <c r="Y55" s="540"/>
      <c r="Z55" s="531"/>
      <c r="AA55" s="531"/>
      <c r="AB55" s="95" t="s">
        <v>7</v>
      </c>
      <c r="AC55" s="530">
        <f>+AC54*AC53</f>
        <v>0</v>
      </c>
      <c r="AD55" s="530">
        <f>+AD54*AD53</f>
        <v>1533732.971280992</v>
      </c>
      <c r="AE55" s="541">
        <f>+AE54*AE53</f>
        <v>0</v>
      </c>
      <c r="AF55" s="541">
        <f>+AF54*AF53</f>
        <v>0</v>
      </c>
      <c r="AG55" s="540"/>
      <c r="AH55" s="531"/>
      <c r="AI55" s="95" t="s">
        <v>7</v>
      </c>
      <c r="AJ55" s="530">
        <f>+AJ54*AJ53</f>
        <v>0</v>
      </c>
      <c r="AK55" s="530">
        <f>+AK54*AK53</f>
        <v>0</v>
      </c>
      <c r="AL55" s="541">
        <f>+AL54*AL53</f>
        <v>0</v>
      </c>
      <c r="AM55" s="541">
        <f>+AM54*AM53</f>
        <v>7376827.22107438</v>
      </c>
      <c r="AN55" s="540"/>
      <c r="AP55" s="95" t="s">
        <v>7</v>
      </c>
      <c r="AQ55" s="530">
        <f>+AQ54*AQ53</f>
        <v>0</v>
      </c>
      <c r="AR55" s="530">
        <f>+AR54*AR53</f>
        <v>0</v>
      </c>
      <c r="AS55" s="541">
        <f>+AS54*AS53</f>
        <v>0</v>
      </c>
      <c r="AT55" s="541">
        <f>+AT54*AT53</f>
        <v>2035628.7099173549</v>
      </c>
      <c r="AU55" s="540"/>
      <c r="AW55" s="95" t="s">
        <v>7</v>
      </c>
      <c r="AX55" s="530">
        <f>+AX54*AX53</f>
        <v>8967574.896694215</v>
      </c>
      <c r="AY55" s="530">
        <f>+AY54*AY53</f>
        <v>0</v>
      </c>
      <c r="AZ55" s="541">
        <f>+AZ54*AZ53</f>
        <v>0</v>
      </c>
      <c r="BA55" s="541">
        <f>+BA54*BA53</f>
        <v>0</v>
      </c>
      <c r="BB55" s="540"/>
      <c r="BD55" s="95" t="s">
        <v>7</v>
      </c>
      <c r="BE55" s="530">
        <f>+BE54*BE53</f>
        <v>14450351.88533058</v>
      </c>
      <c r="BF55" s="530">
        <f>+BF54*BF53</f>
        <v>0</v>
      </c>
      <c r="BG55" s="541">
        <f>+BG54*BG53</f>
        <v>0</v>
      </c>
      <c r="BH55" s="541">
        <f>+BH54*BH53</f>
        <v>0</v>
      </c>
      <c r="BI55" s="540"/>
      <c r="BK55" s="95" t="s">
        <v>7</v>
      </c>
      <c r="BL55" s="530">
        <f>+BL54*BL53</f>
        <v>0</v>
      </c>
      <c r="BM55" s="530">
        <f>+BM54*BM53</f>
        <v>0</v>
      </c>
      <c r="BN55" s="541">
        <f>+BN54*BN53</f>
        <v>31047152.63429752</v>
      </c>
      <c r="BO55" s="541">
        <f>+BO54*BO53</f>
        <v>0</v>
      </c>
      <c r="BP55" s="540"/>
      <c r="BR55" s="95" t="s">
        <v>7</v>
      </c>
      <c r="BS55" s="530">
        <f>+BS54*BS53</f>
        <v>0</v>
      </c>
      <c r="BT55" s="530">
        <f>+BT54*BT53</f>
        <v>0</v>
      </c>
      <c r="BU55" s="541">
        <f>+BU54*BU53</f>
        <v>5269112.8512396701</v>
      </c>
      <c r="BV55" s="541">
        <f>+BV54*BV53</f>
        <v>0</v>
      </c>
      <c r="BW55" s="540"/>
      <c r="BY55" s="95" t="s">
        <v>7</v>
      </c>
      <c r="BZ55" s="530">
        <f>+BZ54*BZ53</f>
        <v>0</v>
      </c>
      <c r="CA55" s="530">
        <f>+CA54*CA53</f>
        <v>0</v>
      </c>
      <c r="CB55" s="541">
        <f>+CB54*CB53</f>
        <v>0</v>
      </c>
      <c r="CC55" s="541">
        <f>+CC54*CC53</f>
        <v>5484665.8636363633</v>
      </c>
      <c r="CD55" s="540"/>
      <c r="CF55" s="95" t="s">
        <v>7</v>
      </c>
      <c r="CG55" s="530">
        <f>+CG54*CG53</f>
        <v>0</v>
      </c>
      <c r="CH55" s="530">
        <f>+CH54*CH53</f>
        <v>0</v>
      </c>
      <c r="CI55" s="541">
        <f>+CI54*CI53</f>
        <v>0</v>
      </c>
      <c r="CJ55" s="541">
        <f>+CJ54*CJ53</f>
        <v>0</v>
      </c>
      <c r="CK55" s="540"/>
      <c r="CN55" s="95" t="s">
        <v>7</v>
      </c>
      <c r="CO55" s="530">
        <f>+CO54*CO53</f>
        <v>0</v>
      </c>
      <c r="CP55" s="530">
        <f>+CP54*CP53</f>
        <v>0</v>
      </c>
      <c r="CQ55" s="541">
        <f>+CQ54*CQ53</f>
        <v>0</v>
      </c>
      <c r="CR55" s="541">
        <f>+CR54*CR53</f>
        <v>0</v>
      </c>
      <c r="CS55" s="540"/>
    </row>
    <row r="56" spans="1:97" ht="16" x14ac:dyDescent="0.2">
      <c r="A56" s="531"/>
      <c r="B56" s="531"/>
      <c r="C56" s="542" t="s">
        <v>8</v>
      </c>
      <c r="D56" s="538">
        <f>+D55</f>
        <v>0</v>
      </c>
      <c r="E56" s="538">
        <f>+D56+E55</f>
        <v>6628365.2194214882</v>
      </c>
      <c r="F56" s="539">
        <f>+E56+F55</f>
        <v>6628365.2194214882</v>
      </c>
      <c r="G56" s="539">
        <f>+F56+G55</f>
        <v>6628365.2194214882</v>
      </c>
      <c r="H56" s="540"/>
      <c r="I56" s="531"/>
      <c r="J56" s="531"/>
      <c r="K56" s="542" t="s">
        <v>8</v>
      </c>
      <c r="L56" s="538">
        <f>+L55</f>
        <v>0</v>
      </c>
      <c r="M56" s="538">
        <f>+L56+M55</f>
        <v>3277100.2537190081</v>
      </c>
      <c r="N56" s="539">
        <f>+M56+N55</f>
        <v>3277100.2537190081</v>
      </c>
      <c r="O56" s="539">
        <f>+N56+O55</f>
        <v>3277100.2537190081</v>
      </c>
      <c r="P56" s="540"/>
      <c r="Q56" s="531"/>
      <c r="R56" s="531"/>
      <c r="S56" s="531"/>
      <c r="T56" s="542" t="s">
        <v>8</v>
      </c>
      <c r="U56" s="538">
        <f>+U55</f>
        <v>0</v>
      </c>
      <c r="V56" s="538">
        <f>+U56+V55</f>
        <v>9046429.5570247956</v>
      </c>
      <c r="W56" s="539">
        <f>+V56+W55</f>
        <v>9046429.5570247956</v>
      </c>
      <c r="X56" s="539">
        <f>+W56+X55</f>
        <v>9046429.5570247956</v>
      </c>
      <c r="Y56" s="540"/>
      <c r="Z56" s="531"/>
      <c r="AA56" s="531"/>
      <c r="AB56" s="542" t="s">
        <v>8</v>
      </c>
      <c r="AC56" s="538">
        <f>+AC55</f>
        <v>0</v>
      </c>
      <c r="AD56" s="538">
        <f>+AC56+AD55</f>
        <v>1533732.971280992</v>
      </c>
      <c r="AE56" s="539">
        <f>+AD56+AE55</f>
        <v>1533732.971280992</v>
      </c>
      <c r="AF56" s="539">
        <f>+AE56+AF55</f>
        <v>1533732.971280992</v>
      </c>
      <c r="AG56" s="540"/>
      <c r="AH56" s="531"/>
      <c r="AI56" s="542" t="s">
        <v>8</v>
      </c>
      <c r="AJ56" s="538">
        <f>+AJ55</f>
        <v>0</v>
      </c>
      <c r="AK56" s="538">
        <f>+AJ56+AK55</f>
        <v>0</v>
      </c>
      <c r="AL56" s="539">
        <f>+AK56+AL55</f>
        <v>0</v>
      </c>
      <c r="AM56" s="539">
        <f>+AL56+AM55</f>
        <v>7376827.22107438</v>
      </c>
      <c r="AN56" s="540"/>
      <c r="AP56" s="542" t="s">
        <v>8</v>
      </c>
      <c r="AQ56" s="538">
        <f>+AQ55</f>
        <v>0</v>
      </c>
      <c r="AR56" s="538">
        <f>+AQ56+AR55</f>
        <v>0</v>
      </c>
      <c r="AS56" s="539">
        <f>+AR56+AS55</f>
        <v>0</v>
      </c>
      <c r="AT56" s="539">
        <f>+AS56+AT55</f>
        <v>2035628.7099173549</v>
      </c>
      <c r="AU56" s="540"/>
      <c r="AW56" s="542" t="s">
        <v>8</v>
      </c>
      <c r="AX56" s="538">
        <f>+AX55</f>
        <v>8967574.896694215</v>
      </c>
      <c r="AY56" s="538">
        <f>+AX56+AY55</f>
        <v>8967574.896694215</v>
      </c>
      <c r="AZ56" s="539">
        <f>+AY56+AZ55</f>
        <v>8967574.896694215</v>
      </c>
      <c r="BA56" s="539">
        <f>+AZ56+BA55</f>
        <v>8967574.896694215</v>
      </c>
      <c r="BB56" s="540"/>
      <c r="BD56" s="542" t="s">
        <v>8</v>
      </c>
      <c r="BE56" s="538">
        <f>+BE55</f>
        <v>14450351.88533058</v>
      </c>
      <c r="BF56" s="538">
        <f>+BE56+BF55</f>
        <v>14450351.88533058</v>
      </c>
      <c r="BG56" s="539">
        <f>+BF56+BG55</f>
        <v>14450351.88533058</v>
      </c>
      <c r="BH56" s="539">
        <f>+BG56+BH55</f>
        <v>14450351.88533058</v>
      </c>
      <c r="BI56" s="540"/>
      <c r="BK56" s="542" t="s">
        <v>8</v>
      </c>
      <c r="BL56" s="538">
        <f>+BL55</f>
        <v>0</v>
      </c>
      <c r="BM56" s="538">
        <f>+BL56+BM55</f>
        <v>0</v>
      </c>
      <c r="BN56" s="539">
        <f>+BM56+BN55</f>
        <v>31047152.63429752</v>
      </c>
      <c r="BO56" s="539">
        <f>+BN56+BO55</f>
        <v>31047152.63429752</v>
      </c>
      <c r="BP56" s="540"/>
      <c r="BR56" s="542" t="s">
        <v>8</v>
      </c>
      <c r="BS56" s="538">
        <f>+BS55</f>
        <v>0</v>
      </c>
      <c r="BT56" s="538">
        <f>+BS56+BT55</f>
        <v>0</v>
      </c>
      <c r="BU56" s="539">
        <f>+BT56+BU55</f>
        <v>5269112.8512396701</v>
      </c>
      <c r="BV56" s="539">
        <f>+BU56+BV55</f>
        <v>5269112.8512396701</v>
      </c>
      <c r="BW56" s="540"/>
      <c r="BY56" s="542" t="s">
        <v>8</v>
      </c>
      <c r="BZ56" s="538">
        <f>+BZ55</f>
        <v>0</v>
      </c>
      <c r="CA56" s="538">
        <f>+BZ56+CA55</f>
        <v>0</v>
      </c>
      <c r="CB56" s="539">
        <f>+CA56+CB55</f>
        <v>0</v>
      </c>
      <c r="CC56" s="539">
        <f>+CB56+CC55</f>
        <v>5484665.8636363633</v>
      </c>
      <c r="CD56" s="540"/>
      <c r="CF56" s="542" t="s">
        <v>8</v>
      </c>
      <c r="CG56" s="538">
        <f>+CG55</f>
        <v>0</v>
      </c>
      <c r="CH56" s="538">
        <f>+CG56+CH55</f>
        <v>0</v>
      </c>
      <c r="CI56" s="539">
        <f>+CH56+CI55</f>
        <v>0</v>
      </c>
      <c r="CJ56" s="539">
        <f>+CI56+CJ55</f>
        <v>0</v>
      </c>
      <c r="CK56" s="540"/>
      <c r="CN56" s="542" t="s">
        <v>8</v>
      </c>
      <c r="CO56" s="538">
        <f>+CO55</f>
        <v>0</v>
      </c>
      <c r="CP56" s="538">
        <f>+CO56+CP55</f>
        <v>0</v>
      </c>
      <c r="CQ56" s="539">
        <f>+CP56+CQ55</f>
        <v>0</v>
      </c>
      <c r="CR56" s="539">
        <f>+CQ56+CR55</f>
        <v>0</v>
      </c>
      <c r="CS56" s="540"/>
    </row>
    <row r="57" spans="1:97" ht="16" x14ac:dyDescent="0.2">
      <c r="A57" s="531"/>
      <c r="B57" s="531"/>
      <c r="C57" s="543"/>
      <c r="D57" s="544"/>
      <c r="E57" s="544"/>
      <c r="F57" s="536"/>
      <c r="G57" s="536"/>
      <c r="H57" s="540"/>
      <c r="I57" s="531"/>
      <c r="J57" s="531"/>
      <c r="K57" s="543"/>
      <c r="L57" s="544"/>
      <c r="M57" s="544"/>
      <c r="N57" s="536"/>
      <c r="O57" s="536"/>
      <c r="P57" s="540"/>
      <c r="Q57" s="531"/>
      <c r="R57" s="531"/>
      <c r="S57" s="531"/>
      <c r="T57" s="543"/>
      <c r="U57" s="544"/>
      <c r="V57" s="544"/>
      <c r="W57" s="536"/>
      <c r="X57" s="536"/>
      <c r="Y57" s="540"/>
      <c r="Z57" s="531"/>
      <c r="AA57" s="531"/>
      <c r="AB57" s="543"/>
      <c r="AC57" s="544"/>
      <c r="AD57" s="544"/>
      <c r="AE57" s="536"/>
      <c r="AF57" s="536"/>
      <c r="AG57" s="540"/>
      <c r="AH57" s="531"/>
      <c r="AI57" s="543"/>
      <c r="AJ57" s="544"/>
      <c r="AK57" s="544"/>
      <c r="AL57" s="536"/>
      <c r="AM57" s="536"/>
      <c r="AN57" s="540"/>
      <c r="AP57" s="543"/>
      <c r="AQ57" s="544"/>
      <c r="AR57" s="544"/>
      <c r="AS57" s="536"/>
      <c r="AT57" s="536"/>
      <c r="AU57" s="540"/>
      <c r="AW57" s="543"/>
      <c r="AX57" s="544"/>
      <c r="AY57" s="544"/>
      <c r="AZ57" s="536"/>
      <c r="BA57" s="536"/>
      <c r="BB57" s="540"/>
      <c r="BD57" s="543"/>
      <c r="BE57" s="544"/>
      <c r="BF57" s="544"/>
      <c r="BG57" s="536"/>
      <c r="BH57" s="536"/>
      <c r="BI57" s="540"/>
      <c r="BK57" s="543"/>
      <c r="BL57" s="544"/>
      <c r="BM57" s="544"/>
      <c r="BN57" s="536"/>
      <c r="BO57" s="536"/>
      <c r="BP57" s="540"/>
      <c r="BR57" s="543"/>
      <c r="BS57" s="544"/>
      <c r="BT57" s="544"/>
      <c r="BU57" s="536"/>
      <c r="BV57" s="536"/>
      <c r="BW57" s="540"/>
      <c r="BY57" s="543"/>
      <c r="BZ57" s="544"/>
      <c r="CA57" s="544"/>
      <c r="CB57" s="536"/>
      <c r="CC57" s="536"/>
      <c r="CD57" s="540"/>
      <c r="CF57" s="543"/>
      <c r="CG57" s="544"/>
      <c r="CH57" s="544"/>
      <c r="CI57" s="536"/>
      <c r="CJ57" s="536"/>
      <c r="CK57" s="540"/>
      <c r="CN57" s="543"/>
      <c r="CO57" s="544"/>
      <c r="CP57" s="544"/>
      <c r="CQ57" s="536"/>
      <c r="CR57" s="536"/>
      <c r="CS57" s="540"/>
    </row>
    <row r="58" spans="1:97" ht="16" x14ac:dyDescent="0.2">
      <c r="A58" s="531"/>
      <c r="B58" s="531"/>
      <c r="C58" s="545" t="s">
        <v>420</v>
      </c>
      <c r="D58" s="544"/>
      <c r="E58" s="544"/>
      <c r="F58" s="536"/>
      <c r="G58" s="536"/>
      <c r="H58" s="540"/>
      <c r="I58" s="531"/>
      <c r="J58" s="531"/>
      <c r="K58" s="545" t="s">
        <v>420</v>
      </c>
      <c r="L58" s="544"/>
      <c r="M58" s="544"/>
      <c r="N58" s="536"/>
      <c r="O58" s="536"/>
      <c r="P58" s="540"/>
      <c r="Q58" s="531"/>
      <c r="R58" s="531"/>
      <c r="S58" s="531"/>
      <c r="T58" s="545" t="s">
        <v>419</v>
      </c>
      <c r="U58" s="544"/>
      <c r="V58" s="544"/>
      <c r="W58" s="536"/>
      <c r="X58" s="536"/>
      <c r="Y58" s="540"/>
      <c r="Z58" s="531"/>
      <c r="AA58" s="531"/>
      <c r="AB58" s="545" t="s">
        <v>419</v>
      </c>
      <c r="AC58" s="544"/>
      <c r="AD58" s="544"/>
      <c r="AE58" s="536"/>
      <c r="AF58" s="536"/>
      <c r="AG58" s="540"/>
      <c r="AH58" s="531"/>
      <c r="AI58" s="545" t="s">
        <v>419</v>
      </c>
      <c r="AJ58" s="544"/>
      <c r="AK58" s="544"/>
      <c r="AL58" s="536"/>
      <c r="AM58" s="536"/>
      <c r="AN58" s="540"/>
      <c r="AP58" s="545" t="s">
        <v>419</v>
      </c>
      <c r="AQ58" s="544"/>
      <c r="AR58" s="544"/>
      <c r="AS58" s="536"/>
      <c r="AT58" s="536"/>
      <c r="AU58" s="540"/>
      <c r="AW58" s="545" t="s">
        <v>419</v>
      </c>
      <c r="AX58" s="544"/>
      <c r="AY58" s="544"/>
      <c r="AZ58" s="536"/>
      <c r="BA58" s="536"/>
      <c r="BB58" s="540"/>
      <c r="BD58" s="545" t="s">
        <v>419</v>
      </c>
      <c r="BE58" s="544"/>
      <c r="BF58" s="544"/>
      <c r="BG58" s="536"/>
      <c r="BH58" s="536"/>
      <c r="BI58" s="540"/>
      <c r="BK58" s="545" t="s">
        <v>419</v>
      </c>
      <c r="BL58" s="544"/>
      <c r="BM58" s="544"/>
      <c r="BN58" s="536"/>
      <c r="BO58" s="536"/>
      <c r="BP58" s="540"/>
      <c r="BR58" s="545" t="s">
        <v>419</v>
      </c>
      <c r="BS58" s="544"/>
      <c r="BT58" s="544"/>
      <c r="BU58" s="536"/>
      <c r="BV58" s="536"/>
      <c r="BW58" s="540"/>
      <c r="BY58" s="545" t="s">
        <v>419</v>
      </c>
      <c r="BZ58" s="544"/>
      <c r="CA58" s="544"/>
      <c r="CB58" s="536"/>
      <c r="CC58" s="536"/>
      <c r="CD58" s="540"/>
      <c r="CF58" s="545" t="s">
        <v>616</v>
      </c>
      <c r="CG58" s="544"/>
      <c r="CH58" s="544"/>
      <c r="CI58" s="536"/>
      <c r="CJ58" s="536"/>
      <c r="CK58" s="540"/>
      <c r="CN58" s="545" t="s">
        <v>616</v>
      </c>
      <c r="CO58" s="544"/>
      <c r="CP58" s="544"/>
      <c r="CQ58" s="536"/>
      <c r="CR58" s="536"/>
      <c r="CS58" s="540"/>
    </row>
    <row r="59" spans="1:97" ht="16" x14ac:dyDescent="0.2">
      <c r="A59" s="531"/>
      <c r="B59" s="531"/>
      <c r="C59" s="537" t="s">
        <v>418</v>
      </c>
      <c r="D59" s="538">
        <f>+D53</f>
        <v>0</v>
      </c>
      <c r="E59" s="538">
        <f>+E53</f>
        <v>20</v>
      </c>
      <c r="F59" s="538">
        <f>+F53</f>
        <v>0</v>
      </c>
      <c r="G59" s="538">
        <f>+G53</f>
        <v>0</v>
      </c>
      <c r="H59" s="536"/>
      <c r="I59" s="565"/>
      <c r="J59" s="565"/>
      <c r="K59" s="537" t="s">
        <v>418</v>
      </c>
      <c r="L59" s="538">
        <f>+L53</f>
        <v>0</v>
      </c>
      <c r="M59" s="538">
        <f>+M53</f>
        <v>10</v>
      </c>
      <c r="N59" s="538">
        <f>+N53</f>
        <v>0</v>
      </c>
      <c r="O59" s="538">
        <f>+O53</f>
        <v>0</v>
      </c>
      <c r="P59" s="536"/>
      <c r="Q59" s="531"/>
      <c r="R59" s="531"/>
      <c r="S59" s="531"/>
      <c r="T59" s="537" t="s">
        <v>1</v>
      </c>
      <c r="U59" s="538">
        <f>+U53</f>
        <v>0</v>
      </c>
      <c r="V59" s="538">
        <f>+V53</f>
        <v>20</v>
      </c>
      <c r="W59" s="538">
        <f>+W53</f>
        <v>0</v>
      </c>
      <c r="X59" s="538">
        <f>+X53</f>
        <v>0</v>
      </c>
      <c r="Y59" s="536"/>
      <c r="Z59" s="531"/>
      <c r="AA59" s="531"/>
      <c r="AB59" s="537" t="s">
        <v>1</v>
      </c>
      <c r="AC59" s="538">
        <f>+AC53</f>
        <v>0</v>
      </c>
      <c r="AD59" s="538">
        <f>+AD53</f>
        <v>10</v>
      </c>
      <c r="AE59" s="538">
        <f>+AE53</f>
        <v>0</v>
      </c>
      <c r="AF59" s="538">
        <f>+AF53</f>
        <v>0</v>
      </c>
      <c r="AG59" s="536"/>
      <c r="AH59" s="531"/>
      <c r="AI59" s="537" t="s">
        <v>1</v>
      </c>
      <c r="AJ59" s="538">
        <f>+AJ53</f>
        <v>0</v>
      </c>
      <c r="AK59" s="538">
        <f>+AK53</f>
        <v>0</v>
      </c>
      <c r="AL59" s="538">
        <f>+AL53</f>
        <v>0</v>
      </c>
      <c r="AM59" s="538">
        <f>+AM53</f>
        <v>5</v>
      </c>
      <c r="AN59" s="536"/>
      <c r="AP59" s="537" t="s">
        <v>1</v>
      </c>
      <c r="AQ59" s="538">
        <f>+AQ53</f>
        <v>0</v>
      </c>
      <c r="AR59" s="538">
        <f>+AR53</f>
        <v>0</v>
      </c>
      <c r="AS59" s="538">
        <f>+AS53</f>
        <v>0</v>
      </c>
      <c r="AT59" s="538">
        <f>+AT53</f>
        <v>10</v>
      </c>
      <c r="AU59" s="536"/>
      <c r="AW59" s="537" t="s">
        <v>1</v>
      </c>
      <c r="AX59" s="538">
        <f>+AX53</f>
        <v>10</v>
      </c>
      <c r="AY59" s="538">
        <f>+AY53</f>
        <v>0</v>
      </c>
      <c r="AZ59" s="538">
        <f>+AZ53</f>
        <v>0</v>
      </c>
      <c r="BA59" s="538">
        <f>+BA53</f>
        <v>0</v>
      </c>
      <c r="BB59" s="536"/>
      <c r="BD59" s="537" t="s">
        <v>1</v>
      </c>
      <c r="BE59" s="538">
        <f>+BE53</f>
        <v>5</v>
      </c>
      <c r="BF59" s="538">
        <f>+BF53</f>
        <v>0</v>
      </c>
      <c r="BG59" s="538">
        <f>+BG53</f>
        <v>0</v>
      </c>
      <c r="BH59" s="538">
        <f>+BH53</f>
        <v>0</v>
      </c>
      <c r="BI59" s="536"/>
      <c r="BK59" s="537" t="s">
        <v>1</v>
      </c>
      <c r="BL59" s="538">
        <f>+BL53</f>
        <v>0</v>
      </c>
      <c r="BM59" s="538">
        <f>+BM53</f>
        <v>0</v>
      </c>
      <c r="BN59" s="538">
        <f>+BN53</f>
        <v>10</v>
      </c>
      <c r="BO59" s="538">
        <f>+BO53</f>
        <v>0</v>
      </c>
      <c r="BP59" s="536"/>
      <c r="BR59" s="537" t="s">
        <v>1</v>
      </c>
      <c r="BS59" s="538">
        <f>+BS53</f>
        <v>0</v>
      </c>
      <c r="BT59" s="538">
        <f>+BT53</f>
        <v>0</v>
      </c>
      <c r="BU59" s="538">
        <f>+BU53</f>
        <v>5</v>
      </c>
      <c r="BV59" s="538">
        <f>+BV53</f>
        <v>0</v>
      </c>
      <c r="BW59" s="536"/>
      <c r="BY59" s="537" t="s">
        <v>1</v>
      </c>
      <c r="BZ59" s="538">
        <f>+BZ53</f>
        <v>0</v>
      </c>
      <c r="CA59" s="538">
        <f>+CA53</f>
        <v>0</v>
      </c>
      <c r="CB59" s="538">
        <f>+CB53</f>
        <v>0</v>
      </c>
      <c r="CC59" s="538">
        <f>+CC53</f>
        <v>10</v>
      </c>
      <c r="CD59" s="536"/>
      <c r="CF59" s="537" t="s">
        <v>1</v>
      </c>
      <c r="CG59" s="538">
        <v>5</v>
      </c>
      <c r="CH59" s="538">
        <v>5</v>
      </c>
      <c r="CI59" s="538">
        <v>5</v>
      </c>
      <c r="CJ59" s="538">
        <v>5</v>
      </c>
      <c r="CK59" s="536"/>
      <c r="CN59" s="537" t="s">
        <v>1</v>
      </c>
      <c r="CO59" s="538"/>
      <c r="CP59" s="538">
        <v>5</v>
      </c>
      <c r="CQ59" s="538"/>
      <c r="CR59" s="538"/>
      <c r="CS59" s="536"/>
    </row>
    <row r="60" spans="1:97" ht="16" x14ac:dyDescent="0.2">
      <c r="A60" s="531"/>
      <c r="B60" s="531"/>
      <c r="C60" s="543" t="s">
        <v>222</v>
      </c>
      <c r="D60" s="567">
        <f>SUM(D36)</f>
        <v>35000</v>
      </c>
      <c r="E60" s="567">
        <f>+D60</f>
        <v>35000</v>
      </c>
      <c r="F60" s="568">
        <f>+E60</f>
        <v>35000</v>
      </c>
      <c r="G60" s="568">
        <f>+F60</f>
        <v>35000</v>
      </c>
      <c r="H60" s="540"/>
      <c r="I60" s="531"/>
      <c r="J60" s="531"/>
      <c r="K60" s="543" t="s">
        <v>222</v>
      </c>
      <c r="L60" s="567">
        <f>SUM(L36)</f>
        <v>35000</v>
      </c>
      <c r="M60" s="567">
        <f>+L60</f>
        <v>35000</v>
      </c>
      <c r="N60" s="567">
        <f>+M60</f>
        <v>35000</v>
      </c>
      <c r="O60" s="567">
        <f>+N60</f>
        <v>35000</v>
      </c>
      <c r="P60" s="540"/>
      <c r="Q60" s="531"/>
      <c r="R60" s="531"/>
      <c r="S60" s="531"/>
      <c r="T60" s="543" t="s">
        <v>0</v>
      </c>
      <c r="U60" s="567">
        <f>+D60</f>
        <v>35000</v>
      </c>
      <c r="V60" s="567">
        <f>+U60</f>
        <v>35000</v>
      </c>
      <c r="W60" s="567">
        <f>+V60</f>
        <v>35000</v>
      </c>
      <c r="X60" s="567">
        <f>+W60</f>
        <v>35000</v>
      </c>
      <c r="Y60" s="540"/>
      <c r="Z60" s="531"/>
      <c r="AA60" s="531"/>
      <c r="AB60" s="543" t="s">
        <v>0</v>
      </c>
      <c r="AC60" s="567">
        <f>SUM(AF36)</f>
        <v>35000</v>
      </c>
      <c r="AD60" s="567">
        <f>+AC60</f>
        <v>35000</v>
      </c>
      <c r="AE60" s="567">
        <f>+AD60</f>
        <v>35000</v>
      </c>
      <c r="AF60" s="567">
        <f>+AE60</f>
        <v>35000</v>
      </c>
      <c r="AG60" s="540"/>
      <c r="AH60" s="531"/>
      <c r="AI60" s="543" t="s">
        <v>0</v>
      </c>
      <c r="AJ60" s="567">
        <f>SUM(AC60)</f>
        <v>35000</v>
      </c>
      <c r="AK60" s="567">
        <f>+AJ60</f>
        <v>35000</v>
      </c>
      <c r="AL60" s="567">
        <f>+AK60</f>
        <v>35000</v>
      </c>
      <c r="AM60" s="567">
        <f>+AL60</f>
        <v>35000</v>
      </c>
      <c r="AN60" s="540"/>
      <c r="AP60" s="543" t="s">
        <v>0</v>
      </c>
      <c r="AQ60" s="567">
        <f>SUM(AJ60)</f>
        <v>35000</v>
      </c>
      <c r="AR60" s="567">
        <f>+AQ60</f>
        <v>35000</v>
      </c>
      <c r="AS60" s="567">
        <f>+AR60</f>
        <v>35000</v>
      </c>
      <c r="AT60" s="567">
        <f>+AS60</f>
        <v>35000</v>
      </c>
      <c r="AU60" s="540"/>
      <c r="AW60" s="543" t="s">
        <v>0</v>
      </c>
      <c r="AX60" s="567">
        <f>SUM(AQ60)</f>
        <v>35000</v>
      </c>
      <c r="AY60" s="567">
        <f>+AX60</f>
        <v>35000</v>
      </c>
      <c r="AZ60" s="567">
        <f>+AY60</f>
        <v>35000</v>
      </c>
      <c r="BA60" s="567">
        <f>+AZ60</f>
        <v>35000</v>
      </c>
      <c r="BB60" s="540"/>
      <c r="BD60" s="543" t="s">
        <v>0</v>
      </c>
      <c r="BE60" s="567">
        <f>SUM(AX60)</f>
        <v>35000</v>
      </c>
      <c r="BF60" s="567">
        <f>+BE60</f>
        <v>35000</v>
      </c>
      <c r="BG60" s="567">
        <f>+BF60</f>
        <v>35000</v>
      </c>
      <c r="BH60" s="567">
        <f>+BG60</f>
        <v>35000</v>
      </c>
      <c r="BI60" s="540"/>
      <c r="BK60" s="543" t="s">
        <v>0</v>
      </c>
      <c r="BL60" s="567">
        <f>SUM(BE60)</f>
        <v>35000</v>
      </c>
      <c r="BM60" s="567">
        <f>+BL60</f>
        <v>35000</v>
      </c>
      <c r="BN60" s="567">
        <f>+BM60</f>
        <v>35000</v>
      </c>
      <c r="BO60" s="567">
        <f>+BN60</f>
        <v>35000</v>
      </c>
      <c r="BP60" s="540"/>
      <c r="BR60" s="543" t="s">
        <v>0</v>
      </c>
      <c r="BS60" s="567">
        <f>SUM(BL60)</f>
        <v>35000</v>
      </c>
      <c r="BT60" s="567">
        <f>+BS60</f>
        <v>35000</v>
      </c>
      <c r="BU60" s="567">
        <f>+BT60</f>
        <v>35000</v>
      </c>
      <c r="BV60" s="567">
        <f>+BU60</f>
        <v>35000</v>
      </c>
      <c r="BW60" s="540"/>
      <c r="BY60" s="543" t="s">
        <v>0</v>
      </c>
      <c r="BZ60" s="567">
        <f>SUM(BS60)</f>
        <v>35000</v>
      </c>
      <c r="CA60" s="567">
        <f>+BZ60</f>
        <v>35000</v>
      </c>
      <c r="CB60" s="567">
        <f>+CA60</f>
        <v>35000</v>
      </c>
      <c r="CC60" s="567">
        <f>+CB60</f>
        <v>35000</v>
      </c>
      <c r="CD60" s="540"/>
      <c r="CF60" s="543" t="s">
        <v>0</v>
      </c>
      <c r="CG60" s="567">
        <f>SUM(CG36)</f>
        <v>180000</v>
      </c>
      <c r="CH60" s="567">
        <f>+CG60</f>
        <v>180000</v>
      </c>
      <c r="CI60" s="567">
        <f>+CH60</f>
        <v>180000</v>
      </c>
      <c r="CJ60" s="567">
        <f>+CI60</f>
        <v>180000</v>
      </c>
      <c r="CK60" s="540"/>
      <c r="CN60" s="543" t="s">
        <v>0</v>
      </c>
      <c r="CO60" s="567">
        <f>SUM(CO36)</f>
        <v>180000</v>
      </c>
      <c r="CP60" s="567">
        <f>+CO60</f>
        <v>180000</v>
      </c>
      <c r="CQ60" s="567">
        <f>+CP60</f>
        <v>180000</v>
      </c>
      <c r="CR60" s="567">
        <f>+CQ60</f>
        <v>180000</v>
      </c>
      <c r="CS60" s="540"/>
    </row>
    <row r="61" spans="1:97" ht="16" x14ac:dyDescent="0.2">
      <c r="A61" s="531"/>
      <c r="B61" s="531"/>
      <c r="C61" s="546" t="s">
        <v>7</v>
      </c>
      <c r="D61" s="538">
        <f>+D60*D59</f>
        <v>0</v>
      </c>
      <c r="E61" s="538">
        <f>+E60*E59</f>
        <v>700000</v>
      </c>
      <c r="F61" s="539">
        <f>+F60*F59</f>
        <v>0</v>
      </c>
      <c r="G61" s="539">
        <f>+G60*G59</f>
        <v>0</v>
      </c>
      <c r="H61" s="540"/>
      <c r="I61" s="531"/>
      <c r="J61" s="531"/>
      <c r="K61" s="546" t="s">
        <v>7</v>
      </c>
      <c r="L61" s="538">
        <f>+L60*L59</f>
        <v>0</v>
      </c>
      <c r="M61" s="538">
        <f>+M60*M59</f>
        <v>350000</v>
      </c>
      <c r="N61" s="539">
        <f>+N60*N59</f>
        <v>0</v>
      </c>
      <c r="O61" s="539">
        <f>+O60*O59</f>
        <v>0</v>
      </c>
      <c r="P61" s="540"/>
      <c r="Q61" s="531"/>
      <c r="R61" s="531"/>
      <c r="S61" s="531"/>
      <c r="T61" s="546" t="s">
        <v>7</v>
      </c>
      <c r="U61" s="538">
        <f>+U60*U59</f>
        <v>0</v>
      </c>
      <c r="V61" s="538">
        <f>+V60*V59</f>
        <v>700000</v>
      </c>
      <c r="W61" s="539">
        <f>+W60*W59</f>
        <v>0</v>
      </c>
      <c r="X61" s="539">
        <f>+X60*X59</f>
        <v>0</v>
      </c>
      <c r="Y61" s="540"/>
      <c r="Z61" s="531"/>
      <c r="AA61" s="531"/>
      <c r="AB61" s="546" t="s">
        <v>7</v>
      </c>
      <c r="AC61" s="538">
        <f>+AC60*AC59</f>
        <v>0</v>
      </c>
      <c r="AD61" s="538">
        <f>+AD60*AD59</f>
        <v>350000</v>
      </c>
      <c r="AE61" s="539">
        <f>+AE60*AE59</f>
        <v>0</v>
      </c>
      <c r="AF61" s="539">
        <f>+AF60*AF59</f>
        <v>0</v>
      </c>
      <c r="AG61" s="540"/>
      <c r="AH61" s="531"/>
      <c r="AI61" s="546" t="s">
        <v>7</v>
      </c>
      <c r="AJ61" s="538">
        <f>+AJ60*AJ59</f>
        <v>0</v>
      </c>
      <c r="AK61" s="538">
        <f>+AK60*AK59</f>
        <v>0</v>
      </c>
      <c r="AL61" s="539">
        <f>+AL60*AL59</f>
        <v>0</v>
      </c>
      <c r="AM61" s="539">
        <f>+AM60*AM59</f>
        <v>175000</v>
      </c>
      <c r="AN61" s="540"/>
      <c r="AP61" s="546" t="s">
        <v>7</v>
      </c>
      <c r="AQ61" s="538">
        <f>+AQ60*AQ59</f>
        <v>0</v>
      </c>
      <c r="AR61" s="538">
        <f>+AR60*AR59</f>
        <v>0</v>
      </c>
      <c r="AS61" s="539">
        <f>+AS60*AS59</f>
        <v>0</v>
      </c>
      <c r="AT61" s="539">
        <f>+AT60*AT59</f>
        <v>350000</v>
      </c>
      <c r="AU61" s="540"/>
      <c r="AW61" s="546" t="s">
        <v>7</v>
      </c>
      <c r="AX61" s="538">
        <f>+AX60*AX59</f>
        <v>350000</v>
      </c>
      <c r="AY61" s="538">
        <f>+AY60*AY59</f>
        <v>0</v>
      </c>
      <c r="AZ61" s="539">
        <f>+AZ60*AZ59</f>
        <v>0</v>
      </c>
      <c r="BA61" s="539">
        <f>+BA60*BA59</f>
        <v>0</v>
      </c>
      <c r="BB61" s="540"/>
      <c r="BD61" s="546" t="s">
        <v>7</v>
      </c>
      <c r="BE61" s="538">
        <f>+BE60*BE59</f>
        <v>175000</v>
      </c>
      <c r="BF61" s="538">
        <f>+BF60*BF59</f>
        <v>0</v>
      </c>
      <c r="BG61" s="539">
        <f>+BG60*BG59</f>
        <v>0</v>
      </c>
      <c r="BH61" s="539">
        <f>+BH60*BH59</f>
        <v>0</v>
      </c>
      <c r="BI61" s="540"/>
      <c r="BK61" s="546" t="s">
        <v>7</v>
      </c>
      <c r="BL61" s="538">
        <f>+BL60*BL59</f>
        <v>0</v>
      </c>
      <c r="BM61" s="538">
        <f>+BM60*BM59</f>
        <v>0</v>
      </c>
      <c r="BN61" s="539">
        <f>+BN60*BN59</f>
        <v>350000</v>
      </c>
      <c r="BO61" s="539">
        <f>+BO60*BO59</f>
        <v>0</v>
      </c>
      <c r="BP61" s="540"/>
      <c r="BR61" s="546" t="s">
        <v>7</v>
      </c>
      <c r="BS61" s="538">
        <f>+BS60*BS59</f>
        <v>0</v>
      </c>
      <c r="BT61" s="538">
        <f>+BT60*BT59</f>
        <v>0</v>
      </c>
      <c r="BU61" s="539">
        <f>+BU60*BU59</f>
        <v>175000</v>
      </c>
      <c r="BV61" s="539">
        <f>+BV60*BV59</f>
        <v>0</v>
      </c>
      <c r="BW61" s="540"/>
      <c r="BY61" s="546" t="s">
        <v>7</v>
      </c>
      <c r="BZ61" s="538">
        <f>+BZ60*BZ59</f>
        <v>0</v>
      </c>
      <c r="CA61" s="538">
        <f>+CA60*CA59</f>
        <v>0</v>
      </c>
      <c r="CB61" s="539">
        <f>+CB60*CB59</f>
        <v>0</v>
      </c>
      <c r="CC61" s="539">
        <f>+CC60*CC59</f>
        <v>350000</v>
      </c>
      <c r="CD61" s="540"/>
      <c r="CF61" s="546" t="s">
        <v>7</v>
      </c>
      <c r="CG61" s="538">
        <f>+CG60*CG59</f>
        <v>900000</v>
      </c>
      <c r="CH61" s="538">
        <f>+CH60*CH59</f>
        <v>900000</v>
      </c>
      <c r="CI61" s="539">
        <f>+CI60*CI59</f>
        <v>900000</v>
      </c>
      <c r="CJ61" s="539">
        <f>+CJ60*CJ59</f>
        <v>900000</v>
      </c>
      <c r="CK61" s="540"/>
      <c r="CN61" s="546" t="s">
        <v>7</v>
      </c>
      <c r="CO61" s="538">
        <f>+CO60*CO59</f>
        <v>0</v>
      </c>
      <c r="CP61" s="538">
        <f>+CP60*CP59</f>
        <v>900000</v>
      </c>
      <c r="CQ61" s="539">
        <f>+CQ60*CQ59</f>
        <v>0</v>
      </c>
      <c r="CR61" s="539">
        <f>+CR60*CR59</f>
        <v>0</v>
      </c>
      <c r="CS61" s="540"/>
    </row>
    <row r="62" spans="1:97" ht="16" x14ac:dyDescent="0.2">
      <c r="A62" s="531"/>
      <c r="B62" s="531"/>
      <c r="C62" s="547" t="s">
        <v>8</v>
      </c>
      <c r="D62" s="548">
        <f>+D61</f>
        <v>0</v>
      </c>
      <c r="E62" s="548">
        <f>+D62+E61</f>
        <v>700000</v>
      </c>
      <c r="F62" s="549">
        <f>+E62+F61</f>
        <v>700000</v>
      </c>
      <c r="G62" s="549">
        <f>+F62+G61</f>
        <v>700000</v>
      </c>
      <c r="H62" s="540"/>
      <c r="I62" s="531"/>
      <c r="J62" s="531"/>
      <c r="K62" s="547" t="s">
        <v>8</v>
      </c>
      <c r="L62" s="548">
        <f>+L61</f>
        <v>0</v>
      </c>
      <c r="M62" s="548">
        <f>+L62+M61</f>
        <v>350000</v>
      </c>
      <c r="N62" s="549">
        <f>+M62+N61</f>
        <v>350000</v>
      </c>
      <c r="O62" s="549">
        <f>+N62+O61</f>
        <v>350000</v>
      </c>
      <c r="P62" s="540"/>
      <c r="Q62" s="531"/>
      <c r="R62" s="531"/>
      <c r="S62" s="531"/>
      <c r="T62" s="547" t="s">
        <v>8</v>
      </c>
      <c r="U62" s="548">
        <f>+U61</f>
        <v>0</v>
      </c>
      <c r="V62" s="548">
        <f>+U62+V61</f>
        <v>700000</v>
      </c>
      <c r="W62" s="549">
        <f>+V62+W61</f>
        <v>700000</v>
      </c>
      <c r="X62" s="549">
        <f>+W62+X61</f>
        <v>700000</v>
      </c>
      <c r="Y62" s="540"/>
      <c r="Z62" s="531"/>
      <c r="AA62" s="531"/>
      <c r="AB62" s="547" t="s">
        <v>8</v>
      </c>
      <c r="AC62" s="548">
        <f>+AC61</f>
        <v>0</v>
      </c>
      <c r="AD62" s="548">
        <f>+AC62+AD61</f>
        <v>350000</v>
      </c>
      <c r="AE62" s="549">
        <f>+AD62+AE61</f>
        <v>350000</v>
      </c>
      <c r="AF62" s="549">
        <f>+AE62+AF61</f>
        <v>350000</v>
      </c>
      <c r="AG62" s="540"/>
      <c r="AH62" s="531"/>
      <c r="AI62" s="547" t="s">
        <v>8</v>
      </c>
      <c r="AJ62" s="548">
        <f>+AJ61</f>
        <v>0</v>
      </c>
      <c r="AK62" s="548">
        <f>+AJ62+AK61</f>
        <v>0</v>
      </c>
      <c r="AL62" s="549">
        <f>+AK62+AL61</f>
        <v>0</v>
      </c>
      <c r="AM62" s="549">
        <f>+AL62+AM61</f>
        <v>175000</v>
      </c>
      <c r="AN62" s="540"/>
      <c r="AP62" s="547" t="s">
        <v>8</v>
      </c>
      <c r="AQ62" s="548">
        <f>+AQ61</f>
        <v>0</v>
      </c>
      <c r="AR62" s="548">
        <f>+AQ62+AR61</f>
        <v>0</v>
      </c>
      <c r="AS62" s="549">
        <f>+AR62+AS61</f>
        <v>0</v>
      </c>
      <c r="AT62" s="549">
        <f>+AS62+AT61</f>
        <v>350000</v>
      </c>
      <c r="AU62" s="540"/>
      <c r="AW62" s="547" t="s">
        <v>8</v>
      </c>
      <c r="AX62" s="548">
        <f>+AX61</f>
        <v>350000</v>
      </c>
      <c r="AY62" s="548">
        <f>+AX62+AY61</f>
        <v>350000</v>
      </c>
      <c r="AZ62" s="549">
        <f>+AY62+AZ61</f>
        <v>350000</v>
      </c>
      <c r="BA62" s="549">
        <f>+AZ62+BA61</f>
        <v>350000</v>
      </c>
      <c r="BB62" s="540"/>
      <c r="BD62" s="547" t="s">
        <v>8</v>
      </c>
      <c r="BE62" s="548">
        <f>+BE61</f>
        <v>175000</v>
      </c>
      <c r="BF62" s="548">
        <f>+BE62+BF61</f>
        <v>175000</v>
      </c>
      <c r="BG62" s="549">
        <f>+BF62+BG61</f>
        <v>175000</v>
      </c>
      <c r="BH62" s="549">
        <f>+BG62+BH61</f>
        <v>175000</v>
      </c>
      <c r="BI62" s="540"/>
      <c r="BK62" s="547" t="s">
        <v>8</v>
      </c>
      <c r="BL62" s="548">
        <f>+BL61</f>
        <v>0</v>
      </c>
      <c r="BM62" s="548">
        <f>+BL62+BM61</f>
        <v>0</v>
      </c>
      <c r="BN62" s="549">
        <f>+BM62+BN61</f>
        <v>350000</v>
      </c>
      <c r="BO62" s="549">
        <f>+BN62+BO61</f>
        <v>350000</v>
      </c>
      <c r="BP62" s="540"/>
      <c r="BR62" s="547" t="s">
        <v>8</v>
      </c>
      <c r="BS62" s="548">
        <f>+BS61</f>
        <v>0</v>
      </c>
      <c r="BT62" s="548">
        <f>+BS62+BT61</f>
        <v>0</v>
      </c>
      <c r="BU62" s="549">
        <f>+BT62+BU61</f>
        <v>175000</v>
      </c>
      <c r="BV62" s="549">
        <f>+BU62+BV61</f>
        <v>175000</v>
      </c>
      <c r="BW62" s="540"/>
      <c r="BY62" s="547" t="s">
        <v>8</v>
      </c>
      <c r="BZ62" s="548">
        <f>+BZ61</f>
        <v>0</v>
      </c>
      <c r="CA62" s="548">
        <f>+BZ62+CA61</f>
        <v>0</v>
      </c>
      <c r="CB62" s="549">
        <f>+CA62+CB61</f>
        <v>0</v>
      </c>
      <c r="CC62" s="549">
        <f>+CB62+CC61</f>
        <v>350000</v>
      </c>
      <c r="CD62" s="540"/>
      <c r="CF62" s="547" t="s">
        <v>8</v>
      </c>
      <c r="CG62" s="548">
        <f>+CG61</f>
        <v>900000</v>
      </c>
      <c r="CH62" s="548">
        <f>+CG62+CH61</f>
        <v>1800000</v>
      </c>
      <c r="CI62" s="549">
        <f>+CH62+CI61</f>
        <v>2700000</v>
      </c>
      <c r="CJ62" s="549">
        <f>+CI62+CJ61</f>
        <v>3600000</v>
      </c>
      <c r="CK62" s="540"/>
      <c r="CN62" s="547" t="s">
        <v>8</v>
      </c>
      <c r="CO62" s="548">
        <f>+CO61</f>
        <v>0</v>
      </c>
      <c r="CP62" s="548">
        <f>+CO62+CP61</f>
        <v>900000</v>
      </c>
      <c r="CQ62" s="549">
        <f>+CP62+CQ61</f>
        <v>900000</v>
      </c>
      <c r="CR62" s="549">
        <f>+CQ62+CR61</f>
        <v>900000</v>
      </c>
      <c r="CS62" s="540"/>
    </row>
    <row r="63" spans="1:97" ht="16" x14ac:dyDescent="0.2">
      <c r="A63" s="531"/>
      <c r="B63" s="531"/>
      <c r="C63" s="543"/>
      <c r="D63" s="544"/>
      <c r="E63" s="544"/>
      <c r="F63" s="536"/>
      <c r="G63" s="536"/>
      <c r="H63" s="540"/>
      <c r="I63" s="531"/>
      <c r="J63" s="531"/>
      <c r="K63" s="543"/>
      <c r="L63" s="544"/>
      <c r="M63" s="544"/>
      <c r="N63" s="536"/>
      <c r="O63" s="536"/>
      <c r="P63" s="540"/>
      <c r="Q63" s="531"/>
      <c r="R63" s="531"/>
      <c r="S63" s="531"/>
      <c r="T63" s="543"/>
      <c r="U63" s="544"/>
      <c r="V63" s="544"/>
      <c r="W63" s="536"/>
      <c r="X63" s="536"/>
      <c r="Y63" s="540"/>
      <c r="Z63" s="531"/>
      <c r="AA63" s="531"/>
      <c r="AB63" s="543"/>
      <c r="AC63" s="544"/>
      <c r="AD63" s="544"/>
      <c r="AE63" s="536"/>
      <c r="AF63" s="536"/>
      <c r="AG63" s="540"/>
      <c r="AH63" s="531"/>
      <c r="AI63" s="543"/>
      <c r="AJ63" s="544"/>
      <c r="AK63" s="544"/>
      <c r="AL63" s="536"/>
      <c r="AM63" s="536"/>
      <c r="AN63" s="540"/>
      <c r="AP63" s="543"/>
      <c r="AQ63" s="544"/>
      <c r="AR63" s="544"/>
      <c r="AS63" s="536"/>
      <c r="AT63" s="536"/>
      <c r="AU63" s="540"/>
      <c r="AW63" s="543"/>
      <c r="AX63" s="544"/>
      <c r="AY63" s="544"/>
      <c r="AZ63" s="536"/>
      <c r="BA63" s="536"/>
      <c r="BB63" s="540"/>
      <c r="BD63" s="543"/>
      <c r="BE63" s="544"/>
      <c r="BF63" s="544"/>
      <c r="BG63" s="536"/>
      <c r="BH63" s="536"/>
      <c r="BI63" s="540"/>
      <c r="BK63" s="543"/>
      <c r="BL63" s="544"/>
      <c r="BM63" s="544"/>
      <c r="BN63" s="536"/>
      <c r="BO63" s="536"/>
      <c r="BP63" s="540"/>
      <c r="BR63" s="543"/>
      <c r="BS63" s="544"/>
      <c r="BT63" s="544"/>
      <c r="BU63" s="536"/>
      <c r="BV63" s="536"/>
      <c r="BW63" s="540"/>
      <c r="BY63" s="543"/>
      <c r="BZ63" s="544"/>
      <c r="CA63" s="544"/>
      <c r="CB63" s="536"/>
      <c r="CC63" s="536"/>
      <c r="CD63" s="540"/>
      <c r="CF63" s="543"/>
      <c r="CG63" s="544"/>
      <c r="CH63" s="544"/>
      <c r="CI63" s="536"/>
      <c r="CJ63" s="536"/>
      <c r="CK63" s="540"/>
      <c r="CN63" s="543"/>
      <c r="CO63" s="544"/>
      <c r="CP63" s="544"/>
      <c r="CQ63" s="536"/>
      <c r="CR63" s="536"/>
      <c r="CS63" s="540"/>
    </row>
    <row r="64" spans="1:97" ht="16" x14ac:dyDescent="0.2">
      <c r="A64" s="531"/>
      <c r="B64" s="531"/>
      <c r="C64" s="545" t="s">
        <v>501</v>
      </c>
      <c r="D64" s="566">
        <f>SUM(D40)</f>
        <v>25000</v>
      </c>
      <c r="E64" s="566">
        <f>SUM(D64)</f>
        <v>25000</v>
      </c>
      <c r="F64" s="566">
        <f>SUM(D64)</f>
        <v>25000</v>
      </c>
      <c r="G64" s="566">
        <f>SUM(D64)</f>
        <v>25000</v>
      </c>
      <c r="H64" s="540"/>
      <c r="I64" s="531"/>
      <c r="J64" s="531"/>
      <c r="K64" s="545" t="s">
        <v>501</v>
      </c>
      <c r="L64" s="566">
        <f>SUM(L40)</f>
        <v>25000</v>
      </c>
      <c r="M64" s="566">
        <f>SUM(L64)</f>
        <v>25000</v>
      </c>
      <c r="N64" s="566">
        <f>SUM(L64)</f>
        <v>25000</v>
      </c>
      <c r="O64" s="566">
        <f>SUM(L64)</f>
        <v>25000</v>
      </c>
      <c r="P64" s="540"/>
      <c r="Q64" s="531"/>
      <c r="R64" s="531"/>
      <c r="S64" s="531"/>
      <c r="T64" s="545" t="s">
        <v>501</v>
      </c>
      <c r="U64" s="566">
        <f>+D64</f>
        <v>25000</v>
      </c>
      <c r="V64" s="566">
        <f>+E64</f>
        <v>25000</v>
      </c>
      <c r="W64" s="566">
        <f>+F64</f>
        <v>25000</v>
      </c>
      <c r="X64" s="566">
        <f>+G64</f>
        <v>25000</v>
      </c>
      <c r="Y64" s="540"/>
      <c r="Z64" s="531"/>
      <c r="AA64" s="531"/>
      <c r="AB64" s="545" t="s">
        <v>501</v>
      </c>
      <c r="AC64" s="566">
        <f>+L64</f>
        <v>25000</v>
      </c>
      <c r="AD64" s="566">
        <f>+M64</f>
        <v>25000</v>
      </c>
      <c r="AE64" s="566">
        <f>+N64</f>
        <v>25000</v>
      </c>
      <c r="AF64" s="566">
        <f>+O64</f>
        <v>25000</v>
      </c>
      <c r="AG64" s="540"/>
      <c r="AH64" s="531"/>
      <c r="AI64" s="545" t="s">
        <v>501</v>
      </c>
      <c r="AJ64" s="566">
        <f>SUM(AC64)</f>
        <v>25000</v>
      </c>
      <c r="AK64" s="566"/>
      <c r="AL64" s="566">
        <f>+U64</f>
        <v>25000</v>
      </c>
      <c r="AM64" s="566">
        <f>+V64</f>
        <v>25000</v>
      </c>
      <c r="AN64" s="540"/>
      <c r="AP64" s="545" t="s">
        <v>501</v>
      </c>
      <c r="AQ64" s="566">
        <f>SUM(AJ64)</f>
        <v>25000</v>
      </c>
      <c r="AR64" s="566">
        <f>SUM(AQ64)</f>
        <v>25000</v>
      </c>
      <c r="AS64" s="566">
        <f>SUM(AQ64)</f>
        <v>25000</v>
      </c>
      <c r="AT64" s="566">
        <f>+AC64</f>
        <v>25000</v>
      </c>
      <c r="AU64" s="540"/>
      <c r="AW64" s="545" t="s">
        <v>501</v>
      </c>
      <c r="AX64" s="566">
        <f>SUM(AQ64)</f>
        <v>25000</v>
      </c>
      <c r="AY64" s="566"/>
      <c r="AZ64" s="566"/>
      <c r="BA64" s="566">
        <f>+AJ64</f>
        <v>25000</v>
      </c>
      <c r="BB64" s="540"/>
      <c r="BD64" s="545" t="s">
        <v>501</v>
      </c>
      <c r="BE64" s="566">
        <f>SUM(AX64)</f>
        <v>25000</v>
      </c>
      <c r="BF64" s="566">
        <f>SUM(BE64)</f>
        <v>25000</v>
      </c>
      <c r="BG64" s="566">
        <f>SUM(BF64)</f>
        <v>25000</v>
      </c>
      <c r="BH64" s="566">
        <f>+AQ64</f>
        <v>25000</v>
      </c>
      <c r="BI64" s="540"/>
      <c r="BK64" s="545" t="s">
        <v>501</v>
      </c>
      <c r="BL64" s="566">
        <f>SUM(BE64)</f>
        <v>25000</v>
      </c>
      <c r="BM64" s="566">
        <f>SUM(BL64)</f>
        <v>25000</v>
      </c>
      <c r="BN64" s="566">
        <f>SUM(BM64)</f>
        <v>25000</v>
      </c>
      <c r="BO64" s="566">
        <f>+AX64</f>
        <v>25000</v>
      </c>
      <c r="BP64" s="540"/>
      <c r="BR64" s="545" t="s">
        <v>501</v>
      </c>
      <c r="BS64" s="566">
        <f>SUM(BL64)</f>
        <v>25000</v>
      </c>
      <c r="BT64" s="566">
        <f>SUM(BS64)</f>
        <v>25000</v>
      </c>
      <c r="BU64" s="566">
        <f>SUM(BT64)</f>
        <v>25000</v>
      </c>
      <c r="BV64" s="566">
        <f>+BE64</f>
        <v>25000</v>
      </c>
      <c r="BW64" s="540"/>
      <c r="BY64" s="545" t="s">
        <v>501</v>
      </c>
      <c r="BZ64" s="566">
        <f>SUM(BS64)</f>
        <v>25000</v>
      </c>
      <c r="CA64" s="566">
        <f>SUM(BZ64)</f>
        <v>25000</v>
      </c>
      <c r="CB64" s="566">
        <f>SUM(CA64)</f>
        <v>25000</v>
      </c>
      <c r="CC64" s="566">
        <f>+BL64</f>
        <v>25000</v>
      </c>
      <c r="CD64" s="540"/>
      <c r="CF64" s="545" t="s">
        <v>501</v>
      </c>
      <c r="CG64" s="566">
        <f>SUM(BZ64)</f>
        <v>25000</v>
      </c>
      <c r="CH64" s="566">
        <f>SUM(CG64)</f>
        <v>25000</v>
      </c>
      <c r="CI64" s="566">
        <f>SUM(CH64)</f>
        <v>25000</v>
      </c>
      <c r="CJ64" s="566">
        <f>+BS64</f>
        <v>25000</v>
      </c>
      <c r="CK64" s="540"/>
      <c r="CN64" s="545" t="s">
        <v>623</v>
      </c>
      <c r="CO64" s="566">
        <f>SUM(CH64)</f>
        <v>25000</v>
      </c>
      <c r="CP64" s="566">
        <f>SUM(CO64)</f>
        <v>25000</v>
      </c>
      <c r="CQ64" s="566">
        <f>SUM(CP64)</f>
        <v>25000</v>
      </c>
      <c r="CR64" s="566">
        <f>+CA64</f>
        <v>25000</v>
      </c>
      <c r="CS64" s="540"/>
    </row>
    <row r="65" spans="1:97" ht="16" x14ac:dyDescent="0.2">
      <c r="A65" s="531"/>
      <c r="B65" s="531"/>
      <c r="C65" s="537" t="s">
        <v>107</v>
      </c>
      <c r="D65" s="538">
        <f>+D53*D64</f>
        <v>0</v>
      </c>
      <c r="E65" s="538">
        <f>+E53*E64</f>
        <v>500000</v>
      </c>
      <c r="F65" s="538">
        <f>+F53*F64</f>
        <v>0</v>
      </c>
      <c r="G65" s="538">
        <f>+G53*G64</f>
        <v>0</v>
      </c>
      <c r="H65" s="536"/>
      <c r="I65" s="565"/>
      <c r="J65" s="565"/>
      <c r="K65" s="537" t="s">
        <v>107</v>
      </c>
      <c r="L65" s="538">
        <f>+L53*L64</f>
        <v>0</v>
      </c>
      <c r="M65" s="538">
        <f>+M53*M64</f>
        <v>250000</v>
      </c>
      <c r="N65" s="538">
        <f>+N53*N64</f>
        <v>0</v>
      </c>
      <c r="O65" s="538">
        <f>+O53*O64</f>
        <v>0</v>
      </c>
      <c r="P65" s="536"/>
      <c r="Q65" s="531"/>
      <c r="R65" s="531"/>
      <c r="S65" s="531"/>
      <c r="T65" s="537" t="s">
        <v>107</v>
      </c>
      <c r="U65" s="538">
        <f>+U53*U64</f>
        <v>0</v>
      </c>
      <c r="V65" s="538">
        <f>+V53*V64</f>
        <v>500000</v>
      </c>
      <c r="W65" s="538">
        <f>+W53*W64</f>
        <v>0</v>
      </c>
      <c r="X65" s="538">
        <f>+X53*X64</f>
        <v>0</v>
      </c>
      <c r="Y65" s="536"/>
      <c r="Z65" s="531"/>
      <c r="AA65" s="531"/>
      <c r="AB65" s="537" t="s">
        <v>107</v>
      </c>
      <c r="AC65" s="538">
        <f>+AC53*AC64</f>
        <v>0</v>
      </c>
      <c r="AD65" s="538">
        <f>+AD53*AD64</f>
        <v>250000</v>
      </c>
      <c r="AE65" s="538">
        <f>+AE53*AE64</f>
        <v>0</v>
      </c>
      <c r="AF65" s="538">
        <f>+AF53*AF64</f>
        <v>0</v>
      </c>
      <c r="AG65" s="536"/>
      <c r="AH65" s="531"/>
      <c r="AI65" s="537" t="s">
        <v>107</v>
      </c>
      <c r="AJ65" s="538">
        <f>+AJ53*AJ64</f>
        <v>0</v>
      </c>
      <c r="AK65" s="538">
        <f>+AK53*AK64</f>
        <v>0</v>
      </c>
      <c r="AL65" s="538">
        <f>+AL53*AL64</f>
        <v>0</v>
      </c>
      <c r="AM65" s="538">
        <f>+AM53*AM64</f>
        <v>125000</v>
      </c>
      <c r="AN65" s="536"/>
      <c r="AP65" s="537" t="s">
        <v>107</v>
      </c>
      <c r="AQ65" s="538">
        <f>+AQ53*AQ64</f>
        <v>0</v>
      </c>
      <c r="AR65" s="538">
        <f>+AR53*AR64</f>
        <v>0</v>
      </c>
      <c r="AS65" s="538">
        <f>+AS53*AS64</f>
        <v>0</v>
      </c>
      <c r="AT65" s="538">
        <f>+AT53*AT64</f>
        <v>250000</v>
      </c>
      <c r="AU65" s="536"/>
      <c r="AW65" s="537" t="s">
        <v>107</v>
      </c>
      <c r="AX65" s="538">
        <f>+AX53*AX64</f>
        <v>250000</v>
      </c>
      <c r="AY65" s="538">
        <f>+AY53*AY64</f>
        <v>0</v>
      </c>
      <c r="AZ65" s="538">
        <f>+AZ53*AZ64</f>
        <v>0</v>
      </c>
      <c r="BA65" s="538">
        <f>+BA53*BA64</f>
        <v>0</v>
      </c>
      <c r="BB65" s="536"/>
      <c r="BD65" s="537" t="s">
        <v>107</v>
      </c>
      <c r="BE65" s="538">
        <f>+BE53*BE64</f>
        <v>125000</v>
      </c>
      <c r="BF65" s="538">
        <f>+BF53*BF64</f>
        <v>0</v>
      </c>
      <c r="BG65" s="538">
        <f>+BG53*BG64</f>
        <v>0</v>
      </c>
      <c r="BH65" s="538">
        <f>+BH53*BH64</f>
        <v>0</v>
      </c>
      <c r="BI65" s="536"/>
      <c r="BK65" s="537" t="s">
        <v>107</v>
      </c>
      <c r="BL65" s="538">
        <f>+BL53*BL64</f>
        <v>0</v>
      </c>
      <c r="BM65" s="538">
        <f>+BM53*BM64</f>
        <v>0</v>
      </c>
      <c r="BN65" s="538">
        <f>+BN53*BN64</f>
        <v>250000</v>
      </c>
      <c r="BO65" s="538">
        <f>+BO53*BO64</f>
        <v>0</v>
      </c>
      <c r="BP65" s="536"/>
      <c r="BR65" s="537" t="s">
        <v>107</v>
      </c>
      <c r="BS65" s="538">
        <f>+BS53*BS64</f>
        <v>0</v>
      </c>
      <c r="BT65" s="538">
        <f>+BT53*BT64</f>
        <v>0</v>
      </c>
      <c r="BU65" s="538">
        <f>+BU53*BU64</f>
        <v>125000</v>
      </c>
      <c r="BV65" s="538">
        <f>+BV53*BV64</f>
        <v>0</v>
      </c>
      <c r="BW65" s="536"/>
      <c r="BY65" s="537" t="s">
        <v>107</v>
      </c>
      <c r="BZ65" s="538">
        <f>+BZ53*BZ64</f>
        <v>0</v>
      </c>
      <c r="CA65" s="538">
        <f>+CA53*CA64</f>
        <v>0</v>
      </c>
      <c r="CB65" s="538">
        <f>+CB53*CB64</f>
        <v>0</v>
      </c>
      <c r="CC65" s="538">
        <f>+CC53*CC64</f>
        <v>250000</v>
      </c>
      <c r="CD65" s="536"/>
      <c r="CF65" s="537" t="s">
        <v>107</v>
      </c>
      <c r="CG65" s="538">
        <f>+CG53*CG64</f>
        <v>0</v>
      </c>
      <c r="CH65" s="538">
        <f>+CH53*CH64</f>
        <v>0</v>
      </c>
      <c r="CI65" s="538">
        <f>+CI53*CI64</f>
        <v>0</v>
      </c>
      <c r="CJ65" s="538">
        <f>+CJ53*CJ64</f>
        <v>0</v>
      </c>
      <c r="CK65" s="536"/>
      <c r="CN65" s="537" t="s">
        <v>107</v>
      </c>
      <c r="CO65" s="538">
        <f>+CO53*CO64</f>
        <v>0</v>
      </c>
      <c r="CP65" s="538">
        <f>+CP53*CP64</f>
        <v>0</v>
      </c>
      <c r="CQ65" s="538">
        <f>+CQ53*CQ64</f>
        <v>0</v>
      </c>
      <c r="CR65" s="538">
        <f>+CR53*CR64</f>
        <v>0</v>
      </c>
      <c r="CS65" s="536"/>
    </row>
    <row r="66" spans="1:97" ht="16" x14ac:dyDescent="0.2">
      <c r="A66" s="531"/>
      <c r="B66" s="531"/>
      <c r="C66" s="547" t="s">
        <v>8</v>
      </c>
      <c r="D66" s="548">
        <f>+D65</f>
        <v>0</v>
      </c>
      <c r="E66" s="548">
        <f>+D66+E65</f>
        <v>500000</v>
      </c>
      <c r="F66" s="549">
        <f>+E66+F65</f>
        <v>500000</v>
      </c>
      <c r="G66" s="549">
        <f>+F66+G65</f>
        <v>500000</v>
      </c>
      <c r="H66" s="540"/>
      <c r="I66" s="531"/>
      <c r="J66" s="531"/>
      <c r="K66" s="547" t="s">
        <v>8</v>
      </c>
      <c r="L66" s="548">
        <f>+L65</f>
        <v>0</v>
      </c>
      <c r="M66" s="548">
        <f>+L66+M65</f>
        <v>250000</v>
      </c>
      <c r="N66" s="549">
        <f>+M66+N65</f>
        <v>250000</v>
      </c>
      <c r="O66" s="549">
        <f>+N66+O65</f>
        <v>250000</v>
      </c>
      <c r="P66" s="540"/>
      <c r="Q66" s="531"/>
      <c r="R66" s="531"/>
      <c r="S66" s="531"/>
      <c r="T66" s="547" t="s">
        <v>8</v>
      </c>
      <c r="U66" s="548">
        <f>+U65</f>
        <v>0</v>
      </c>
      <c r="V66" s="548">
        <f>+U66+V65</f>
        <v>500000</v>
      </c>
      <c r="W66" s="549">
        <f>+V66+W65</f>
        <v>500000</v>
      </c>
      <c r="X66" s="549">
        <f>+W66+X65</f>
        <v>500000</v>
      </c>
      <c r="Y66" s="540"/>
      <c r="Z66" s="531"/>
      <c r="AA66" s="531"/>
      <c r="AB66" s="547" t="s">
        <v>8</v>
      </c>
      <c r="AC66" s="548">
        <f>+AC65</f>
        <v>0</v>
      </c>
      <c r="AD66" s="548">
        <f>+AC66+AD65</f>
        <v>250000</v>
      </c>
      <c r="AE66" s="549">
        <f>+AD66+AE65</f>
        <v>250000</v>
      </c>
      <c r="AF66" s="549">
        <f>+AE66+AF65</f>
        <v>250000</v>
      </c>
      <c r="AG66" s="540"/>
      <c r="AH66" s="531"/>
      <c r="AI66" s="547" t="s">
        <v>8</v>
      </c>
      <c r="AJ66" s="548">
        <f>+AJ65</f>
        <v>0</v>
      </c>
      <c r="AK66" s="548">
        <f>+AJ66+AK65</f>
        <v>0</v>
      </c>
      <c r="AL66" s="549">
        <f>+AK66+AL65</f>
        <v>0</v>
      </c>
      <c r="AM66" s="549">
        <f>+AL66+AM65</f>
        <v>125000</v>
      </c>
      <c r="AN66" s="540"/>
      <c r="AP66" s="547" t="s">
        <v>8</v>
      </c>
      <c r="AQ66" s="548">
        <f>+AQ65</f>
        <v>0</v>
      </c>
      <c r="AR66" s="548">
        <f>+AQ66+AR65</f>
        <v>0</v>
      </c>
      <c r="AS66" s="549">
        <f>+AR66+AS65</f>
        <v>0</v>
      </c>
      <c r="AT66" s="549">
        <f>+AS66+AT65</f>
        <v>250000</v>
      </c>
      <c r="AU66" s="540"/>
      <c r="AW66" s="547" t="s">
        <v>8</v>
      </c>
      <c r="AX66" s="548">
        <f>+AX65</f>
        <v>250000</v>
      </c>
      <c r="AY66" s="548">
        <f>+AX66+AY65</f>
        <v>250000</v>
      </c>
      <c r="AZ66" s="549">
        <f>+AY66+AZ65</f>
        <v>250000</v>
      </c>
      <c r="BA66" s="549">
        <f>+AZ66+BA65</f>
        <v>250000</v>
      </c>
      <c r="BB66" s="540"/>
      <c r="BD66" s="547" t="s">
        <v>8</v>
      </c>
      <c r="BE66" s="548">
        <f>+BE65</f>
        <v>125000</v>
      </c>
      <c r="BF66" s="548">
        <f>+BE66+BF65</f>
        <v>125000</v>
      </c>
      <c r="BG66" s="549">
        <f>+BF66+BG65</f>
        <v>125000</v>
      </c>
      <c r="BH66" s="549">
        <f>+BG66+BH65</f>
        <v>125000</v>
      </c>
      <c r="BI66" s="540"/>
      <c r="BK66" s="547" t="s">
        <v>8</v>
      </c>
      <c r="BL66" s="548">
        <f>+BL65</f>
        <v>0</v>
      </c>
      <c r="BM66" s="548">
        <f>+BL66+BM65</f>
        <v>0</v>
      </c>
      <c r="BN66" s="549">
        <f>+BM66+BN65</f>
        <v>250000</v>
      </c>
      <c r="BO66" s="549">
        <f>+BN66+BO65</f>
        <v>250000</v>
      </c>
      <c r="BP66" s="540"/>
      <c r="BR66" s="547" t="s">
        <v>8</v>
      </c>
      <c r="BS66" s="548">
        <f>+BS65</f>
        <v>0</v>
      </c>
      <c r="BT66" s="548">
        <f>+BS66+BT65</f>
        <v>0</v>
      </c>
      <c r="BU66" s="549">
        <f>+BT66+BU65</f>
        <v>125000</v>
      </c>
      <c r="BV66" s="549">
        <f>+BU66+BV65</f>
        <v>125000</v>
      </c>
      <c r="BW66" s="540"/>
      <c r="BY66" s="547" t="s">
        <v>8</v>
      </c>
      <c r="BZ66" s="548">
        <f>+BZ65</f>
        <v>0</v>
      </c>
      <c r="CA66" s="548">
        <f>+BZ66+CA65</f>
        <v>0</v>
      </c>
      <c r="CB66" s="549">
        <f>+CA66+CB65</f>
        <v>0</v>
      </c>
      <c r="CC66" s="549">
        <f>+CB66+CC65</f>
        <v>250000</v>
      </c>
      <c r="CD66" s="540"/>
      <c r="CF66" s="547" t="s">
        <v>8</v>
      </c>
      <c r="CG66" s="548">
        <f>+CG65</f>
        <v>0</v>
      </c>
      <c r="CH66" s="548">
        <f>+CG66+CH65</f>
        <v>0</v>
      </c>
      <c r="CI66" s="549">
        <f>+CH66+CI65</f>
        <v>0</v>
      </c>
      <c r="CJ66" s="549">
        <f>+CI66+CJ65</f>
        <v>0</v>
      </c>
      <c r="CK66" s="540"/>
      <c r="CN66" s="547" t="s">
        <v>8</v>
      </c>
      <c r="CO66" s="548">
        <f>+CO65</f>
        <v>0</v>
      </c>
      <c r="CP66" s="548">
        <f>+CO66+CP65</f>
        <v>0</v>
      </c>
      <c r="CQ66" s="549">
        <f>+CP66+CQ65</f>
        <v>0</v>
      </c>
      <c r="CR66" s="549">
        <f>+CQ66+CR65</f>
        <v>0</v>
      </c>
      <c r="CS66" s="540"/>
    </row>
    <row r="67" spans="1:97" ht="16" x14ac:dyDescent="0.2">
      <c r="A67" s="531"/>
      <c r="B67" s="531"/>
      <c r="C67" s="543"/>
      <c r="D67" s="548"/>
      <c r="E67" s="548"/>
      <c r="F67" s="549"/>
      <c r="G67" s="549"/>
      <c r="H67" s="540"/>
      <c r="I67" s="531"/>
      <c r="J67" s="531"/>
      <c r="K67" s="543"/>
      <c r="L67" s="548"/>
      <c r="M67" s="548"/>
      <c r="N67" s="549"/>
      <c r="O67" s="549"/>
      <c r="P67" s="540"/>
      <c r="Q67" s="531"/>
      <c r="R67" s="531"/>
      <c r="S67" s="531"/>
      <c r="T67" s="543"/>
      <c r="U67" s="548"/>
      <c r="V67" s="548"/>
      <c r="W67" s="549"/>
      <c r="X67" s="549"/>
      <c r="Y67" s="540"/>
      <c r="Z67" s="531"/>
      <c r="AA67" s="531"/>
      <c r="AB67" s="543"/>
      <c r="AC67" s="548"/>
      <c r="AD67" s="548"/>
      <c r="AE67" s="549"/>
      <c r="AF67" s="549"/>
      <c r="AG67" s="540"/>
      <c r="AH67" s="531"/>
      <c r="AI67" s="543"/>
      <c r="AJ67" s="548"/>
      <c r="AK67" s="548"/>
      <c r="AL67" s="549"/>
      <c r="AM67" s="549"/>
      <c r="AN67" s="540"/>
      <c r="AP67" s="543"/>
      <c r="AQ67" s="548"/>
      <c r="AR67" s="548"/>
      <c r="AS67" s="549"/>
      <c r="AT67" s="549"/>
      <c r="AU67" s="540"/>
      <c r="AW67" s="543"/>
      <c r="AX67" s="548"/>
      <c r="AY67" s="548"/>
      <c r="AZ67" s="549"/>
      <c r="BA67" s="549"/>
      <c r="BB67" s="540"/>
      <c r="BD67" s="543"/>
      <c r="BE67" s="548"/>
      <c r="BF67" s="548"/>
      <c r="BG67" s="549"/>
      <c r="BH67" s="549"/>
      <c r="BI67" s="540"/>
      <c r="BK67" s="543"/>
      <c r="BL67" s="548"/>
      <c r="BM67" s="548"/>
      <c r="BN67" s="549"/>
      <c r="BO67" s="549"/>
      <c r="BP67" s="540"/>
      <c r="BR67" s="543"/>
      <c r="BS67" s="548"/>
      <c r="BT67" s="548"/>
      <c r="BU67" s="549"/>
      <c r="BV67" s="549"/>
      <c r="BW67" s="540"/>
      <c r="BY67" s="543"/>
      <c r="BZ67" s="548"/>
      <c r="CA67" s="548"/>
      <c r="CB67" s="549"/>
      <c r="CC67" s="549"/>
      <c r="CD67" s="540"/>
      <c r="CF67" s="543"/>
      <c r="CG67" s="548"/>
      <c r="CH67" s="548"/>
      <c r="CI67" s="549"/>
      <c r="CJ67" s="549"/>
      <c r="CK67" s="540"/>
      <c r="CN67" s="543"/>
      <c r="CO67" s="548"/>
      <c r="CP67" s="548"/>
      <c r="CQ67" s="549"/>
      <c r="CR67" s="549"/>
      <c r="CS67" s="540"/>
    </row>
    <row r="68" spans="1:97" ht="17" thickBot="1" x14ac:dyDescent="0.25">
      <c r="A68" s="531"/>
      <c r="B68" s="531"/>
      <c r="C68" s="545"/>
      <c r="D68" s="530"/>
      <c r="E68" s="530"/>
      <c r="F68" s="541"/>
      <c r="G68" s="541"/>
      <c r="H68" s="570" t="s">
        <v>500</v>
      </c>
      <c r="I68" s="531"/>
      <c r="J68" s="531"/>
      <c r="K68" s="545"/>
      <c r="L68" s="530"/>
      <c r="M68" s="530"/>
      <c r="N68" s="541"/>
      <c r="O68" s="530"/>
      <c r="P68" s="570" t="s">
        <v>500</v>
      </c>
      <c r="Q68" s="531"/>
      <c r="R68" s="531"/>
      <c r="S68" s="531"/>
      <c r="T68" s="545"/>
      <c r="U68" s="530"/>
      <c r="V68" s="530"/>
      <c r="W68" s="541"/>
      <c r="X68" s="530"/>
      <c r="Y68" s="570" t="s">
        <v>500</v>
      </c>
      <c r="Z68" s="531"/>
      <c r="AA68" s="531"/>
      <c r="AB68" s="545"/>
      <c r="AC68" s="530"/>
      <c r="AD68" s="530"/>
      <c r="AE68" s="541"/>
      <c r="AF68" s="530"/>
      <c r="AG68" s="570" t="s">
        <v>500</v>
      </c>
      <c r="AH68" s="531"/>
      <c r="AI68" s="545"/>
      <c r="AJ68" s="530"/>
      <c r="AK68" s="530"/>
      <c r="AL68" s="541"/>
      <c r="AM68" s="530"/>
      <c r="AN68" s="570" t="s">
        <v>500</v>
      </c>
      <c r="AP68" s="545"/>
      <c r="AQ68" s="530"/>
      <c r="AR68" s="530"/>
      <c r="AS68" s="541"/>
      <c r="AT68" s="530"/>
      <c r="AU68" s="570" t="s">
        <v>500</v>
      </c>
      <c r="AW68" s="545"/>
      <c r="AX68" s="530"/>
      <c r="AY68" s="530"/>
      <c r="AZ68" s="541"/>
      <c r="BA68" s="530"/>
      <c r="BB68" s="570" t="s">
        <v>500</v>
      </c>
      <c r="BD68" s="545"/>
      <c r="BE68" s="530"/>
      <c r="BF68" s="530"/>
      <c r="BG68" s="541"/>
      <c r="BH68" s="530"/>
      <c r="BI68" s="570" t="s">
        <v>500</v>
      </c>
      <c r="BK68" s="545"/>
      <c r="BL68" s="530"/>
      <c r="BM68" s="530"/>
      <c r="BN68" s="541"/>
      <c r="BO68" s="530"/>
      <c r="BP68" s="570" t="s">
        <v>500</v>
      </c>
      <c r="BR68" s="545"/>
      <c r="BS68" s="530"/>
      <c r="BT68" s="530"/>
      <c r="BU68" s="541"/>
      <c r="BV68" s="530"/>
      <c r="BW68" s="570" t="s">
        <v>500</v>
      </c>
      <c r="BY68" s="545"/>
      <c r="BZ68" s="530"/>
      <c r="CA68" s="530"/>
      <c r="CB68" s="541"/>
      <c r="CC68" s="530"/>
      <c r="CD68" s="570" t="s">
        <v>500</v>
      </c>
      <c r="CF68" s="545"/>
      <c r="CG68" s="530"/>
      <c r="CH68" s="530"/>
      <c r="CI68" s="541"/>
      <c r="CJ68" s="530"/>
      <c r="CK68" s="570" t="s">
        <v>500</v>
      </c>
      <c r="CN68" s="545"/>
      <c r="CO68" s="530"/>
      <c r="CP68" s="530"/>
      <c r="CQ68" s="541"/>
      <c r="CR68" s="530"/>
      <c r="CS68" s="570" t="s">
        <v>500</v>
      </c>
    </row>
    <row r="69" spans="1:97" ht="17" thickBot="1" x14ac:dyDescent="0.25">
      <c r="A69" s="531"/>
      <c r="B69" s="531"/>
      <c r="C69" s="554"/>
      <c r="D69" s="555"/>
      <c r="E69" s="555"/>
      <c r="F69" s="556"/>
      <c r="G69" s="556"/>
      <c r="H69" s="575">
        <f>SUM(G71)/H53</f>
        <v>391418.2609710744</v>
      </c>
      <c r="I69" s="531"/>
      <c r="J69" s="531"/>
      <c r="K69" s="554"/>
      <c r="L69" s="555"/>
      <c r="M69" s="555"/>
      <c r="N69" s="556"/>
      <c r="O69" s="555"/>
      <c r="P69" s="571">
        <f>SUM(O71)/P53</f>
        <v>387710.02537190082</v>
      </c>
      <c r="Q69" s="531"/>
      <c r="R69" s="531"/>
      <c r="S69" s="531"/>
      <c r="T69" s="554"/>
      <c r="U69" s="555"/>
      <c r="V69" s="555"/>
      <c r="W69" s="556"/>
      <c r="X69" s="555"/>
      <c r="Y69" s="571">
        <f>SUM(X71)/Y53</f>
        <v>512321.47785123979</v>
      </c>
      <c r="Z69" s="531"/>
      <c r="AA69" s="531"/>
      <c r="AB69" s="554"/>
      <c r="AC69" s="555"/>
      <c r="AD69" s="555"/>
      <c r="AE69" s="556"/>
      <c r="AF69" s="555"/>
      <c r="AG69" s="571">
        <f>SUM(AF71)/AG53</f>
        <v>213373.29712809919</v>
      </c>
      <c r="AH69" s="531"/>
      <c r="AI69" s="554"/>
      <c r="AJ69" s="555"/>
      <c r="AK69" s="555"/>
      <c r="AL69" s="556"/>
      <c r="AM69" s="555"/>
      <c r="AN69" s="571">
        <f>SUM(AM71)/AN53</f>
        <v>1535365.444214876</v>
      </c>
      <c r="AP69" s="554"/>
      <c r="AQ69" s="555"/>
      <c r="AR69" s="555"/>
      <c r="AS69" s="556"/>
      <c r="AT69" s="555"/>
      <c r="AU69" s="571">
        <f>SUM(AT71)/AU53</f>
        <v>263562.87099173549</v>
      </c>
      <c r="AW69" s="554"/>
      <c r="AX69" s="555"/>
      <c r="AY69" s="555"/>
      <c r="AZ69" s="556"/>
      <c r="BA69" s="555"/>
      <c r="BB69" s="571">
        <f>SUM(BA71)/BB53</f>
        <v>956757.48966942145</v>
      </c>
      <c r="BD69" s="554"/>
      <c r="BE69" s="555"/>
      <c r="BF69" s="555"/>
      <c r="BG69" s="556"/>
      <c r="BH69" s="555"/>
      <c r="BI69" s="571">
        <f>SUM(BH71)/BI53</f>
        <v>2950070.3770661158</v>
      </c>
      <c r="BK69" s="554"/>
      <c r="BL69" s="555"/>
      <c r="BM69" s="555"/>
      <c r="BN69" s="556"/>
      <c r="BO69" s="555"/>
      <c r="BP69" s="571">
        <f>SUM(BO71)/BP53</f>
        <v>3164715.2634297521</v>
      </c>
      <c r="BR69" s="554"/>
      <c r="BS69" s="555"/>
      <c r="BT69" s="555"/>
      <c r="BU69" s="556"/>
      <c r="BV69" s="555"/>
      <c r="BW69" s="571">
        <f>SUM(BV71)/BW53</f>
        <v>1113822.570247934</v>
      </c>
      <c r="BY69" s="554"/>
      <c r="BZ69" s="555"/>
      <c r="CA69" s="555"/>
      <c r="CB69" s="556"/>
      <c r="CC69" s="555"/>
      <c r="CD69" s="571">
        <f>SUM(CC71)/CD53</f>
        <v>608466.58636363631</v>
      </c>
      <c r="CF69" s="554"/>
      <c r="CG69" s="555"/>
      <c r="CH69" s="555"/>
      <c r="CI69" s="556"/>
      <c r="CJ69" s="555"/>
      <c r="CK69" s="571">
        <f>SUM(CJ71)/CJ59</f>
        <v>720000</v>
      </c>
      <c r="CN69" s="554"/>
      <c r="CO69" s="555"/>
      <c r="CP69" s="555"/>
      <c r="CQ69" s="556"/>
      <c r="CR69" s="555"/>
      <c r="CS69" s="571">
        <f>SUM(CR71)/CP59</f>
        <v>180000</v>
      </c>
    </row>
    <row r="70" spans="1:97" ht="16" x14ac:dyDescent="0.2">
      <c r="A70" s="531"/>
      <c r="B70" s="531"/>
      <c r="C70" s="557" t="s">
        <v>23</v>
      </c>
      <c r="D70" s="558">
        <f>+D55+D61+D65</f>
        <v>0</v>
      </c>
      <c r="E70" s="558">
        <f>+E55+E61+E65</f>
        <v>7828365.2194214882</v>
      </c>
      <c r="F70" s="558">
        <f>+F55+F61+F65</f>
        <v>0</v>
      </c>
      <c r="G70" s="558">
        <f>+G55+G61+G65</f>
        <v>0</v>
      </c>
      <c r="H70" s="852">
        <f>SUM(H53:H66)</f>
        <v>20</v>
      </c>
      <c r="I70" s="572"/>
      <c r="J70" s="572"/>
      <c r="K70" s="557" t="s">
        <v>23</v>
      </c>
      <c r="L70" s="558">
        <f>+L55+L61+L65</f>
        <v>0</v>
      </c>
      <c r="M70" s="558">
        <f>+M55+M61+M65</f>
        <v>3877100.2537190081</v>
      </c>
      <c r="N70" s="558">
        <f>+N55+N61+N65</f>
        <v>0</v>
      </c>
      <c r="O70" s="558">
        <f>+O55+O61+O65</f>
        <v>0</v>
      </c>
      <c r="P70" s="850">
        <f>SUM(P53:P66)</f>
        <v>10</v>
      </c>
      <c r="Q70" s="531"/>
      <c r="R70" s="531"/>
      <c r="S70" s="531"/>
      <c r="T70" s="557" t="s">
        <v>23</v>
      </c>
      <c r="U70" s="558">
        <f>+U55+U61+U65</f>
        <v>0</v>
      </c>
      <c r="V70" s="558">
        <f>+V55+V61+V65</f>
        <v>10246429.557024796</v>
      </c>
      <c r="W70" s="558">
        <f>+W55+W61+W65</f>
        <v>0</v>
      </c>
      <c r="X70" s="558">
        <f>+X55+X61+X65</f>
        <v>0</v>
      </c>
      <c r="Y70" s="850">
        <f>SUM(Y53:Y66)</f>
        <v>20</v>
      </c>
      <c r="Z70" s="531"/>
      <c r="AA70" s="531"/>
      <c r="AB70" s="557" t="s">
        <v>23</v>
      </c>
      <c r="AC70" s="558">
        <f>+AC55+AC61+AC65</f>
        <v>0</v>
      </c>
      <c r="AD70" s="558">
        <f>+AD55+AD61+AD65</f>
        <v>2133732.971280992</v>
      </c>
      <c r="AE70" s="558">
        <f>+AE55+AE61+AE65</f>
        <v>0</v>
      </c>
      <c r="AF70" s="558">
        <f>+AF55+AF61+AF65</f>
        <v>0</v>
      </c>
      <c r="AG70" s="850">
        <f>SUM(AG53:AG66)</f>
        <v>10</v>
      </c>
      <c r="AH70" s="531"/>
      <c r="AI70" s="557" t="s">
        <v>23</v>
      </c>
      <c r="AJ70" s="558">
        <f>+AJ55+AJ61+AJ65</f>
        <v>0</v>
      </c>
      <c r="AK70" s="558">
        <f>+AK55+AK61+AK65</f>
        <v>0</v>
      </c>
      <c r="AL70" s="558">
        <f>+AL55+AL61+AL65</f>
        <v>0</v>
      </c>
      <c r="AM70" s="558">
        <f>+AM55+AM61+AM65</f>
        <v>7676827.22107438</v>
      </c>
      <c r="AN70" s="850">
        <f>SUM(AN53:AN66)</f>
        <v>5</v>
      </c>
      <c r="AP70" s="557" t="s">
        <v>23</v>
      </c>
      <c r="AQ70" s="558">
        <f>+AQ55+AQ61+AQ65</f>
        <v>0</v>
      </c>
      <c r="AR70" s="558">
        <f>+AR55+AR61+AR65</f>
        <v>0</v>
      </c>
      <c r="AS70" s="558">
        <f>+AS55+AS61+AS65</f>
        <v>0</v>
      </c>
      <c r="AT70" s="558">
        <f>+AT55+AT61+AT65</f>
        <v>2635628.7099173549</v>
      </c>
      <c r="AU70" s="850">
        <f>SUM(AU53:AU66)</f>
        <v>10</v>
      </c>
      <c r="AW70" s="557" t="s">
        <v>23</v>
      </c>
      <c r="AX70" s="558">
        <f>+AX55+AX61+AX65</f>
        <v>9567574.896694215</v>
      </c>
      <c r="AY70" s="558">
        <f>+AY55+AY61+AY65</f>
        <v>0</v>
      </c>
      <c r="AZ70" s="558">
        <f>+AZ55+AZ61+AZ65</f>
        <v>0</v>
      </c>
      <c r="BA70" s="558">
        <f>+BA55+BA61+BA65</f>
        <v>0</v>
      </c>
      <c r="BB70" s="850">
        <f>SUM(BB53:BB66)</f>
        <v>10</v>
      </c>
      <c r="BD70" s="557" t="s">
        <v>23</v>
      </c>
      <c r="BE70" s="558">
        <f>+BE55+BE61+BE65</f>
        <v>14750351.88533058</v>
      </c>
      <c r="BF70" s="558">
        <f>+BF55+BF61+BF65</f>
        <v>0</v>
      </c>
      <c r="BG70" s="558">
        <f>+BG55+BG61+BG65</f>
        <v>0</v>
      </c>
      <c r="BH70" s="558">
        <f>+BH55+BH61+BH65</f>
        <v>0</v>
      </c>
      <c r="BI70" s="850">
        <f>SUM(BI53:BI66)</f>
        <v>5</v>
      </c>
      <c r="BK70" s="557" t="s">
        <v>23</v>
      </c>
      <c r="BL70" s="558">
        <f>+BL55+BL61+BL65</f>
        <v>0</v>
      </c>
      <c r="BM70" s="558">
        <f>+BM55+BM61+BM65</f>
        <v>0</v>
      </c>
      <c r="BN70" s="558">
        <f>+BN55+BN61+BN65</f>
        <v>31647152.63429752</v>
      </c>
      <c r="BO70" s="558">
        <f>+BO55+BO61+BO65</f>
        <v>0</v>
      </c>
      <c r="BP70" s="850">
        <f>SUM(BP53:BP66)</f>
        <v>10</v>
      </c>
      <c r="BR70" s="557" t="s">
        <v>23</v>
      </c>
      <c r="BS70" s="558">
        <f>+BS55+BS61+BS65</f>
        <v>0</v>
      </c>
      <c r="BT70" s="558">
        <f>+BT55+BT61+BT65</f>
        <v>0</v>
      </c>
      <c r="BU70" s="558">
        <f>+BU55+BU61+BU65</f>
        <v>5569112.8512396701</v>
      </c>
      <c r="BV70" s="558">
        <f>+BV55+BV61+BV65</f>
        <v>0</v>
      </c>
      <c r="BW70" s="850">
        <f>SUM(BW53:BW66)</f>
        <v>5</v>
      </c>
      <c r="BY70" s="557" t="s">
        <v>23</v>
      </c>
      <c r="BZ70" s="558">
        <f>+BZ55+BZ61+BZ65</f>
        <v>0</v>
      </c>
      <c r="CA70" s="558">
        <f>+CA55+CA61+CA65</f>
        <v>0</v>
      </c>
      <c r="CB70" s="558">
        <f>+CB55+CB61+CB65</f>
        <v>0</v>
      </c>
      <c r="CC70" s="558">
        <f>+CC55+CC61+CC65</f>
        <v>6084665.8636363633</v>
      </c>
      <c r="CD70" s="850">
        <f>SUM(CD53:CD66)</f>
        <v>10</v>
      </c>
      <c r="CF70" s="557" t="s">
        <v>23</v>
      </c>
      <c r="CG70" s="558">
        <f>+CG55+CG61+CG65</f>
        <v>900000</v>
      </c>
      <c r="CH70" s="558">
        <f>+CH55+CH61+CH65</f>
        <v>900000</v>
      </c>
      <c r="CI70" s="558">
        <f>+CI55+CI61+CI65</f>
        <v>900000</v>
      </c>
      <c r="CJ70" s="558">
        <f>+CJ55+CJ61+CJ65</f>
        <v>900000</v>
      </c>
      <c r="CK70" s="850">
        <f>SUM(CK53:CK66)</f>
        <v>0</v>
      </c>
      <c r="CN70" s="557" t="s">
        <v>23</v>
      </c>
      <c r="CO70" s="558">
        <f>+CO55+CO61+CO65</f>
        <v>0</v>
      </c>
      <c r="CP70" s="558">
        <f>+CP55+CP61+CP65</f>
        <v>900000</v>
      </c>
      <c r="CQ70" s="558">
        <f>+CQ55+CQ61+CQ65</f>
        <v>0</v>
      </c>
      <c r="CR70" s="558">
        <f>+CR55+CR61+CR65</f>
        <v>0</v>
      </c>
      <c r="CS70" s="850">
        <f>SUM(CS53:CS66)</f>
        <v>0</v>
      </c>
    </row>
    <row r="71" spans="1:97" ht="16" x14ac:dyDescent="0.2">
      <c r="A71" s="531"/>
      <c r="B71" s="531"/>
      <c r="C71" s="573" t="s">
        <v>29</v>
      </c>
      <c r="D71" s="574">
        <f>+D70</f>
        <v>0</v>
      </c>
      <c r="E71" s="574">
        <f>+D71+E70</f>
        <v>7828365.2194214882</v>
      </c>
      <c r="F71" s="574">
        <f>+E71+F70</f>
        <v>7828365.2194214882</v>
      </c>
      <c r="G71" s="574">
        <f>+F71+G70</f>
        <v>7828365.2194214882</v>
      </c>
      <c r="H71" s="851"/>
      <c r="I71" s="572"/>
      <c r="J71" s="572"/>
      <c r="K71" s="573" t="s">
        <v>29</v>
      </c>
      <c r="L71" s="574">
        <f>+L70</f>
        <v>0</v>
      </c>
      <c r="M71" s="574">
        <f>+L71+M70</f>
        <v>3877100.2537190081</v>
      </c>
      <c r="N71" s="574">
        <f>+M71+N70</f>
        <v>3877100.2537190081</v>
      </c>
      <c r="O71" s="574">
        <f>+N71+O70</f>
        <v>3877100.2537190081</v>
      </c>
      <c r="P71" s="851"/>
      <c r="Q71" s="531"/>
      <c r="R71" s="531"/>
      <c r="S71" s="531"/>
      <c r="T71" s="573" t="s">
        <v>29</v>
      </c>
      <c r="U71" s="574">
        <f>+U70</f>
        <v>0</v>
      </c>
      <c r="V71" s="574">
        <f>+U71+V70</f>
        <v>10246429.557024796</v>
      </c>
      <c r="W71" s="574">
        <f>+V71+W70</f>
        <v>10246429.557024796</v>
      </c>
      <c r="X71" s="574">
        <f>+W71+X70</f>
        <v>10246429.557024796</v>
      </c>
      <c r="Y71" s="851"/>
      <c r="Z71" s="531"/>
      <c r="AA71" s="531"/>
      <c r="AB71" s="573" t="s">
        <v>29</v>
      </c>
      <c r="AC71" s="574">
        <f>+AC70</f>
        <v>0</v>
      </c>
      <c r="AD71" s="574">
        <f>+AC71+AD70</f>
        <v>2133732.971280992</v>
      </c>
      <c r="AE71" s="574">
        <f>+AD71+AE70</f>
        <v>2133732.971280992</v>
      </c>
      <c r="AF71" s="574">
        <f>+AE71+AF70</f>
        <v>2133732.971280992</v>
      </c>
      <c r="AG71" s="851"/>
      <c r="AH71" s="531"/>
      <c r="AI71" s="573" t="s">
        <v>29</v>
      </c>
      <c r="AJ71" s="574">
        <f>+AJ70</f>
        <v>0</v>
      </c>
      <c r="AK71" s="574">
        <f>+AJ71+AK70</f>
        <v>0</v>
      </c>
      <c r="AL71" s="574">
        <f>+AK71+AL70</f>
        <v>0</v>
      </c>
      <c r="AM71" s="574">
        <f>+AL71+AM70</f>
        <v>7676827.22107438</v>
      </c>
      <c r="AN71" s="851"/>
      <c r="AP71" s="573" t="s">
        <v>29</v>
      </c>
      <c r="AQ71" s="574">
        <f>+AQ70</f>
        <v>0</v>
      </c>
      <c r="AR71" s="574">
        <f>+AQ71+AR70</f>
        <v>0</v>
      </c>
      <c r="AS71" s="574">
        <f>+AR71+AS70</f>
        <v>0</v>
      </c>
      <c r="AT71" s="574">
        <f>+AS71+AT70</f>
        <v>2635628.7099173549</v>
      </c>
      <c r="AU71" s="851"/>
      <c r="AW71" s="573" t="s">
        <v>29</v>
      </c>
      <c r="AX71" s="574">
        <f>+AX70</f>
        <v>9567574.896694215</v>
      </c>
      <c r="AY71" s="574">
        <f>+AX71+AY70</f>
        <v>9567574.896694215</v>
      </c>
      <c r="AZ71" s="574">
        <f>+AY71+AZ70</f>
        <v>9567574.896694215</v>
      </c>
      <c r="BA71" s="574">
        <f>+AZ71+BA70</f>
        <v>9567574.896694215</v>
      </c>
      <c r="BB71" s="851"/>
      <c r="BD71" s="573" t="s">
        <v>29</v>
      </c>
      <c r="BE71" s="574">
        <f>+BE70</f>
        <v>14750351.88533058</v>
      </c>
      <c r="BF71" s="574">
        <f>+BE71+BF70</f>
        <v>14750351.88533058</v>
      </c>
      <c r="BG71" s="574">
        <f>+BF71+BG70</f>
        <v>14750351.88533058</v>
      </c>
      <c r="BH71" s="574">
        <f>+BG71+BH70</f>
        <v>14750351.88533058</v>
      </c>
      <c r="BI71" s="851"/>
      <c r="BK71" s="573" t="s">
        <v>29</v>
      </c>
      <c r="BL71" s="574">
        <f>+BL70</f>
        <v>0</v>
      </c>
      <c r="BM71" s="574">
        <f>+BL71+BM70</f>
        <v>0</v>
      </c>
      <c r="BN71" s="574">
        <f>+BM71+BN70</f>
        <v>31647152.63429752</v>
      </c>
      <c r="BO71" s="574">
        <f>+BN71+BO70</f>
        <v>31647152.63429752</v>
      </c>
      <c r="BP71" s="851"/>
      <c r="BR71" s="573" t="s">
        <v>29</v>
      </c>
      <c r="BS71" s="574">
        <f>+BS70</f>
        <v>0</v>
      </c>
      <c r="BT71" s="574">
        <f>+BS71+BT70</f>
        <v>0</v>
      </c>
      <c r="BU71" s="574">
        <f>+BT71+BU70</f>
        <v>5569112.8512396701</v>
      </c>
      <c r="BV71" s="574">
        <f>+BU71+BV70</f>
        <v>5569112.8512396701</v>
      </c>
      <c r="BW71" s="851"/>
      <c r="BY71" s="573" t="s">
        <v>29</v>
      </c>
      <c r="BZ71" s="574">
        <f>+BZ70</f>
        <v>0</v>
      </c>
      <c r="CA71" s="574">
        <f>+BZ71+CA70</f>
        <v>0</v>
      </c>
      <c r="CB71" s="574">
        <f>+CA71+CB70</f>
        <v>0</v>
      </c>
      <c r="CC71" s="574">
        <f>+CB71+CC70</f>
        <v>6084665.8636363633</v>
      </c>
      <c r="CD71" s="851"/>
      <c r="CF71" s="573" t="s">
        <v>29</v>
      </c>
      <c r="CG71" s="574">
        <f>+CG70</f>
        <v>900000</v>
      </c>
      <c r="CH71" s="574">
        <f>+CG71+CH70</f>
        <v>1800000</v>
      </c>
      <c r="CI71" s="574">
        <f>+CH71+CI70</f>
        <v>2700000</v>
      </c>
      <c r="CJ71" s="574">
        <f>+CI71+CJ70</f>
        <v>3600000</v>
      </c>
      <c r="CK71" s="851"/>
      <c r="CN71" s="573" t="s">
        <v>29</v>
      </c>
      <c r="CO71" s="574">
        <f>+CO70</f>
        <v>0</v>
      </c>
      <c r="CP71" s="574">
        <f>+CO71+CP70</f>
        <v>900000</v>
      </c>
      <c r="CQ71" s="574">
        <f>+CP71+CQ70</f>
        <v>900000</v>
      </c>
      <c r="CR71" s="574">
        <f>+CQ71+CR70</f>
        <v>900000</v>
      </c>
      <c r="CS71" s="851"/>
    </row>
    <row r="72" spans="1:97" ht="16" x14ac:dyDescent="0.2">
      <c r="A72" s="531"/>
      <c r="B72" s="531"/>
      <c r="C72" s="531"/>
      <c r="D72" s="531"/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  <c r="AP72" s="531"/>
      <c r="AQ72" s="531"/>
      <c r="AR72" s="531"/>
      <c r="AS72" s="531"/>
      <c r="AT72" s="531"/>
      <c r="AU72" s="531"/>
      <c r="AW72" s="531"/>
      <c r="AX72" s="531"/>
      <c r="AY72" s="531"/>
      <c r="AZ72" s="531"/>
      <c r="BA72" s="531"/>
      <c r="BB72" s="531"/>
      <c r="BD72" s="531"/>
      <c r="BE72" s="531"/>
      <c r="BF72" s="531"/>
      <c r="BG72" s="531"/>
      <c r="BH72" s="531"/>
      <c r="BI72" s="531"/>
      <c r="BK72" s="531"/>
      <c r="BL72" s="531"/>
      <c r="BM72" s="531"/>
      <c r="BN72" s="531"/>
      <c r="BO72" s="531"/>
      <c r="BP72" s="531"/>
      <c r="BR72" s="531"/>
      <c r="BS72" s="531"/>
      <c r="BT72" s="531"/>
      <c r="BU72" s="531"/>
      <c r="BV72" s="531"/>
      <c r="BW72" s="531"/>
      <c r="BY72" s="531"/>
      <c r="BZ72" s="531"/>
      <c r="CA72" s="531"/>
      <c r="CB72" s="531"/>
      <c r="CC72" s="531"/>
      <c r="CD72" s="531"/>
      <c r="CF72" s="531"/>
      <c r="CG72" s="531"/>
      <c r="CH72" s="531"/>
      <c r="CI72" s="531"/>
      <c r="CJ72" s="531"/>
      <c r="CK72" s="531"/>
      <c r="CN72" s="531"/>
      <c r="CO72" s="531"/>
      <c r="CP72" s="531"/>
      <c r="CQ72" s="531"/>
      <c r="CR72" s="531"/>
      <c r="CS72" s="531"/>
    </row>
    <row r="73" spans="1:97" ht="16" x14ac:dyDescent="0.2">
      <c r="A73" s="531"/>
      <c r="B73" s="531"/>
      <c r="C73" s="531"/>
      <c r="D73" s="563"/>
      <c r="E73" s="563"/>
      <c r="F73" s="563"/>
      <c r="G73" s="531"/>
      <c r="H73" s="531"/>
      <c r="I73" s="531"/>
      <c r="J73" s="531"/>
      <c r="K73" s="531"/>
      <c r="L73" s="563"/>
      <c r="M73" s="563"/>
      <c r="N73" s="563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  <c r="AP73" s="531"/>
      <c r="AQ73" s="531"/>
      <c r="AR73" s="531"/>
      <c r="AS73" s="531"/>
      <c r="AT73" s="531"/>
      <c r="AU73" s="531"/>
      <c r="AW73" s="531"/>
      <c r="AX73" s="531"/>
      <c r="AY73" s="531"/>
      <c r="AZ73" s="531"/>
      <c r="BA73" s="531"/>
      <c r="BB73" s="531"/>
      <c r="BD73" s="531"/>
      <c r="BE73" s="531"/>
      <c r="BF73" s="531"/>
      <c r="BG73" s="531"/>
      <c r="BH73" s="531"/>
      <c r="BI73" s="531"/>
      <c r="BK73" s="531"/>
      <c r="BL73" s="531"/>
      <c r="BM73" s="531"/>
      <c r="BN73" s="531"/>
      <c r="BO73" s="531"/>
      <c r="BP73" s="531"/>
      <c r="BR73" s="531"/>
      <c r="BS73" s="531"/>
      <c r="BT73" s="531"/>
      <c r="BU73" s="531"/>
      <c r="BV73" s="531"/>
      <c r="BW73" s="531"/>
      <c r="BY73" s="531"/>
      <c r="BZ73" s="531"/>
      <c r="CA73" s="531"/>
      <c r="CB73" s="531"/>
      <c r="CC73" s="531"/>
      <c r="CD73" s="531"/>
      <c r="CF73" s="531"/>
      <c r="CG73" s="531"/>
      <c r="CH73" s="531"/>
      <c r="CI73" s="531"/>
      <c r="CJ73" s="531"/>
      <c r="CK73" s="531"/>
      <c r="CN73" s="531"/>
      <c r="CO73" s="531"/>
      <c r="CP73" s="531"/>
      <c r="CQ73" s="531"/>
      <c r="CR73" s="531"/>
      <c r="CS73" s="531"/>
    </row>
    <row r="74" spans="1:97" ht="16" x14ac:dyDescent="0.2">
      <c r="A74" s="531"/>
      <c r="B74" s="531"/>
      <c r="C74" s="818" t="s">
        <v>477</v>
      </c>
      <c r="D74" s="819"/>
      <c r="E74" s="819"/>
      <c r="F74" s="819"/>
      <c r="G74" s="819"/>
      <c r="H74" s="820"/>
      <c r="I74" s="77"/>
      <c r="J74" s="77"/>
      <c r="K74" s="818" t="s">
        <v>484</v>
      </c>
      <c r="L74" s="819"/>
      <c r="M74" s="819"/>
      <c r="N74" s="819"/>
      <c r="O74" s="819"/>
      <c r="P74" s="820"/>
      <c r="Q74" s="531"/>
      <c r="R74" s="531"/>
      <c r="S74" s="531"/>
      <c r="T74" s="818" t="s">
        <v>490</v>
      </c>
      <c r="U74" s="819"/>
      <c r="V74" s="819"/>
      <c r="W74" s="819"/>
      <c r="X74" s="819"/>
      <c r="Y74" s="820" t="s">
        <v>27</v>
      </c>
      <c r="Z74" s="531"/>
      <c r="AA74" s="531"/>
      <c r="AB74" s="818" t="s">
        <v>496</v>
      </c>
      <c r="AC74" s="819"/>
      <c r="AD74" s="819"/>
      <c r="AE74" s="819"/>
      <c r="AF74" s="819"/>
      <c r="AG74" s="820" t="s">
        <v>27</v>
      </c>
      <c r="AH74" s="531"/>
      <c r="AI74" s="818" t="s">
        <v>523</v>
      </c>
      <c r="AJ74" s="819"/>
      <c r="AK74" s="819"/>
      <c r="AL74" s="819"/>
      <c r="AM74" s="819"/>
      <c r="AN74" s="820" t="s">
        <v>27</v>
      </c>
      <c r="AP74" s="818" t="s">
        <v>520</v>
      </c>
      <c r="AQ74" s="819"/>
      <c r="AR74" s="819"/>
      <c r="AS74" s="819"/>
      <c r="AT74" s="819"/>
      <c r="AU74" s="820" t="s">
        <v>27</v>
      </c>
      <c r="AW74" s="818" t="s">
        <v>542</v>
      </c>
      <c r="AX74" s="819"/>
      <c r="AY74" s="819"/>
      <c r="AZ74" s="819"/>
      <c r="BA74" s="819"/>
      <c r="BB74" s="820" t="s">
        <v>27</v>
      </c>
      <c r="BD74" s="818" t="s">
        <v>550</v>
      </c>
      <c r="BE74" s="819"/>
      <c r="BF74" s="819"/>
      <c r="BG74" s="819"/>
      <c r="BH74" s="819"/>
      <c r="BI74" s="820" t="s">
        <v>27</v>
      </c>
      <c r="BK74" s="818" t="s">
        <v>569</v>
      </c>
      <c r="BL74" s="819"/>
      <c r="BM74" s="819"/>
      <c r="BN74" s="819"/>
      <c r="BO74" s="819"/>
      <c r="BP74" s="820" t="s">
        <v>27</v>
      </c>
      <c r="BR74" s="818" t="s">
        <v>565</v>
      </c>
      <c r="BS74" s="819"/>
      <c r="BT74" s="819"/>
      <c r="BU74" s="819"/>
      <c r="BV74" s="819"/>
      <c r="BW74" s="820" t="s">
        <v>27</v>
      </c>
      <c r="BY74" s="818" t="s">
        <v>580</v>
      </c>
      <c r="BZ74" s="819"/>
      <c r="CA74" s="819"/>
      <c r="CB74" s="819"/>
      <c r="CC74" s="819"/>
      <c r="CD74" s="820" t="s">
        <v>27</v>
      </c>
      <c r="CF74" s="818" t="s">
        <v>578</v>
      </c>
      <c r="CG74" s="819"/>
      <c r="CH74" s="819"/>
      <c r="CI74" s="819"/>
      <c r="CJ74" s="819"/>
      <c r="CK74" s="820" t="s">
        <v>27</v>
      </c>
      <c r="CN74" s="818" t="s">
        <v>620</v>
      </c>
      <c r="CO74" s="819"/>
      <c r="CP74" s="819"/>
      <c r="CQ74" s="819"/>
      <c r="CR74" s="819"/>
      <c r="CS74" s="820" t="s">
        <v>27</v>
      </c>
    </row>
    <row r="75" spans="1:97" ht="16" x14ac:dyDescent="0.2">
      <c r="A75" s="531"/>
      <c r="B75" s="531"/>
      <c r="C75" s="89" t="s">
        <v>25</v>
      </c>
      <c r="D75" s="77" t="s">
        <v>9</v>
      </c>
      <c r="E75" s="78" t="s">
        <v>106</v>
      </c>
      <c r="F75" s="78" t="s">
        <v>10</v>
      </c>
      <c r="G75" s="78" t="s">
        <v>11</v>
      </c>
      <c r="H75" s="533" t="s">
        <v>24</v>
      </c>
      <c r="I75" s="564"/>
      <c r="J75" s="564"/>
      <c r="K75" s="89" t="s">
        <v>25</v>
      </c>
      <c r="L75" s="77" t="s">
        <v>9</v>
      </c>
      <c r="M75" s="78" t="s">
        <v>106</v>
      </c>
      <c r="N75" s="78" t="s">
        <v>10</v>
      </c>
      <c r="O75" s="78" t="s">
        <v>11</v>
      </c>
      <c r="P75" s="533" t="s">
        <v>24</v>
      </c>
      <c r="Q75" s="531"/>
      <c r="R75" s="531"/>
      <c r="S75" s="531"/>
      <c r="T75" s="89" t="s">
        <v>28</v>
      </c>
      <c r="U75" s="77" t="s">
        <v>9</v>
      </c>
      <c r="V75" s="78" t="s">
        <v>106</v>
      </c>
      <c r="W75" s="78" t="s">
        <v>10</v>
      </c>
      <c r="X75" s="78" t="s">
        <v>11</v>
      </c>
      <c r="Y75" s="533" t="s">
        <v>27</v>
      </c>
      <c r="Z75" s="531"/>
      <c r="AA75" s="531"/>
      <c r="AB75" s="89" t="s">
        <v>28</v>
      </c>
      <c r="AC75" s="77" t="s">
        <v>9</v>
      </c>
      <c r="AD75" s="78" t="s">
        <v>106</v>
      </c>
      <c r="AE75" s="78" t="s">
        <v>10</v>
      </c>
      <c r="AF75" s="78" t="s">
        <v>11</v>
      </c>
      <c r="AG75" s="533"/>
      <c r="AH75" s="531"/>
      <c r="AI75" s="89" t="s">
        <v>28</v>
      </c>
      <c r="AJ75" s="77" t="s">
        <v>9</v>
      </c>
      <c r="AK75" s="78" t="s">
        <v>106</v>
      </c>
      <c r="AL75" s="78" t="s">
        <v>10</v>
      </c>
      <c r="AM75" s="78" t="s">
        <v>11</v>
      </c>
      <c r="AN75" s="533"/>
      <c r="AP75" s="89" t="s">
        <v>28</v>
      </c>
      <c r="AQ75" s="77" t="s">
        <v>9</v>
      </c>
      <c r="AR75" s="78" t="s">
        <v>106</v>
      </c>
      <c r="AS75" s="78" t="s">
        <v>10</v>
      </c>
      <c r="AT75" s="78" t="s">
        <v>11</v>
      </c>
      <c r="AU75" s="533"/>
      <c r="AW75" s="89" t="s">
        <v>28</v>
      </c>
      <c r="AX75" s="77" t="s">
        <v>9</v>
      </c>
      <c r="AY75" s="78" t="s">
        <v>106</v>
      </c>
      <c r="AZ75" s="78" t="s">
        <v>10</v>
      </c>
      <c r="BA75" s="78" t="s">
        <v>11</v>
      </c>
      <c r="BB75" s="533"/>
      <c r="BD75" s="89" t="s">
        <v>28</v>
      </c>
      <c r="BE75" s="77" t="s">
        <v>9</v>
      </c>
      <c r="BF75" s="78" t="s">
        <v>106</v>
      </c>
      <c r="BG75" s="78" t="s">
        <v>10</v>
      </c>
      <c r="BH75" s="78" t="s">
        <v>11</v>
      </c>
      <c r="BI75" s="533"/>
      <c r="BK75" s="89" t="s">
        <v>28</v>
      </c>
      <c r="BL75" s="77" t="s">
        <v>9</v>
      </c>
      <c r="BM75" s="78" t="s">
        <v>106</v>
      </c>
      <c r="BN75" s="78" t="s">
        <v>10</v>
      </c>
      <c r="BO75" s="78" t="s">
        <v>11</v>
      </c>
      <c r="BP75" s="533"/>
      <c r="BR75" s="89" t="s">
        <v>28</v>
      </c>
      <c r="BS75" s="77" t="s">
        <v>9</v>
      </c>
      <c r="BT75" s="78" t="s">
        <v>106</v>
      </c>
      <c r="BU75" s="78" t="s">
        <v>10</v>
      </c>
      <c r="BV75" s="78" t="s">
        <v>11</v>
      </c>
      <c r="BW75" s="533"/>
      <c r="BY75" s="89" t="s">
        <v>28</v>
      </c>
      <c r="BZ75" s="77" t="s">
        <v>9</v>
      </c>
      <c r="CA75" s="78" t="s">
        <v>106</v>
      </c>
      <c r="CB75" s="78" t="s">
        <v>10</v>
      </c>
      <c r="CC75" s="78" t="s">
        <v>11</v>
      </c>
      <c r="CD75" s="533"/>
      <c r="CF75" s="89" t="s">
        <v>28</v>
      </c>
      <c r="CG75" s="77" t="s">
        <v>9</v>
      </c>
      <c r="CH75" s="78" t="s">
        <v>106</v>
      </c>
      <c r="CI75" s="78" t="s">
        <v>10</v>
      </c>
      <c r="CJ75" s="78" t="s">
        <v>11</v>
      </c>
      <c r="CK75" s="533"/>
      <c r="CN75" s="89" t="s">
        <v>28</v>
      </c>
      <c r="CO75" s="77" t="s">
        <v>9</v>
      </c>
      <c r="CP75" s="78" t="s">
        <v>106</v>
      </c>
      <c r="CQ75" s="78" t="s">
        <v>10</v>
      </c>
      <c r="CR75" s="78" t="s">
        <v>11</v>
      </c>
      <c r="CS75" s="533"/>
    </row>
    <row r="76" spans="1:97" ht="16" x14ac:dyDescent="0.2">
      <c r="A76" s="531"/>
      <c r="B76" s="531"/>
      <c r="C76" s="534" t="s">
        <v>498</v>
      </c>
      <c r="D76" s="535"/>
      <c r="E76" s="535">
        <v>20</v>
      </c>
      <c r="F76" s="535">
        <f>(+'[2]Ca...'!E76+'[2]Ca...'!E82+'[2]Ca...'!E88)*1.05</f>
        <v>0</v>
      </c>
      <c r="G76" s="535"/>
      <c r="H76" s="536">
        <f>+SUM(D76:G76)</f>
        <v>20</v>
      </c>
      <c r="I76" s="565"/>
      <c r="J76" s="565"/>
      <c r="K76" s="534" t="s">
        <v>498</v>
      </c>
      <c r="L76" s="535"/>
      <c r="M76" s="535">
        <v>10</v>
      </c>
      <c r="N76" s="535"/>
      <c r="O76" s="535"/>
      <c r="P76" s="536">
        <f>+SUM(L76:O76)</f>
        <v>10</v>
      </c>
      <c r="Q76" s="531"/>
      <c r="R76" s="531"/>
      <c r="S76" s="531"/>
      <c r="T76" s="534" t="s">
        <v>498</v>
      </c>
      <c r="U76" s="535"/>
      <c r="V76" s="535">
        <v>20</v>
      </c>
      <c r="W76" s="535"/>
      <c r="X76" s="535"/>
      <c r="Y76" s="536">
        <f>+SUM(U76:X76)</f>
        <v>20</v>
      </c>
      <c r="Z76" s="531"/>
      <c r="AA76" s="531"/>
      <c r="AB76" s="534" t="s">
        <v>498</v>
      </c>
      <c r="AC76" s="535"/>
      <c r="AD76" s="535">
        <v>10</v>
      </c>
      <c r="AE76" s="535"/>
      <c r="AF76" s="535"/>
      <c r="AG76" s="536">
        <f>+SUM(AC76:AF76)</f>
        <v>10</v>
      </c>
      <c r="AH76" s="531"/>
      <c r="AI76" s="534" t="s">
        <v>615</v>
      </c>
      <c r="AJ76" s="535"/>
      <c r="AK76" s="535"/>
      <c r="AL76" s="535"/>
      <c r="AM76" s="535">
        <v>5</v>
      </c>
      <c r="AN76" s="536">
        <f>+SUM(AJ76:AM76)</f>
        <v>5</v>
      </c>
      <c r="AP76" s="534" t="s">
        <v>615</v>
      </c>
      <c r="AQ76" s="535"/>
      <c r="AR76" s="535"/>
      <c r="AS76" s="535"/>
      <c r="AT76" s="535">
        <v>10</v>
      </c>
      <c r="AU76" s="536">
        <f>+SUM(AQ76:AT76)</f>
        <v>10</v>
      </c>
      <c r="AW76" s="534" t="s">
        <v>615</v>
      </c>
      <c r="AX76" s="535">
        <v>10</v>
      </c>
      <c r="AY76" s="535"/>
      <c r="AZ76" s="535"/>
      <c r="BA76" s="535"/>
      <c r="BB76" s="536">
        <f>+SUM(AX76:BA76)</f>
        <v>10</v>
      </c>
      <c r="BD76" s="534" t="s">
        <v>615</v>
      </c>
      <c r="BE76" s="535">
        <v>5</v>
      </c>
      <c r="BF76" s="535"/>
      <c r="BG76" s="535"/>
      <c r="BH76" s="535"/>
      <c r="BI76" s="536">
        <f>+SUM(BE76:BH76)</f>
        <v>5</v>
      </c>
      <c r="BK76" s="534" t="s">
        <v>615</v>
      </c>
      <c r="BL76" s="535"/>
      <c r="BM76" s="535"/>
      <c r="BN76" s="535">
        <v>10</v>
      </c>
      <c r="BO76" s="535"/>
      <c r="BP76" s="536">
        <f>+SUM(BL76:BO76)</f>
        <v>10</v>
      </c>
      <c r="BR76" s="534" t="s">
        <v>615</v>
      </c>
      <c r="BS76" s="535"/>
      <c r="BT76" s="535"/>
      <c r="BU76" s="535">
        <v>5</v>
      </c>
      <c r="BV76" s="535"/>
      <c r="BW76" s="536">
        <f>+SUM(BS76:BV76)</f>
        <v>5</v>
      </c>
      <c r="BY76" s="534" t="s">
        <v>615</v>
      </c>
      <c r="BZ76" s="535"/>
      <c r="CA76" s="535"/>
      <c r="CB76" s="535"/>
      <c r="CC76" s="535">
        <v>10</v>
      </c>
      <c r="CD76" s="536">
        <f>+SUM(BZ76:CC76)</f>
        <v>10</v>
      </c>
      <c r="CF76" s="534" t="s">
        <v>615</v>
      </c>
      <c r="CG76" s="535"/>
      <c r="CH76" s="535"/>
      <c r="CI76" s="535"/>
      <c r="CJ76" s="535"/>
      <c r="CK76" s="536">
        <f>+SUM(CG76:CJ76)</f>
        <v>0</v>
      </c>
      <c r="CN76" s="534" t="s">
        <v>615</v>
      </c>
      <c r="CO76" s="535"/>
      <c r="CP76" s="535"/>
      <c r="CQ76" s="535"/>
      <c r="CR76" s="535"/>
      <c r="CS76" s="536">
        <f>+SUM(CO76:CR76)</f>
        <v>0</v>
      </c>
    </row>
    <row r="77" spans="1:97" ht="16" x14ac:dyDescent="0.2">
      <c r="A77" s="531"/>
      <c r="B77" s="531"/>
      <c r="C77" s="537" t="s">
        <v>503</v>
      </c>
      <c r="D77" s="538">
        <f>SUM(D54)</f>
        <v>331418.2609710744</v>
      </c>
      <c r="E77" s="538">
        <f>+D77</f>
        <v>331418.2609710744</v>
      </c>
      <c r="F77" s="538">
        <f>+E77</f>
        <v>331418.2609710744</v>
      </c>
      <c r="G77" s="538">
        <f>+F77</f>
        <v>331418.2609710744</v>
      </c>
      <c r="H77" s="540"/>
      <c r="I77" s="531"/>
      <c r="J77" s="531"/>
      <c r="K77" s="537" t="s">
        <v>503</v>
      </c>
      <c r="L77" s="538">
        <f>SUM(L54)*1.1</f>
        <v>360481.02790909092</v>
      </c>
      <c r="M77" s="538">
        <f>+L77</f>
        <v>360481.02790909092</v>
      </c>
      <c r="N77" s="538">
        <f>+M77</f>
        <v>360481.02790909092</v>
      </c>
      <c r="O77" s="538">
        <f>+N77</f>
        <v>360481.02790909092</v>
      </c>
      <c r="P77" s="540"/>
      <c r="Q77" s="531"/>
      <c r="R77" s="531"/>
      <c r="S77" s="531"/>
      <c r="T77" s="537" t="s">
        <v>503</v>
      </c>
      <c r="U77" s="538">
        <f>SUM(U54)*1.1</f>
        <v>497553.62563636375</v>
      </c>
      <c r="V77" s="538">
        <f>SUM(V54)*1.1</f>
        <v>497553.62563636375</v>
      </c>
      <c r="W77" s="538">
        <f>SUM(W54)*1.1</f>
        <v>497553.62563636375</v>
      </c>
      <c r="X77" s="538">
        <f>SUM(X54)*1.1</f>
        <v>497553.62563636375</v>
      </c>
      <c r="Y77" s="540"/>
      <c r="Z77" s="531"/>
      <c r="AA77" s="531"/>
      <c r="AB77" s="537" t="s">
        <v>503</v>
      </c>
      <c r="AC77" s="538">
        <f>SUM(AC54)*1.1</f>
        <v>168710.62684090913</v>
      </c>
      <c r="AD77" s="538">
        <f>SUM(AD54)*1.1</f>
        <v>168710.62684090913</v>
      </c>
      <c r="AE77" s="538">
        <f>SUM(AE54)*1.1</f>
        <v>168710.62684090913</v>
      </c>
      <c r="AF77" s="538">
        <f>SUM(AF54)*1.1</f>
        <v>168710.62684090913</v>
      </c>
      <c r="AG77" s="540"/>
      <c r="AH77" s="531"/>
      <c r="AI77" s="537" t="s">
        <v>503</v>
      </c>
      <c r="AJ77" s="538">
        <f>SUM(AJ54)*1.1</f>
        <v>1622901.9886363638</v>
      </c>
      <c r="AK77" s="538">
        <f>SUM(AK54)*1.1</f>
        <v>1622901.9886363638</v>
      </c>
      <c r="AL77" s="538">
        <f>SUM(AL54)*1.1</f>
        <v>1622901.9886363638</v>
      </c>
      <c r="AM77" s="538">
        <f>SUM(AM54)*1.1</f>
        <v>1622901.9886363638</v>
      </c>
      <c r="AN77" s="540"/>
      <c r="AP77" s="537" t="s">
        <v>503</v>
      </c>
      <c r="AQ77" s="538">
        <f>SUM(AQ54)*1.1</f>
        <v>223919.15809090904</v>
      </c>
      <c r="AR77" s="538">
        <f>SUM(AR54)*1.1</f>
        <v>223919.15809090904</v>
      </c>
      <c r="AS77" s="538">
        <f>SUM(AS54)*1.1</f>
        <v>223919.15809090904</v>
      </c>
      <c r="AT77" s="538">
        <f>SUM(AT54)*1.1</f>
        <v>223919.15809090904</v>
      </c>
      <c r="AU77" s="540"/>
      <c r="AW77" s="537" t="s">
        <v>503</v>
      </c>
      <c r="AX77" s="538">
        <f>SUM(AX54)*1.1</f>
        <v>986433.23863636365</v>
      </c>
      <c r="AY77" s="538">
        <f>SUM(AY54)*1.1</f>
        <v>986433.23863636365</v>
      </c>
      <c r="AZ77" s="538">
        <f>SUM(AZ54)*1.1</f>
        <v>986433.23863636365</v>
      </c>
      <c r="BA77" s="538">
        <f>SUM(BA54)*1.1</f>
        <v>986433.23863636365</v>
      </c>
      <c r="BB77" s="540"/>
      <c r="BD77" s="537" t="s">
        <v>503</v>
      </c>
      <c r="BE77" s="538">
        <f>SUM(BE54)*1.1</f>
        <v>3179077.4147727275</v>
      </c>
      <c r="BF77" s="538">
        <f>SUM(BF54)*1.1</f>
        <v>3179077.4147727275</v>
      </c>
      <c r="BG77" s="538">
        <f>SUM(BG54)*1.1</f>
        <v>3179077.4147727275</v>
      </c>
      <c r="BH77" s="538">
        <f>SUM(BH54)*1.1</f>
        <v>3179077.4147727275</v>
      </c>
      <c r="BI77" s="540"/>
      <c r="BK77" s="537" t="s">
        <v>503</v>
      </c>
      <c r="BL77" s="538">
        <f>SUM(BL54)*1.1</f>
        <v>3415186.7897727275</v>
      </c>
      <c r="BM77" s="538">
        <f>SUM(BM54)*1.1</f>
        <v>3415186.7897727275</v>
      </c>
      <c r="BN77" s="538">
        <f>SUM(BN54)*1.1</f>
        <v>3415186.7897727275</v>
      </c>
      <c r="BO77" s="538">
        <f>SUM(BO54)*1.1</f>
        <v>3415186.7897727275</v>
      </c>
      <c r="BP77" s="540"/>
      <c r="BR77" s="537" t="s">
        <v>503</v>
      </c>
      <c r="BS77" s="538">
        <f>SUM(BS54)*1.1</f>
        <v>1159204.8272727274</v>
      </c>
      <c r="BT77" s="538">
        <f>SUM(BT54)*1.1</f>
        <v>1159204.8272727274</v>
      </c>
      <c r="BU77" s="538">
        <f>SUM(BU54)*1.1</f>
        <v>1159204.8272727274</v>
      </c>
      <c r="BV77" s="538">
        <f>SUM(BV54)*1.1</f>
        <v>1159204.8272727274</v>
      </c>
      <c r="BW77" s="540"/>
      <c r="BY77" s="537" t="s">
        <v>503</v>
      </c>
      <c r="BZ77" s="538">
        <f>SUM(BZ54)*1.1</f>
        <v>603313.245</v>
      </c>
      <c r="CA77" s="538">
        <f>SUM(CA54)*1.1</f>
        <v>603313.245</v>
      </c>
      <c r="CB77" s="538">
        <f>SUM(CB54)*1.1</f>
        <v>603313.245</v>
      </c>
      <c r="CC77" s="538">
        <f>SUM(CC54)*1.1</f>
        <v>603313.245</v>
      </c>
      <c r="CD77" s="540"/>
      <c r="CF77" s="537" t="s">
        <v>503</v>
      </c>
      <c r="CG77" s="538">
        <f>SUM(CG54)*1.1</f>
        <v>1375000</v>
      </c>
      <c r="CH77" s="538">
        <f>SUM(CH54)*1.1</f>
        <v>1375000</v>
      </c>
      <c r="CI77" s="538">
        <f>SUM(CI54)*1.1</f>
        <v>1375000</v>
      </c>
      <c r="CJ77" s="538">
        <f>SUM(CJ54)*1.1</f>
        <v>1375000</v>
      </c>
      <c r="CK77" s="540"/>
      <c r="CN77" s="537" t="s">
        <v>503</v>
      </c>
      <c r="CO77" s="538">
        <f>SUM(CO54)*1.1</f>
        <v>660000</v>
      </c>
      <c r="CP77" s="538">
        <f>SUM(CP54)*1.1</f>
        <v>660000</v>
      </c>
      <c r="CQ77" s="538">
        <f>SUM(CQ54)*1.1</f>
        <v>660000</v>
      </c>
      <c r="CR77" s="538">
        <f>SUM(CR54)*1.1</f>
        <v>660000</v>
      </c>
      <c r="CS77" s="540"/>
    </row>
    <row r="78" spans="1:97" ht="16" x14ac:dyDescent="0.2">
      <c r="A78" s="531"/>
      <c r="B78" s="531"/>
      <c r="C78" s="95" t="s">
        <v>7</v>
      </c>
      <c r="D78" s="530">
        <f>+D77*D76</f>
        <v>0</v>
      </c>
      <c r="E78" s="530">
        <f>+E77*E76</f>
        <v>6628365.2194214882</v>
      </c>
      <c r="F78" s="541">
        <f>+F77*F76</f>
        <v>0</v>
      </c>
      <c r="G78" s="541">
        <f>+G77*G76</f>
        <v>0</v>
      </c>
      <c r="H78" s="540"/>
      <c r="I78" s="531"/>
      <c r="J78" s="531"/>
      <c r="K78" s="95" t="s">
        <v>7</v>
      </c>
      <c r="L78" s="530">
        <f>+L77*L76</f>
        <v>0</v>
      </c>
      <c r="M78" s="530">
        <f>+M77*M76</f>
        <v>3604810.2790909093</v>
      </c>
      <c r="N78" s="541">
        <f>+N77*N76</f>
        <v>0</v>
      </c>
      <c r="O78" s="541">
        <f>+O77*O76</f>
        <v>0</v>
      </c>
      <c r="P78" s="540"/>
      <c r="Q78" s="531"/>
      <c r="R78" s="531"/>
      <c r="S78" s="531"/>
      <c r="T78" s="95" t="s">
        <v>7</v>
      </c>
      <c r="U78" s="530">
        <f>+U77*U76</f>
        <v>0</v>
      </c>
      <c r="V78" s="530">
        <f>+V77*V76</f>
        <v>9951072.5127272755</v>
      </c>
      <c r="W78" s="541">
        <f>+W77*W76</f>
        <v>0</v>
      </c>
      <c r="X78" s="541">
        <f>+X77*X76</f>
        <v>0</v>
      </c>
      <c r="Y78" s="540"/>
      <c r="Z78" s="531"/>
      <c r="AA78" s="531"/>
      <c r="AB78" s="95" t="s">
        <v>7</v>
      </c>
      <c r="AC78" s="530">
        <f>+AC77*AC76</f>
        <v>0</v>
      </c>
      <c r="AD78" s="530">
        <f>+AD77*AD76</f>
        <v>1687106.2684090913</v>
      </c>
      <c r="AE78" s="541">
        <f>+AE77*AE76</f>
        <v>0</v>
      </c>
      <c r="AF78" s="541">
        <f>+AF77*AF76</f>
        <v>0</v>
      </c>
      <c r="AG78" s="540"/>
      <c r="AH78" s="531"/>
      <c r="AI78" s="95" t="s">
        <v>7</v>
      </c>
      <c r="AJ78" s="530">
        <f>+AJ77*AJ76</f>
        <v>0</v>
      </c>
      <c r="AK78" s="530">
        <f>+AK77*AK76</f>
        <v>0</v>
      </c>
      <c r="AL78" s="541">
        <f>+AL77*AL76</f>
        <v>0</v>
      </c>
      <c r="AM78" s="541">
        <f>+AM77*AM76</f>
        <v>8114509.9431818184</v>
      </c>
      <c r="AN78" s="540"/>
      <c r="AP78" s="95" t="s">
        <v>7</v>
      </c>
      <c r="AQ78" s="530">
        <f>+AQ77*AQ76</f>
        <v>0</v>
      </c>
      <c r="AR78" s="530">
        <f>+AR77*AR76</f>
        <v>0</v>
      </c>
      <c r="AS78" s="541">
        <f>+AS77*AS76</f>
        <v>0</v>
      </c>
      <c r="AT78" s="541">
        <f>+AT77*AT76</f>
        <v>2239191.5809090906</v>
      </c>
      <c r="AU78" s="540"/>
      <c r="AW78" s="95" t="s">
        <v>7</v>
      </c>
      <c r="AX78" s="530">
        <f>+AX77*AX76</f>
        <v>9864332.3863636367</v>
      </c>
      <c r="AY78" s="530">
        <f>+AY77*AY76</f>
        <v>0</v>
      </c>
      <c r="AZ78" s="541">
        <f>+AZ77*AZ76</f>
        <v>0</v>
      </c>
      <c r="BA78" s="541">
        <f>+BA77*BA76</f>
        <v>0</v>
      </c>
      <c r="BB78" s="540"/>
      <c r="BD78" s="95" t="s">
        <v>7</v>
      </c>
      <c r="BE78" s="530">
        <f>+BE77*BE76</f>
        <v>15895387.073863637</v>
      </c>
      <c r="BF78" s="530">
        <f>+BF77*BF76</f>
        <v>0</v>
      </c>
      <c r="BG78" s="541">
        <f>+BG77*BG76</f>
        <v>0</v>
      </c>
      <c r="BH78" s="541">
        <f>+BH77*BH76</f>
        <v>0</v>
      </c>
      <c r="BI78" s="540"/>
      <c r="BK78" s="95" t="s">
        <v>7</v>
      </c>
      <c r="BL78" s="530">
        <f>+BL77*BL76</f>
        <v>0</v>
      </c>
      <c r="BM78" s="530">
        <f>+BM77*BM76</f>
        <v>0</v>
      </c>
      <c r="BN78" s="541">
        <f>+BN77*BN76</f>
        <v>34151867.897727273</v>
      </c>
      <c r="BO78" s="541">
        <f>+BO77*BO76</f>
        <v>0</v>
      </c>
      <c r="BP78" s="540"/>
      <c r="BR78" s="95" t="s">
        <v>7</v>
      </c>
      <c r="BS78" s="530">
        <f>+BS77*BS76</f>
        <v>0</v>
      </c>
      <c r="BT78" s="530">
        <f>+BT77*BT76</f>
        <v>0</v>
      </c>
      <c r="BU78" s="541">
        <f>+BU77*BU76</f>
        <v>5796024.1363636367</v>
      </c>
      <c r="BV78" s="541">
        <f>+BV77*BV76</f>
        <v>0</v>
      </c>
      <c r="BW78" s="540"/>
      <c r="BY78" s="95" t="s">
        <v>7</v>
      </c>
      <c r="BZ78" s="530">
        <f>+BZ77*BZ76</f>
        <v>0</v>
      </c>
      <c r="CA78" s="530">
        <f>+CA77*CA76</f>
        <v>0</v>
      </c>
      <c r="CB78" s="541">
        <f>+CB77*CB76</f>
        <v>0</v>
      </c>
      <c r="CC78" s="541">
        <f>+CC77*CC76</f>
        <v>6033132.4500000002</v>
      </c>
      <c r="CD78" s="540"/>
      <c r="CF78" s="95" t="s">
        <v>7</v>
      </c>
      <c r="CG78" s="530">
        <f>+CG77*CG76</f>
        <v>0</v>
      </c>
      <c r="CH78" s="530">
        <f>+CH77*CH76</f>
        <v>0</v>
      </c>
      <c r="CI78" s="541">
        <f>+CI77*CI76</f>
        <v>0</v>
      </c>
      <c r="CJ78" s="541">
        <f>+CJ77*CJ76</f>
        <v>0</v>
      </c>
      <c r="CK78" s="540"/>
      <c r="CN78" s="95" t="s">
        <v>7</v>
      </c>
      <c r="CO78" s="530">
        <f>+CO77*CO76</f>
        <v>0</v>
      </c>
      <c r="CP78" s="530">
        <f>+CP77*CP76</f>
        <v>0</v>
      </c>
      <c r="CQ78" s="541">
        <f>+CQ77*CQ76</f>
        <v>0</v>
      </c>
      <c r="CR78" s="541">
        <f>+CR77*CR76</f>
        <v>0</v>
      </c>
      <c r="CS78" s="540"/>
    </row>
    <row r="79" spans="1:97" ht="16" x14ac:dyDescent="0.2">
      <c r="A79" s="531"/>
      <c r="B79" s="531"/>
      <c r="C79" s="542" t="s">
        <v>8</v>
      </c>
      <c r="D79" s="538">
        <f>+D78</f>
        <v>0</v>
      </c>
      <c r="E79" s="538">
        <f>+D79+E78</f>
        <v>6628365.2194214882</v>
      </c>
      <c r="F79" s="539">
        <f>+E79+F78</f>
        <v>6628365.2194214882</v>
      </c>
      <c r="G79" s="539">
        <f>+F79+G78</f>
        <v>6628365.2194214882</v>
      </c>
      <c r="H79" s="540"/>
      <c r="I79" s="531"/>
      <c r="J79" s="531"/>
      <c r="K79" s="542" t="s">
        <v>8</v>
      </c>
      <c r="L79" s="538">
        <f>+L78</f>
        <v>0</v>
      </c>
      <c r="M79" s="538">
        <f>+L79+M78</f>
        <v>3604810.2790909093</v>
      </c>
      <c r="N79" s="539">
        <f>+M79+N78</f>
        <v>3604810.2790909093</v>
      </c>
      <c r="O79" s="539">
        <f>+N79+O78</f>
        <v>3604810.2790909093</v>
      </c>
      <c r="P79" s="540"/>
      <c r="Q79" s="531"/>
      <c r="R79" s="531"/>
      <c r="S79" s="531"/>
      <c r="T79" s="542" t="s">
        <v>8</v>
      </c>
      <c r="U79" s="538">
        <f>+U78</f>
        <v>0</v>
      </c>
      <c r="V79" s="538">
        <f>+U79+V78</f>
        <v>9951072.5127272755</v>
      </c>
      <c r="W79" s="539">
        <f>+V79+W78</f>
        <v>9951072.5127272755</v>
      </c>
      <c r="X79" s="539">
        <f>+W79+X78</f>
        <v>9951072.5127272755</v>
      </c>
      <c r="Y79" s="540"/>
      <c r="Z79" s="531"/>
      <c r="AA79" s="531"/>
      <c r="AB79" s="542" t="s">
        <v>8</v>
      </c>
      <c r="AC79" s="538">
        <f>+AC78</f>
        <v>0</v>
      </c>
      <c r="AD79" s="538">
        <f>+AC79+AD78</f>
        <v>1687106.2684090913</v>
      </c>
      <c r="AE79" s="539">
        <f>+AD79+AE78</f>
        <v>1687106.2684090913</v>
      </c>
      <c r="AF79" s="539">
        <f>+AE79+AF78</f>
        <v>1687106.2684090913</v>
      </c>
      <c r="AG79" s="540"/>
      <c r="AH79" s="531"/>
      <c r="AI79" s="542" t="s">
        <v>8</v>
      </c>
      <c r="AJ79" s="538">
        <f>+AJ78</f>
        <v>0</v>
      </c>
      <c r="AK79" s="538">
        <f>+AJ79+AK78</f>
        <v>0</v>
      </c>
      <c r="AL79" s="539">
        <f>+AK79+AL78</f>
        <v>0</v>
      </c>
      <c r="AM79" s="539">
        <f>+AL79+AM78</f>
        <v>8114509.9431818184</v>
      </c>
      <c r="AN79" s="540"/>
      <c r="AP79" s="542" t="s">
        <v>8</v>
      </c>
      <c r="AQ79" s="538">
        <f>+AQ78</f>
        <v>0</v>
      </c>
      <c r="AR79" s="538">
        <f>+AQ79+AR78</f>
        <v>0</v>
      </c>
      <c r="AS79" s="539">
        <f>+AR79+AS78</f>
        <v>0</v>
      </c>
      <c r="AT79" s="539">
        <f>+AS79+AT78</f>
        <v>2239191.5809090906</v>
      </c>
      <c r="AU79" s="540"/>
      <c r="AW79" s="542" t="s">
        <v>8</v>
      </c>
      <c r="AX79" s="538">
        <f>+AX78</f>
        <v>9864332.3863636367</v>
      </c>
      <c r="AY79" s="538">
        <f>+AX79+AY78</f>
        <v>9864332.3863636367</v>
      </c>
      <c r="AZ79" s="539">
        <f>+AY79+AZ78</f>
        <v>9864332.3863636367</v>
      </c>
      <c r="BA79" s="539">
        <f>+AZ79+BA78</f>
        <v>9864332.3863636367</v>
      </c>
      <c r="BB79" s="540"/>
      <c r="BD79" s="542" t="s">
        <v>8</v>
      </c>
      <c r="BE79" s="538">
        <f>+BE78</f>
        <v>15895387.073863637</v>
      </c>
      <c r="BF79" s="538">
        <f>+BE79+BF78</f>
        <v>15895387.073863637</v>
      </c>
      <c r="BG79" s="539">
        <f>+BF79+BG78</f>
        <v>15895387.073863637</v>
      </c>
      <c r="BH79" s="539">
        <f>+BG79+BH78</f>
        <v>15895387.073863637</v>
      </c>
      <c r="BI79" s="540"/>
      <c r="BK79" s="542" t="s">
        <v>8</v>
      </c>
      <c r="BL79" s="538">
        <f>+BL78</f>
        <v>0</v>
      </c>
      <c r="BM79" s="538">
        <f>+BL79+BM78</f>
        <v>0</v>
      </c>
      <c r="BN79" s="539">
        <f>+BM79+BN78</f>
        <v>34151867.897727273</v>
      </c>
      <c r="BO79" s="539">
        <f>+BN79+BO78</f>
        <v>34151867.897727273</v>
      </c>
      <c r="BP79" s="540"/>
      <c r="BR79" s="542" t="s">
        <v>8</v>
      </c>
      <c r="BS79" s="538">
        <f>+BS78</f>
        <v>0</v>
      </c>
      <c r="BT79" s="538">
        <f>+BS79+BT78</f>
        <v>0</v>
      </c>
      <c r="BU79" s="539">
        <f>+BT79+BU78</f>
        <v>5796024.1363636367</v>
      </c>
      <c r="BV79" s="539">
        <f>+BU79+BV78</f>
        <v>5796024.1363636367</v>
      </c>
      <c r="BW79" s="540"/>
      <c r="BY79" s="542" t="s">
        <v>8</v>
      </c>
      <c r="BZ79" s="538">
        <f>+BZ78</f>
        <v>0</v>
      </c>
      <c r="CA79" s="538">
        <f>+BZ79+CA78</f>
        <v>0</v>
      </c>
      <c r="CB79" s="539">
        <f>+CA79+CB78</f>
        <v>0</v>
      </c>
      <c r="CC79" s="539">
        <f>+CB79+CC78</f>
        <v>6033132.4500000002</v>
      </c>
      <c r="CD79" s="540"/>
      <c r="CF79" s="542" t="s">
        <v>8</v>
      </c>
      <c r="CG79" s="538">
        <f>+CG78</f>
        <v>0</v>
      </c>
      <c r="CH79" s="538">
        <f>+CG79+CH78</f>
        <v>0</v>
      </c>
      <c r="CI79" s="539">
        <f>+CH79+CI78</f>
        <v>0</v>
      </c>
      <c r="CJ79" s="539">
        <f>+CI79+CJ78</f>
        <v>0</v>
      </c>
      <c r="CK79" s="540"/>
      <c r="CN79" s="542" t="s">
        <v>8</v>
      </c>
      <c r="CO79" s="538">
        <f>+CO78</f>
        <v>0</v>
      </c>
      <c r="CP79" s="538">
        <f>+CO79+CP78</f>
        <v>0</v>
      </c>
      <c r="CQ79" s="539">
        <f>+CP79+CQ78</f>
        <v>0</v>
      </c>
      <c r="CR79" s="539">
        <f>+CQ79+CR78</f>
        <v>0</v>
      </c>
      <c r="CS79" s="540"/>
    </row>
    <row r="80" spans="1:97" ht="16" x14ac:dyDescent="0.2">
      <c r="A80" s="531"/>
      <c r="B80" s="531"/>
      <c r="C80" s="543"/>
      <c r="D80" s="544"/>
      <c r="E80" s="544"/>
      <c r="F80" s="536"/>
      <c r="G80" s="536"/>
      <c r="H80" s="540"/>
      <c r="I80" s="531"/>
      <c r="J80" s="531"/>
      <c r="K80" s="543"/>
      <c r="L80" s="544"/>
      <c r="M80" s="544"/>
      <c r="N80" s="536"/>
      <c r="O80" s="536"/>
      <c r="P80" s="540"/>
      <c r="Q80" s="531"/>
      <c r="R80" s="531"/>
      <c r="S80" s="531"/>
      <c r="T80" s="543"/>
      <c r="U80" s="544"/>
      <c r="V80" s="544"/>
      <c r="W80" s="536"/>
      <c r="X80" s="536"/>
      <c r="Y80" s="540"/>
      <c r="Z80" s="531"/>
      <c r="AA80" s="531"/>
      <c r="AB80" s="543"/>
      <c r="AC80" s="544"/>
      <c r="AD80" s="544"/>
      <c r="AE80" s="536"/>
      <c r="AF80" s="536"/>
      <c r="AG80" s="540"/>
      <c r="AH80" s="531"/>
      <c r="AI80" s="543"/>
      <c r="AJ80" s="544"/>
      <c r="AK80" s="544"/>
      <c r="AL80" s="536"/>
      <c r="AM80" s="536"/>
      <c r="AN80" s="540"/>
      <c r="AP80" s="543"/>
      <c r="AQ80" s="544"/>
      <c r="AR80" s="544"/>
      <c r="AS80" s="536"/>
      <c r="AT80" s="536"/>
      <c r="AU80" s="540"/>
      <c r="AW80" s="543"/>
      <c r="AX80" s="544"/>
      <c r="AY80" s="544"/>
      <c r="AZ80" s="536"/>
      <c r="BA80" s="536"/>
      <c r="BB80" s="540"/>
      <c r="BD80" s="543"/>
      <c r="BE80" s="544"/>
      <c r="BF80" s="544"/>
      <c r="BG80" s="536"/>
      <c r="BH80" s="536"/>
      <c r="BI80" s="540"/>
      <c r="BK80" s="543"/>
      <c r="BL80" s="544"/>
      <c r="BM80" s="544"/>
      <c r="BN80" s="536"/>
      <c r="BO80" s="536"/>
      <c r="BP80" s="540"/>
      <c r="BR80" s="543"/>
      <c r="BS80" s="544"/>
      <c r="BT80" s="544"/>
      <c r="BU80" s="536"/>
      <c r="BV80" s="536"/>
      <c r="BW80" s="540"/>
      <c r="BY80" s="543"/>
      <c r="BZ80" s="544"/>
      <c r="CA80" s="544"/>
      <c r="CB80" s="536"/>
      <c r="CC80" s="536"/>
      <c r="CD80" s="540"/>
      <c r="CF80" s="543"/>
      <c r="CG80" s="544"/>
      <c r="CH80" s="544"/>
      <c r="CI80" s="536"/>
      <c r="CJ80" s="536"/>
      <c r="CK80" s="540"/>
      <c r="CN80" s="543"/>
      <c r="CO80" s="544"/>
      <c r="CP80" s="544"/>
      <c r="CQ80" s="536"/>
      <c r="CR80" s="536"/>
      <c r="CS80" s="540"/>
    </row>
    <row r="81" spans="1:97" ht="16" x14ac:dyDescent="0.2">
      <c r="A81" s="531"/>
      <c r="B81" s="531"/>
      <c r="C81" s="545" t="s">
        <v>420</v>
      </c>
      <c r="D81" s="544"/>
      <c r="E81" s="544"/>
      <c r="F81" s="536"/>
      <c r="G81" s="536"/>
      <c r="H81" s="540"/>
      <c r="I81" s="531"/>
      <c r="J81" s="531"/>
      <c r="K81" s="545" t="s">
        <v>420</v>
      </c>
      <c r="L81" s="544"/>
      <c r="M81" s="544"/>
      <c r="N81" s="536"/>
      <c r="O81" s="536"/>
      <c r="P81" s="540"/>
      <c r="Q81" s="531"/>
      <c r="R81" s="531"/>
      <c r="S81" s="531"/>
      <c r="T81" s="545" t="s">
        <v>419</v>
      </c>
      <c r="U81" s="544"/>
      <c r="V81" s="544"/>
      <c r="W81" s="536"/>
      <c r="X81" s="536"/>
      <c r="Y81" s="540"/>
      <c r="Z81" s="531"/>
      <c r="AA81" s="531"/>
      <c r="AB81" s="545" t="s">
        <v>419</v>
      </c>
      <c r="AC81" s="544"/>
      <c r="AD81" s="544"/>
      <c r="AE81" s="536"/>
      <c r="AF81" s="536"/>
      <c r="AG81" s="540"/>
      <c r="AH81" s="531"/>
      <c r="AI81" s="545" t="s">
        <v>419</v>
      </c>
      <c r="AJ81" s="544"/>
      <c r="AK81" s="544"/>
      <c r="AL81" s="536"/>
      <c r="AM81" s="536"/>
      <c r="AN81" s="540"/>
      <c r="AP81" s="545" t="s">
        <v>419</v>
      </c>
      <c r="AQ81" s="544"/>
      <c r="AR81" s="544"/>
      <c r="AS81" s="536"/>
      <c r="AT81" s="536"/>
      <c r="AU81" s="540"/>
      <c r="AW81" s="545" t="s">
        <v>419</v>
      </c>
      <c r="AX81" s="544"/>
      <c r="AY81" s="544"/>
      <c r="AZ81" s="536"/>
      <c r="BA81" s="536"/>
      <c r="BB81" s="540"/>
      <c r="BD81" s="545" t="s">
        <v>419</v>
      </c>
      <c r="BE81" s="544"/>
      <c r="BF81" s="544"/>
      <c r="BG81" s="536"/>
      <c r="BH81" s="536"/>
      <c r="BI81" s="540"/>
      <c r="BK81" s="545" t="s">
        <v>419</v>
      </c>
      <c r="BL81" s="544"/>
      <c r="BM81" s="544"/>
      <c r="BN81" s="536"/>
      <c r="BO81" s="536"/>
      <c r="BP81" s="540"/>
      <c r="BR81" s="545" t="s">
        <v>419</v>
      </c>
      <c r="BS81" s="544"/>
      <c r="BT81" s="544"/>
      <c r="BU81" s="536"/>
      <c r="BV81" s="536"/>
      <c r="BW81" s="540"/>
      <c r="BY81" s="545" t="s">
        <v>419</v>
      </c>
      <c r="BZ81" s="544"/>
      <c r="CA81" s="544"/>
      <c r="CB81" s="536"/>
      <c r="CC81" s="536"/>
      <c r="CD81" s="540"/>
      <c r="CF81" s="545" t="s">
        <v>616</v>
      </c>
      <c r="CG81" s="544"/>
      <c r="CH81" s="544"/>
      <c r="CI81" s="536"/>
      <c r="CJ81" s="536"/>
      <c r="CK81" s="540"/>
      <c r="CN81" s="545" t="s">
        <v>616</v>
      </c>
      <c r="CO81" s="544"/>
      <c r="CP81" s="544"/>
      <c r="CQ81" s="536"/>
      <c r="CR81" s="536"/>
      <c r="CS81" s="540"/>
    </row>
    <row r="82" spans="1:97" ht="16" x14ac:dyDescent="0.2">
      <c r="A82" s="531"/>
      <c r="B82" s="531"/>
      <c r="C82" s="537" t="s">
        <v>418</v>
      </c>
      <c r="D82" s="538">
        <f>+D76</f>
        <v>0</v>
      </c>
      <c r="E82" s="538">
        <f>+E76</f>
        <v>20</v>
      </c>
      <c r="F82" s="538">
        <f>+F76</f>
        <v>0</v>
      </c>
      <c r="G82" s="538">
        <f>+G76</f>
        <v>0</v>
      </c>
      <c r="H82" s="536"/>
      <c r="I82" s="565"/>
      <c r="J82" s="565"/>
      <c r="K82" s="537" t="s">
        <v>418</v>
      </c>
      <c r="L82" s="538">
        <f>+L76</f>
        <v>0</v>
      </c>
      <c r="M82" s="538">
        <f>+M76</f>
        <v>10</v>
      </c>
      <c r="N82" s="538">
        <f>+N76</f>
        <v>0</v>
      </c>
      <c r="O82" s="538">
        <f>+O76</f>
        <v>0</v>
      </c>
      <c r="P82" s="536"/>
      <c r="Q82" s="531"/>
      <c r="R82" s="531"/>
      <c r="S82" s="531"/>
      <c r="T82" s="537" t="s">
        <v>1</v>
      </c>
      <c r="U82" s="538">
        <f>+U76</f>
        <v>0</v>
      </c>
      <c r="V82" s="538">
        <f>+V76</f>
        <v>20</v>
      </c>
      <c r="W82" s="538">
        <f>+W76</f>
        <v>0</v>
      </c>
      <c r="X82" s="538">
        <f>+X76</f>
        <v>0</v>
      </c>
      <c r="Y82" s="536"/>
      <c r="Z82" s="531"/>
      <c r="AA82" s="531"/>
      <c r="AB82" s="537" t="s">
        <v>1</v>
      </c>
      <c r="AC82" s="538">
        <f>+AC76</f>
        <v>0</v>
      </c>
      <c r="AD82" s="538">
        <f>+AD76</f>
        <v>10</v>
      </c>
      <c r="AE82" s="538">
        <f>+AE76</f>
        <v>0</v>
      </c>
      <c r="AF82" s="538">
        <f>+AF76</f>
        <v>0</v>
      </c>
      <c r="AG82" s="536"/>
      <c r="AH82" s="531"/>
      <c r="AI82" s="537" t="s">
        <v>1</v>
      </c>
      <c r="AJ82" s="538">
        <f>+AJ76</f>
        <v>0</v>
      </c>
      <c r="AK82" s="538">
        <f>+AK76</f>
        <v>0</v>
      </c>
      <c r="AL82" s="538">
        <f>+AL76</f>
        <v>0</v>
      </c>
      <c r="AM82" s="538">
        <f>+AM76</f>
        <v>5</v>
      </c>
      <c r="AN82" s="536"/>
      <c r="AP82" s="537" t="s">
        <v>1</v>
      </c>
      <c r="AQ82" s="538">
        <f>+AQ76</f>
        <v>0</v>
      </c>
      <c r="AR82" s="538">
        <f>+AR76</f>
        <v>0</v>
      </c>
      <c r="AS82" s="538">
        <f>+AS76</f>
        <v>0</v>
      </c>
      <c r="AT82" s="538">
        <f>+AT76</f>
        <v>10</v>
      </c>
      <c r="AU82" s="536"/>
      <c r="AW82" s="537" t="s">
        <v>1</v>
      </c>
      <c r="AX82" s="538">
        <f>+AX76</f>
        <v>10</v>
      </c>
      <c r="AY82" s="538">
        <f>+AY76</f>
        <v>0</v>
      </c>
      <c r="AZ82" s="538">
        <f>+AZ76</f>
        <v>0</v>
      </c>
      <c r="BA82" s="538">
        <f>+BA76</f>
        <v>0</v>
      </c>
      <c r="BB82" s="536"/>
      <c r="BD82" s="537" t="s">
        <v>1</v>
      </c>
      <c r="BE82" s="538">
        <f>+BE76</f>
        <v>5</v>
      </c>
      <c r="BF82" s="538">
        <f>+BF76</f>
        <v>0</v>
      </c>
      <c r="BG82" s="538">
        <f>+BG76</f>
        <v>0</v>
      </c>
      <c r="BH82" s="538">
        <f>+BH76</f>
        <v>0</v>
      </c>
      <c r="BI82" s="536"/>
      <c r="BK82" s="537" t="s">
        <v>1</v>
      </c>
      <c r="BL82" s="538">
        <f>+BL76</f>
        <v>0</v>
      </c>
      <c r="BM82" s="538">
        <f>+BM76</f>
        <v>0</v>
      </c>
      <c r="BN82" s="538">
        <f>+BN76</f>
        <v>10</v>
      </c>
      <c r="BO82" s="538">
        <f>+BO76</f>
        <v>0</v>
      </c>
      <c r="BP82" s="536"/>
      <c r="BR82" s="537" t="s">
        <v>1</v>
      </c>
      <c r="BS82" s="538">
        <f>+BS76</f>
        <v>0</v>
      </c>
      <c r="BT82" s="538">
        <f>+BT76</f>
        <v>0</v>
      </c>
      <c r="BU82" s="538">
        <f>+BU76</f>
        <v>5</v>
      </c>
      <c r="BV82" s="538">
        <f>+BV76</f>
        <v>0</v>
      </c>
      <c r="BW82" s="536"/>
      <c r="BY82" s="537" t="s">
        <v>1</v>
      </c>
      <c r="BZ82" s="538">
        <f>+BZ76</f>
        <v>0</v>
      </c>
      <c r="CA82" s="538">
        <f>+CA76</f>
        <v>0</v>
      </c>
      <c r="CB82" s="538">
        <f>+CB76</f>
        <v>0</v>
      </c>
      <c r="CC82" s="538">
        <f>+CC76</f>
        <v>10</v>
      </c>
      <c r="CD82" s="536"/>
      <c r="CF82" s="537" t="s">
        <v>1</v>
      </c>
      <c r="CG82" s="538">
        <v>5</v>
      </c>
      <c r="CH82" s="538">
        <f>SUM(CG82)</f>
        <v>5</v>
      </c>
      <c r="CI82" s="538">
        <f>SUM(CH82)</f>
        <v>5</v>
      </c>
      <c r="CJ82" s="538">
        <f>SUM(CI82)</f>
        <v>5</v>
      </c>
      <c r="CK82" s="536"/>
      <c r="CN82" s="537" t="s">
        <v>1</v>
      </c>
      <c r="CO82" s="538"/>
      <c r="CP82" s="538">
        <v>5</v>
      </c>
      <c r="CQ82" s="538"/>
      <c r="CR82" s="538"/>
      <c r="CS82" s="536"/>
    </row>
    <row r="83" spans="1:97" ht="16" x14ac:dyDescent="0.2">
      <c r="A83" s="531"/>
      <c r="B83" s="531"/>
      <c r="C83" s="543" t="s">
        <v>0</v>
      </c>
      <c r="D83" s="567">
        <f>+D60*1.1</f>
        <v>38500</v>
      </c>
      <c r="E83" s="567">
        <f>+D83</f>
        <v>38500</v>
      </c>
      <c r="F83" s="567">
        <f>+E83</f>
        <v>38500</v>
      </c>
      <c r="G83" s="567">
        <f>+F83</f>
        <v>38500</v>
      </c>
      <c r="H83" s="540"/>
      <c r="I83" s="531"/>
      <c r="J83" s="531"/>
      <c r="K83" s="543" t="s">
        <v>0</v>
      </c>
      <c r="L83" s="567">
        <f>+L60*1.1</f>
        <v>38500</v>
      </c>
      <c r="M83" s="567">
        <f>+L83</f>
        <v>38500</v>
      </c>
      <c r="N83" s="567">
        <f>+M83</f>
        <v>38500</v>
      </c>
      <c r="O83" s="567">
        <f>+N83</f>
        <v>38500</v>
      </c>
      <c r="P83" s="540"/>
      <c r="Q83" s="531"/>
      <c r="R83" s="531"/>
      <c r="S83" s="531"/>
      <c r="T83" s="543" t="s">
        <v>0</v>
      </c>
      <c r="U83" s="567">
        <f>+X60*1.1</f>
        <v>38500</v>
      </c>
      <c r="V83" s="567">
        <f>+U83</f>
        <v>38500</v>
      </c>
      <c r="W83" s="567">
        <f>+V83</f>
        <v>38500</v>
      </c>
      <c r="X83" s="567">
        <f>+W83</f>
        <v>38500</v>
      </c>
      <c r="Y83" s="540"/>
      <c r="Z83" s="531"/>
      <c r="AA83" s="531"/>
      <c r="AB83" s="543" t="s">
        <v>0</v>
      </c>
      <c r="AC83" s="567">
        <f>+AF60*1.1</f>
        <v>38500</v>
      </c>
      <c r="AD83" s="567">
        <f>+AC83</f>
        <v>38500</v>
      </c>
      <c r="AE83" s="567">
        <f>+AD83</f>
        <v>38500</v>
      </c>
      <c r="AF83" s="567">
        <f>+AE83</f>
        <v>38500</v>
      </c>
      <c r="AG83" s="540"/>
      <c r="AH83" s="531"/>
      <c r="AI83" s="543" t="s">
        <v>0</v>
      </c>
      <c r="AJ83" s="567">
        <f>+AM60*1.1</f>
        <v>38500</v>
      </c>
      <c r="AK83" s="567">
        <f>+AJ83</f>
        <v>38500</v>
      </c>
      <c r="AL83" s="567">
        <f>+AK83</f>
        <v>38500</v>
      </c>
      <c r="AM83" s="567">
        <f>+AL83</f>
        <v>38500</v>
      </c>
      <c r="AN83" s="540"/>
      <c r="AP83" s="543" t="s">
        <v>0</v>
      </c>
      <c r="AQ83" s="567">
        <f>+AT60*1.1</f>
        <v>38500</v>
      </c>
      <c r="AR83" s="567">
        <f>+AQ83</f>
        <v>38500</v>
      </c>
      <c r="AS83" s="567">
        <f>+AR83</f>
        <v>38500</v>
      </c>
      <c r="AT83" s="567">
        <f>+AS83</f>
        <v>38500</v>
      </c>
      <c r="AU83" s="540"/>
      <c r="AW83" s="543" t="s">
        <v>0</v>
      </c>
      <c r="AX83" s="567">
        <f>+BA60*1.1</f>
        <v>38500</v>
      </c>
      <c r="AY83" s="567">
        <f>+AX83</f>
        <v>38500</v>
      </c>
      <c r="AZ83" s="567">
        <f>+AY83</f>
        <v>38500</v>
      </c>
      <c r="BA83" s="567">
        <f>+AZ83</f>
        <v>38500</v>
      </c>
      <c r="BB83" s="540"/>
      <c r="BD83" s="543" t="s">
        <v>0</v>
      </c>
      <c r="BE83" s="567">
        <f>+BH60*1.1</f>
        <v>38500</v>
      </c>
      <c r="BF83" s="567">
        <f>+BE83</f>
        <v>38500</v>
      </c>
      <c r="BG83" s="567">
        <f>+BF83</f>
        <v>38500</v>
      </c>
      <c r="BH83" s="567">
        <f>+BG83</f>
        <v>38500</v>
      </c>
      <c r="BI83" s="540"/>
      <c r="BK83" s="543" t="s">
        <v>0</v>
      </c>
      <c r="BL83" s="567">
        <f>+BO60*1.1</f>
        <v>38500</v>
      </c>
      <c r="BM83" s="567">
        <f>+BL83</f>
        <v>38500</v>
      </c>
      <c r="BN83" s="567">
        <f>+BM83</f>
        <v>38500</v>
      </c>
      <c r="BO83" s="567">
        <f>+BN83</f>
        <v>38500</v>
      </c>
      <c r="BP83" s="540"/>
      <c r="BR83" s="543" t="s">
        <v>0</v>
      </c>
      <c r="BS83" s="567">
        <f>+BV60*1.1</f>
        <v>38500</v>
      </c>
      <c r="BT83" s="567">
        <f>+BS83</f>
        <v>38500</v>
      </c>
      <c r="BU83" s="567">
        <f>+BT83</f>
        <v>38500</v>
      </c>
      <c r="BV83" s="567">
        <f>+BU83</f>
        <v>38500</v>
      </c>
      <c r="BW83" s="540"/>
      <c r="BY83" s="543" t="s">
        <v>0</v>
      </c>
      <c r="BZ83" s="567">
        <f>+CC60*1.1</f>
        <v>38500</v>
      </c>
      <c r="CA83" s="567">
        <f>+BZ83</f>
        <v>38500</v>
      </c>
      <c r="CB83" s="567">
        <f>+CA83</f>
        <v>38500</v>
      </c>
      <c r="CC83" s="567">
        <f>+CB83</f>
        <v>38500</v>
      </c>
      <c r="CD83" s="540"/>
      <c r="CF83" s="543" t="s">
        <v>0</v>
      </c>
      <c r="CG83" s="567">
        <f>+CJ60*1.1</f>
        <v>198000.00000000003</v>
      </c>
      <c r="CH83" s="567">
        <f>+CG83</f>
        <v>198000.00000000003</v>
      </c>
      <c r="CI83" s="567">
        <f>+CH83</f>
        <v>198000.00000000003</v>
      </c>
      <c r="CJ83" s="567">
        <f>+CI83</f>
        <v>198000.00000000003</v>
      </c>
      <c r="CK83" s="540"/>
      <c r="CN83" s="543" t="s">
        <v>0</v>
      </c>
      <c r="CO83" s="567">
        <f>+CR60*1.1</f>
        <v>198000.00000000003</v>
      </c>
      <c r="CP83" s="567">
        <f>+CO83</f>
        <v>198000.00000000003</v>
      </c>
      <c r="CQ83" s="567">
        <f>+CP83</f>
        <v>198000.00000000003</v>
      </c>
      <c r="CR83" s="567">
        <f>+CQ83</f>
        <v>198000.00000000003</v>
      </c>
      <c r="CS83" s="540"/>
    </row>
    <row r="84" spans="1:97" ht="16" x14ac:dyDescent="0.2">
      <c r="A84" s="531"/>
      <c r="B84" s="531"/>
      <c r="C84" s="546" t="s">
        <v>7</v>
      </c>
      <c r="D84" s="538">
        <f>+D83*D82</f>
        <v>0</v>
      </c>
      <c r="E84" s="538">
        <f>+E83*E82</f>
        <v>770000</v>
      </c>
      <c r="F84" s="539">
        <f>+F83*F82</f>
        <v>0</v>
      </c>
      <c r="G84" s="539">
        <f>+G83*G82</f>
        <v>0</v>
      </c>
      <c r="H84" s="540"/>
      <c r="I84" s="531"/>
      <c r="J84" s="531"/>
      <c r="K84" s="546" t="s">
        <v>7</v>
      </c>
      <c r="L84" s="538">
        <f>+L83*L82</f>
        <v>0</v>
      </c>
      <c r="M84" s="538">
        <f>+M83*M82</f>
        <v>385000</v>
      </c>
      <c r="N84" s="539">
        <f>+N83*N82</f>
        <v>0</v>
      </c>
      <c r="O84" s="539">
        <f>+O83*O82</f>
        <v>0</v>
      </c>
      <c r="P84" s="540"/>
      <c r="Q84" s="531"/>
      <c r="R84" s="531"/>
      <c r="S84" s="531"/>
      <c r="T84" s="546" t="s">
        <v>7</v>
      </c>
      <c r="U84" s="538">
        <f>+U83*U82</f>
        <v>0</v>
      </c>
      <c r="V84" s="538">
        <f>+V83*V82</f>
        <v>770000</v>
      </c>
      <c r="W84" s="539">
        <f>+W83*W82</f>
        <v>0</v>
      </c>
      <c r="X84" s="539">
        <f>+X83*X82</f>
        <v>0</v>
      </c>
      <c r="Y84" s="540"/>
      <c r="Z84" s="531"/>
      <c r="AA84" s="531"/>
      <c r="AB84" s="546" t="s">
        <v>7</v>
      </c>
      <c r="AC84" s="538">
        <f>+AC83*AC82</f>
        <v>0</v>
      </c>
      <c r="AD84" s="538">
        <f>+AD83*AD82</f>
        <v>385000</v>
      </c>
      <c r="AE84" s="539">
        <f>+AE83*AE82</f>
        <v>0</v>
      </c>
      <c r="AF84" s="539">
        <f>+AF83*AF82</f>
        <v>0</v>
      </c>
      <c r="AG84" s="540"/>
      <c r="AH84" s="531"/>
      <c r="AI84" s="546" t="s">
        <v>7</v>
      </c>
      <c r="AJ84" s="538">
        <f>+AJ83*AJ82</f>
        <v>0</v>
      </c>
      <c r="AK84" s="538">
        <f>+AK83*AK82</f>
        <v>0</v>
      </c>
      <c r="AL84" s="539">
        <f>+AL83*AL82</f>
        <v>0</v>
      </c>
      <c r="AM84" s="539">
        <f>+AM83*AM82</f>
        <v>192500</v>
      </c>
      <c r="AN84" s="540"/>
      <c r="AP84" s="546" t="s">
        <v>7</v>
      </c>
      <c r="AQ84" s="538">
        <f>+AQ83*AQ82</f>
        <v>0</v>
      </c>
      <c r="AR84" s="538">
        <f>+AR83*AR82</f>
        <v>0</v>
      </c>
      <c r="AS84" s="539">
        <f>+AS83*AS82</f>
        <v>0</v>
      </c>
      <c r="AT84" s="539">
        <f>+AT83*AT82</f>
        <v>385000</v>
      </c>
      <c r="AU84" s="540"/>
      <c r="AW84" s="546" t="s">
        <v>7</v>
      </c>
      <c r="AX84" s="538">
        <f>+AX83*AX82</f>
        <v>385000</v>
      </c>
      <c r="AY84" s="538">
        <f>+AY83*AY82</f>
        <v>0</v>
      </c>
      <c r="AZ84" s="539">
        <f>+AZ83*AZ82</f>
        <v>0</v>
      </c>
      <c r="BA84" s="539">
        <f>+BA83*BA82</f>
        <v>0</v>
      </c>
      <c r="BB84" s="540"/>
      <c r="BD84" s="546" t="s">
        <v>7</v>
      </c>
      <c r="BE84" s="538">
        <f>+BE83*BE82</f>
        <v>192500</v>
      </c>
      <c r="BF84" s="538">
        <f>+BF83*BF82</f>
        <v>0</v>
      </c>
      <c r="BG84" s="539">
        <f>+BG83*BG82</f>
        <v>0</v>
      </c>
      <c r="BH84" s="539">
        <f>+BH83*BH82</f>
        <v>0</v>
      </c>
      <c r="BI84" s="540"/>
      <c r="BK84" s="546" t="s">
        <v>7</v>
      </c>
      <c r="BL84" s="538">
        <f>+BL83*BL82</f>
        <v>0</v>
      </c>
      <c r="BM84" s="538">
        <f>+BM83*BM82</f>
        <v>0</v>
      </c>
      <c r="BN84" s="539">
        <f>+BN83*BN82</f>
        <v>385000</v>
      </c>
      <c r="BO84" s="539">
        <f>+BO83*BO82</f>
        <v>0</v>
      </c>
      <c r="BP84" s="540"/>
      <c r="BR84" s="546" t="s">
        <v>7</v>
      </c>
      <c r="BS84" s="538">
        <f>+BS83*BS82</f>
        <v>0</v>
      </c>
      <c r="BT84" s="538">
        <f>+BT83*BT82</f>
        <v>0</v>
      </c>
      <c r="BU84" s="539">
        <f>+BU83*BU82</f>
        <v>192500</v>
      </c>
      <c r="BV84" s="539">
        <f>+BV83*BV82</f>
        <v>0</v>
      </c>
      <c r="BW84" s="540"/>
      <c r="BY84" s="546" t="s">
        <v>7</v>
      </c>
      <c r="BZ84" s="538">
        <f>+BZ83*BZ82</f>
        <v>0</v>
      </c>
      <c r="CA84" s="538">
        <f>+CA83*CA82</f>
        <v>0</v>
      </c>
      <c r="CB84" s="539">
        <f>+CB83*CB82</f>
        <v>0</v>
      </c>
      <c r="CC84" s="539">
        <f>+CC83*CC82</f>
        <v>385000</v>
      </c>
      <c r="CD84" s="540"/>
      <c r="CF84" s="546" t="s">
        <v>7</v>
      </c>
      <c r="CG84" s="538">
        <f>+CG83*CG82</f>
        <v>990000.00000000012</v>
      </c>
      <c r="CH84" s="538">
        <f>+CH83*CH82</f>
        <v>990000.00000000012</v>
      </c>
      <c r="CI84" s="539">
        <f>+CI83*CI82</f>
        <v>990000.00000000012</v>
      </c>
      <c r="CJ84" s="539">
        <f>+CJ83*CJ82</f>
        <v>990000.00000000012</v>
      </c>
      <c r="CK84" s="540"/>
      <c r="CN84" s="546" t="s">
        <v>7</v>
      </c>
      <c r="CO84" s="538">
        <f>+CO83*CO82</f>
        <v>0</v>
      </c>
      <c r="CP84" s="538">
        <f>+CP83*CP82</f>
        <v>990000.00000000012</v>
      </c>
      <c r="CQ84" s="539">
        <f>+CQ83*CQ82</f>
        <v>0</v>
      </c>
      <c r="CR84" s="539">
        <f>+CR83*CR82</f>
        <v>0</v>
      </c>
      <c r="CS84" s="540"/>
    </row>
    <row r="85" spans="1:97" ht="16" x14ac:dyDescent="0.2">
      <c r="A85" s="531"/>
      <c r="B85" s="531"/>
      <c r="C85" s="547" t="s">
        <v>8</v>
      </c>
      <c r="D85" s="548">
        <f>+D84</f>
        <v>0</v>
      </c>
      <c r="E85" s="548">
        <f>+D85+E84</f>
        <v>770000</v>
      </c>
      <c r="F85" s="549">
        <f>+E85+F84</f>
        <v>770000</v>
      </c>
      <c r="G85" s="549">
        <f>+F85+G84</f>
        <v>770000</v>
      </c>
      <c r="H85" s="540"/>
      <c r="I85" s="531"/>
      <c r="J85" s="531"/>
      <c r="K85" s="547" t="s">
        <v>8</v>
      </c>
      <c r="L85" s="548">
        <f>+L84</f>
        <v>0</v>
      </c>
      <c r="M85" s="548">
        <f>+L85+M84</f>
        <v>385000</v>
      </c>
      <c r="N85" s="549">
        <f>+M85+N84</f>
        <v>385000</v>
      </c>
      <c r="O85" s="549">
        <f>+N85+O84</f>
        <v>385000</v>
      </c>
      <c r="P85" s="540"/>
      <c r="Q85" s="531"/>
      <c r="R85" s="531"/>
      <c r="S85" s="531"/>
      <c r="T85" s="547" t="s">
        <v>8</v>
      </c>
      <c r="U85" s="548">
        <f>+U84</f>
        <v>0</v>
      </c>
      <c r="V85" s="548">
        <f>+U85+V84</f>
        <v>770000</v>
      </c>
      <c r="W85" s="549">
        <f>+V85+W84</f>
        <v>770000</v>
      </c>
      <c r="X85" s="549">
        <f>+W85+X84</f>
        <v>770000</v>
      </c>
      <c r="Y85" s="540"/>
      <c r="Z85" s="531"/>
      <c r="AA85" s="531"/>
      <c r="AB85" s="547" t="s">
        <v>8</v>
      </c>
      <c r="AC85" s="548">
        <f>+AC84</f>
        <v>0</v>
      </c>
      <c r="AD85" s="548">
        <f>+AC85+AD84</f>
        <v>385000</v>
      </c>
      <c r="AE85" s="549">
        <f>+AD85+AE84</f>
        <v>385000</v>
      </c>
      <c r="AF85" s="549">
        <f>+AE85+AF84</f>
        <v>385000</v>
      </c>
      <c r="AG85" s="540"/>
      <c r="AH85" s="531"/>
      <c r="AI85" s="547" t="s">
        <v>8</v>
      </c>
      <c r="AJ85" s="548">
        <f>+AJ84</f>
        <v>0</v>
      </c>
      <c r="AK85" s="548">
        <f>+AJ85+AK84</f>
        <v>0</v>
      </c>
      <c r="AL85" s="549">
        <f>+AK85+AL84</f>
        <v>0</v>
      </c>
      <c r="AM85" s="549">
        <f>+AL85+AM84</f>
        <v>192500</v>
      </c>
      <c r="AN85" s="540"/>
      <c r="AP85" s="547" t="s">
        <v>8</v>
      </c>
      <c r="AQ85" s="548">
        <f>+AQ84</f>
        <v>0</v>
      </c>
      <c r="AR85" s="548">
        <f>+AQ85+AR84</f>
        <v>0</v>
      </c>
      <c r="AS85" s="549">
        <f>+AR85+AS84</f>
        <v>0</v>
      </c>
      <c r="AT85" s="549">
        <f>+AS85+AT84</f>
        <v>385000</v>
      </c>
      <c r="AU85" s="540"/>
      <c r="AW85" s="547" t="s">
        <v>8</v>
      </c>
      <c r="AX85" s="548">
        <f>+AX84</f>
        <v>385000</v>
      </c>
      <c r="AY85" s="548">
        <f>+AX85+AY84</f>
        <v>385000</v>
      </c>
      <c r="AZ85" s="549">
        <f>+AY85+AZ84</f>
        <v>385000</v>
      </c>
      <c r="BA85" s="549">
        <f>+AZ85+BA84</f>
        <v>385000</v>
      </c>
      <c r="BB85" s="540"/>
      <c r="BD85" s="547" t="s">
        <v>8</v>
      </c>
      <c r="BE85" s="548">
        <f>+BE84</f>
        <v>192500</v>
      </c>
      <c r="BF85" s="548">
        <f>+BE85+BF84</f>
        <v>192500</v>
      </c>
      <c r="BG85" s="549">
        <f>+BF85+BG84</f>
        <v>192500</v>
      </c>
      <c r="BH85" s="549">
        <f>+BG85+BH84</f>
        <v>192500</v>
      </c>
      <c r="BI85" s="540"/>
      <c r="BK85" s="547" t="s">
        <v>8</v>
      </c>
      <c r="BL85" s="548">
        <f>+BL84</f>
        <v>0</v>
      </c>
      <c r="BM85" s="548">
        <f>+BL85+BM84</f>
        <v>0</v>
      </c>
      <c r="BN85" s="549">
        <f>+BM85+BN84</f>
        <v>385000</v>
      </c>
      <c r="BO85" s="549">
        <f>+BN85+BO84</f>
        <v>385000</v>
      </c>
      <c r="BP85" s="540"/>
      <c r="BR85" s="547" t="s">
        <v>8</v>
      </c>
      <c r="BS85" s="548">
        <f>+BS84</f>
        <v>0</v>
      </c>
      <c r="BT85" s="548">
        <f>+BS85+BT84</f>
        <v>0</v>
      </c>
      <c r="BU85" s="549">
        <f>+BT85+BU84</f>
        <v>192500</v>
      </c>
      <c r="BV85" s="549">
        <f>+BU85+BV84</f>
        <v>192500</v>
      </c>
      <c r="BW85" s="540"/>
      <c r="BY85" s="547" t="s">
        <v>8</v>
      </c>
      <c r="BZ85" s="548">
        <f>+BZ84</f>
        <v>0</v>
      </c>
      <c r="CA85" s="548">
        <f>+BZ85+CA84</f>
        <v>0</v>
      </c>
      <c r="CB85" s="549">
        <f>+CA85+CB84</f>
        <v>0</v>
      </c>
      <c r="CC85" s="549">
        <f>+CB85+CC84</f>
        <v>385000</v>
      </c>
      <c r="CD85" s="540"/>
      <c r="CF85" s="547" t="s">
        <v>8</v>
      </c>
      <c r="CG85" s="548">
        <f>+CG84</f>
        <v>990000.00000000012</v>
      </c>
      <c r="CH85" s="548">
        <f>+CG85+CH84</f>
        <v>1980000.0000000002</v>
      </c>
      <c r="CI85" s="549">
        <f>+CH85+CI84</f>
        <v>2970000.0000000005</v>
      </c>
      <c r="CJ85" s="549">
        <f>+CI85+CJ84</f>
        <v>3960000.0000000005</v>
      </c>
      <c r="CK85" s="540"/>
      <c r="CN85" s="547" t="s">
        <v>8</v>
      </c>
      <c r="CO85" s="548">
        <f>+CO84</f>
        <v>0</v>
      </c>
      <c r="CP85" s="548">
        <f>+CO85+CP84</f>
        <v>990000.00000000012</v>
      </c>
      <c r="CQ85" s="549">
        <f>+CP85+CQ84</f>
        <v>990000.00000000012</v>
      </c>
      <c r="CR85" s="549">
        <f>+CQ85+CR84</f>
        <v>990000.00000000012</v>
      </c>
      <c r="CS85" s="540"/>
    </row>
    <row r="86" spans="1:97" ht="16" x14ac:dyDescent="0.2">
      <c r="A86" s="531"/>
      <c r="B86" s="531"/>
      <c r="C86" s="543"/>
      <c r="D86" s="544"/>
      <c r="E86" s="544"/>
      <c r="F86" s="536"/>
      <c r="G86" s="536"/>
      <c r="H86" s="540"/>
      <c r="I86" s="531"/>
      <c r="J86" s="531"/>
      <c r="K86" s="543"/>
      <c r="L86" s="544"/>
      <c r="M86" s="544"/>
      <c r="N86" s="536"/>
      <c r="O86" s="536"/>
      <c r="P86" s="540"/>
      <c r="Q86" s="531"/>
      <c r="R86" s="531"/>
      <c r="S86" s="531"/>
      <c r="T86" s="543"/>
      <c r="U86" s="544"/>
      <c r="V86" s="544"/>
      <c r="W86" s="536"/>
      <c r="X86" s="536"/>
      <c r="Y86" s="540"/>
      <c r="Z86" s="531"/>
      <c r="AA86" s="531"/>
      <c r="AB86" s="543"/>
      <c r="AC86" s="544"/>
      <c r="AD86" s="544"/>
      <c r="AE86" s="536"/>
      <c r="AF86" s="536"/>
      <c r="AG86" s="540"/>
      <c r="AH86" s="531"/>
      <c r="AI86" s="543"/>
      <c r="AJ86" s="544"/>
      <c r="AK86" s="544"/>
      <c r="AL86" s="536"/>
      <c r="AM86" s="536"/>
      <c r="AN86" s="540"/>
      <c r="AP86" s="543"/>
      <c r="AQ86" s="544"/>
      <c r="AR86" s="544"/>
      <c r="AS86" s="536"/>
      <c r="AT86" s="536"/>
      <c r="AU86" s="540"/>
      <c r="AW86" s="543"/>
      <c r="AX86" s="544"/>
      <c r="AY86" s="544"/>
      <c r="AZ86" s="536"/>
      <c r="BA86" s="536"/>
      <c r="BB86" s="540"/>
      <c r="BD86" s="543"/>
      <c r="BE86" s="544"/>
      <c r="BF86" s="544"/>
      <c r="BG86" s="536"/>
      <c r="BH86" s="536"/>
      <c r="BI86" s="540"/>
      <c r="BK86" s="543"/>
      <c r="BL86" s="544"/>
      <c r="BM86" s="544"/>
      <c r="BN86" s="536"/>
      <c r="BO86" s="536"/>
      <c r="BP86" s="540"/>
      <c r="BR86" s="543"/>
      <c r="BS86" s="544"/>
      <c r="BT86" s="544"/>
      <c r="BU86" s="536"/>
      <c r="BV86" s="536"/>
      <c r="BW86" s="540"/>
      <c r="BY86" s="543"/>
      <c r="BZ86" s="544"/>
      <c r="CA86" s="544"/>
      <c r="CB86" s="536"/>
      <c r="CC86" s="536"/>
      <c r="CD86" s="540"/>
      <c r="CF86" s="543"/>
      <c r="CG86" s="544"/>
      <c r="CH86" s="544"/>
      <c r="CI86" s="536"/>
      <c r="CJ86" s="536"/>
      <c r="CK86" s="540"/>
      <c r="CN86" s="543"/>
      <c r="CO86" s="544"/>
      <c r="CP86" s="544"/>
      <c r="CQ86" s="536"/>
      <c r="CR86" s="536"/>
      <c r="CS86" s="540"/>
    </row>
    <row r="87" spans="1:97" ht="16" x14ac:dyDescent="0.2">
      <c r="A87" s="531"/>
      <c r="B87" s="531"/>
      <c r="C87" s="545" t="s">
        <v>501</v>
      </c>
      <c r="D87" s="566">
        <f>+D64*1.1</f>
        <v>27500.000000000004</v>
      </c>
      <c r="E87" s="566">
        <f>+D87</f>
        <v>27500.000000000004</v>
      </c>
      <c r="F87" s="566">
        <f>+E87</f>
        <v>27500.000000000004</v>
      </c>
      <c r="G87" s="566">
        <f>+F87</f>
        <v>27500.000000000004</v>
      </c>
      <c r="H87" s="540"/>
      <c r="I87" s="531"/>
      <c r="J87" s="531"/>
      <c r="K87" s="545" t="s">
        <v>501</v>
      </c>
      <c r="L87" s="566">
        <f>+L64*1.1</f>
        <v>27500.000000000004</v>
      </c>
      <c r="M87" s="566">
        <f>+L87</f>
        <v>27500.000000000004</v>
      </c>
      <c r="N87" s="566">
        <f>+M87</f>
        <v>27500.000000000004</v>
      </c>
      <c r="O87" s="566">
        <f>+N87</f>
        <v>27500.000000000004</v>
      </c>
      <c r="P87" s="540"/>
      <c r="Q87" s="531"/>
      <c r="R87" s="531"/>
      <c r="S87" s="531"/>
      <c r="T87" s="545" t="s">
        <v>501</v>
      </c>
      <c r="U87" s="566">
        <f>SUM(U64)*1.1</f>
        <v>27500.000000000004</v>
      </c>
      <c r="V87" s="566">
        <f>+U87</f>
        <v>27500.000000000004</v>
      </c>
      <c r="W87" s="566">
        <f>+V87</f>
        <v>27500.000000000004</v>
      </c>
      <c r="X87" s="566">
        <f>+W87</f>
        <v>27500.000000000004</v>
      </c>
      <c r="Y87" s="540"/>
      <c r="Z87" s="531"/>
      <c r="AA87" s="531"/>
      <c r="AB87" s="545" t="s">
        <v>501</v>
      </c>
      <c r="AC87" s="566">
        <f>SUM(AC64)*1.1</f>
        <v>27500.000000000004</v>
      </c>
      <c r="AD87" s="566">
        <f>+AC87</f>
        <v>27500.000000000004</v>
      </c>
      <c r="AE87" s="566">
        <f>+AD87</f>
        <v>27500.000000000004</v>
      </c>
      <c r="AF87" s="566">
        <f>+AE87</f>
        <v>27500.000000000004</v>
      </c>
      <c r="AG87" s="540"/>
      <c r="AH87" s="531"/>
      <c r="AI87" s="545" t="s">
        <v>501</v>
      </c>
      <c r="AJ87" s="566">
        <f>SUM(AJ64)*1.1</f>
        <v>27500.000000000004</v>
      </c>
      <c r="AK87" s="566">
        <f>+AJ87</f>
        <v>27500.000000000004</v>
      </c>
      <c r="AL87" s="566">
        <f>+AK87</f>
        <v>27500.000000000004</v>
      </c>
      <c r="AM87" s="566">
        <f>+AL87</f>
        <v>27500.000000000004</v>
      </c>
      <c r="AN87" s="540"/>
      <c r="AP87" s="545" t="s">
        <v>501</v>
      </c>
      <c r="AQ87" s="566">
        <f>SUM(AQ64)*1.1</f>
        <v>27500.000000000004</v>
      </c>
      <c r="AR87" s="566">
        <f>+AQ87</f>
        <v>27500.000000000004</v>
      </c>
      <c r="AS87" s="566">
        <f>+AR87</f>
        <v>27500.000000000004</v>
      </c>
      <c r="AT87" s="566">
        <f>+AS87</f>
        <v>27500.000000000004</v>
      </c>
      <c r="AU87" s="540"/>
      <c r="AW87" s="545" t="s">
        <v>501</v>
      </c>
      <c r="AX87" s="566">
        <f>SUM(AX64)*1.1</f>
        <v>27500.000000000004</v>
      </c>
      <c r="AY87" s="566">
        <f>+AX87</f>
        <v>27500.000000000004</v>
      </c>
      <c r="AZ87" s="566">
        <f>+AY87</f>
        <v>27500.000000000004</v>
      </c>
      <c r="BA87" s="566">
        <f>+AZ87</f>
        <v>27500.000000000004</v>
      </c>
      <c r="BB87" s="540"/>
      <c r="BD87" s="545" t="s">
        <v>501</v>
      </c>
      <c r="BE87" s="566">
        <f>SUM(BE64)*1.1</f>
        <v>27500.000000000004</v>
      </c>
      <c r="BF87" s="566">
        <f>+BE87</f>
        <v>27500.000000000004</v>
      </c>
      <c r="BG87" s="566">
        <f>+BF87</f>
        <v>27500.000000000004</v>
      </c>
      <c r="BH87" s="566">
        <f>+BG87</f>
        <v>27500.000000000004</v>
      </c>
      <c r="BI87" s="540"/>
      <c r="BK87" s="545" t="s">
        <v>501</v>
      </c>
      <c r="BL87" s="566">
        <f>SUM(BL64)*1.1</f>
        <v>27500.000000000004</v>
      </c>
      <c r="BM87" s="566">
        <f>+BL87</f>
        <v>27500.000000000004</v>
      </c>
      <c r="BN87" s="566">
        <f>+BM87</f>
        <v>27500.000000000004</v>
      </c>
      <c r="BO87" s="566">
        <f>+BN87</f>
        <v>27500.000000000004</v>
      </c>
      <c r="BP87" s="540"/>
      <c r="BR87" s="545" t="s">
        <v>501</v>
      </c>
      <c r="BS87" s="566">
        <f>SUM(BS64)*1.1</f>
        <v>27500.000000000004</v>
      </c>
      <c r="BT87" s="566">
        <f>+BS87</f>
        <v>27500.000000000004</v>
      </c>
      <c r="BU87" s="566">
        <f>+BT87</f>
        <v>27500.000000000004</v>
      </c>
      <c r="BV87" s="566">
        <f>+BU87</f>
        <v>27500.000000000004</v>
      </c>
      <c r="BW87" s="540"/>
      <c r="BY87" s="545" t="s">
        <v>501</v>
      </c>
      <c r="BZ87" s="566">
        <f>SUM(BZ64)*1.1</f>
        <v>27500.000000000004</v>
      </c>
      <c r="CA87" s="566">
        <f>+BZ87</f>
        <v>27500.000000000004</v>
      </c>
      <c r="CB87" s="566">
        <f>+CA87</f>
        <v>27500.000000000004</v>
      </c>
      <c r="CC87" s="566">
        <f>+CB87</f>
        <v>27500.000000000004</v>
      </c>
      <c r="CD87" s="540"/>
      <c r="CF87" s="545" t="s">
        <v>501</v>
      </c>
      <c r="CG87" s="566">
        <f>SUM(CG64)*1.1</f>
        <v>27500.000000000004</v>
      </c>
      <c r="CH87" s="566">
        <f>+CG87</f>
        <v>27500.000000000004</v>
      </c>
      <c r="CI87" s="566">
        <f>+CH87</f>
        <v>27500.000000000004</v>
      </c>
      <c r="CJ87" s="566">
        <f>+CI87</f>
        <v>27500.000000000004</v>
      </c>
      <c r="CK87" s="540"/>
      <c r="CN87" s="545" t="s">
        <v>623</v>
      </c>
      <c r="CO87" s="566">
        <f>SUM(CO64)*1.1</f>
        <v>27500.000000000004</v>
      </c>
      <c r="CP87" s="566">
        <f>+CO87</f>
        <v>27500.000000000004</v>
      </c>
      <c r="CQ87" s="566">
        <f>+CP87</f>
        <v>27500.000000000004</v>
      </c>
      <c r="CR87" s="566">
        <f>+CQ87</f>
        <v>27500.000000000004</v>
      </c>
      <c r="CS87" s="540"/>
    </row>
    <row r="88" spans="1:97" ht="16" x14ac:dyDescent="0.2">
      <c r="A88" s="531"/>
      <c r="B88" s="531"/>
      <c r="C88" s="537" t="s">
        <v>107</v>
      </c>
      <c r="D88" s="538">
        <f>+D76*D87</f>
        <v>0</v>
      </c>
      <c r="E88" s="538">
        <f>+E76*E87</f>
        <v>550000.00000000012</v>
      </c>
      <c r="F88" s="538">
        <f>+F76*F87</f>
        <v>0</v>
      </c>
      <c r="G88" s="538">
        <f>+G76*G87</f>
        <v>0</v>
      </c>
      <c r="H88" s="536"/>
      <c r="I88" s="565"/>
      <c r="J88" s="565"/>
      <c r="K88" s="537" t="s">
        <v>107</v>
      </c>
      <c r="L88" s="538">
        <f>+L76*L87</f>
        <v>0</v>
      </c>
      <c r="M88" s="538">
        <f>+M76*M87</f>
        <v>275000.00000000006</v>
      </c>
      <c r="N88" s="538">
        <f>+N76*N87</f>
        <v>0</v>
      </c>
      <c r="O88" s="538">
        <f>+O76*O87</f>
        <v>0</v>
      </c>
      <c r="P88" s="536"/>
      <c r="Q88" s="531"/>
      <c r="R88" s="531"/>
      <c r="S88" s="531"/>
      <c r="T88" s="537" t="s">
        <v>107</v>
      </c>
      <c r="U88" s="538">
        <f>+U76*U87</f>
        <v>0</v>
      </c>
      <c r="V88" s="538">
        <f>+V76*V87</f>
        <v>550000.00000000012</v>
      </c>
      <c r="W88" s="538">
        <f>+W76*W87</f>
        <v>0</v>
      </c>
      <c r="X88" s="538">
        <f>+X76*X87</f>
        <v>0</v>
      </c>
      <c r="Y88" s="536"/>
      <c r="Z88" s="531"/>
      <c r="AA88" s="531"/>
      <c r="AB88" s="537" t="s">
        <v>107</v>
      </c>
      <c r="AC88" s="538">
        <f>+AC76*AC87</f>
        <v>0</v>
      </c>
      <c r="AD88" s="538">
        <f>+AD76*AD87</f>
        <v>275000.00000000006</v>
      </c>
      <c r="AE88" s="538">
        <f>+AE76*AE87</f>
        <v>0</v>
      </c>
      <c r="AF88" s="538">
        <f>+AF76*AF87</f>
        <v>0</v>
      </c>
      <c r="AG88" s="536"/>
      <c r="AH88" s="531"/>
      <c r="AI88" s="537" t="s">
        <v>107</v>
      </c>
      <c r="AJ88" s="538">
        <f>+AJ76*AJ87</f>
        <v>0</v>
      </c>
      <c r="AK88" s="538">
        <f>+AK76*AK87</f>
        <v>0</v>
      </c>
      <c r="AL88" s="538">
        <f>+AL76*AL87</f>
        <v>0</v>
      </c>
      <c r="AM88" s="538">
        <f>+AM76*AM87</f>
        <v>137500.00000000003</v>
      </c>
      <c r="AN88" s="536"/>
      <c r="AP88" s="537" t="s">
        <v>107</v>
      </c>
      <c r="AQ88" s="538">
        <f>+AQ76*AQ87</f>
        <v>0</v>
      </c>
      <c r="AR88" s="538">
        <f>+AR76*AR87</f>
        <v>0</v>
      </c>
      <c r="AS88" s="538">
        <f>+AS76*AS87</f>
        <v>0</v>
      </c>
      <c r="AT88" s="538">
        <f>+AT76*AT87</f>
        <v>275000.00000000006</v>
      </c>
      <c r="AU88" s="536"/>
      <c r="AW88" s="537" t="s">
        <v>107</v>
      </c>
      <c r="AX88" s="538">
        <f>+AX76*AX87</f>
        <v>275000.00000000006</v>
      </c>
      <c r="AY88" s="538">
        <f>+AY76*AY87</f>
        <v>0</v>
      </c>
      <c r="AZ88" s="538">
        <f>+AZ76*AZ87</f>
        <v>0</v>
      </c>
      <c r="BA88" s="538">
        <f>+BA76*BA87</f>
        <v>0</v>
      </c>
      <c r="BB88" s="536"/>
      <c r="BD88" s="537" t="s">
        <v>107</v>
      </c>
      <c r="BE88" s="538">
        <f>+BE76*BE87</f>
        <v>137500.00000000003</v>
      </c>
      <c r="BF88" s="538">
        <f>+BF76*BF87</f>
        <v>0</v>
      </c>
      <c r="BG88" s="538">
        <f>+BG76*BG87</f>
        <v>0</v>
      </c>
      <c r="BH88" s="538">
        <f>+BH76*BH87</f>
        <v>0</v>
      </c>
      <c r="BI88" s="536"/>
      <c r="BK88" s="537" t="s">
        <v>107</v>
      </c>
      <c r="BL88" s="538">
        <f>+BL76*BL87</f>
        <v>0</v>
      </c>
      <c r="BM88" s="538">
        <f>+BM76*BM87</f>
        <v>0</v>
      </c>
      <c r="BN88" s="538">
        <f>+BN76*BN87</f>
        <v>275000.00000000006</v>
      </c>
      <c r="BO88" s="538">
        <f>+BO76*BO87</f>
        <v>0</v>
      </c>
      <c r="BP88" s="536"/>
      <c r="BR88" s="537" t="s">
        <v>107</v>
      </c>
      <c r="BS88" s="538">
        <f>+BS76*BS87</f>
        <v>0</v>
      </c>
      <c r="BT88" s="538">
        <f>+BT76*BT87</f>
        <v>0</v>
      </c>
      <c r="BU88" s="538">
        <f>+BU76*BU87</f>
        <v>137500.00000000003</v>
      </c>
      <c r="BV88" s="538">
        <f>+BV76*BV87</f>
        <v>0</v>
      </c>
      <c r="BW88" s="536"/>
      <c r="BY88" s="537" t="s">
        <v>107</v>
      </c>
      <c r="BZ88" s="538">
        <f>+BZ76*BZ87</f>
        <v>0</v>
      </c>
      <c r="CA88" s="538">
        <f>+CA76*CA87</f>
        <v>0</v>
      </c>
      <c r="CB88" s="538">
        <f>+CB76*CB87</f>
        <v>0</v>
      </c>
      <c r="CC88" s="538">
        <f>+CC76*CC87</f>
        <v>275000.00000000006</v>
      </c>
      <c r="CD88" s="536"/>
      <c r="CF88" s="537" t="s">
        <v>107</v>
      </c>
      <c r="CG88" s="538">
        <f>+CG76*CG87</f>
        <v>0</v>
      </c>
      <c r="CH88" s="538">
        <f>+CH76*CH87</f>
        <v>0</v>
      </c>
      <c r="CI88" s="538">
        <f>+CI76*CI87</f>
        <v>0</v>
      </c>
      <c r="CJ88" s="538">
        <f>+CJ76*CJ87</f>
        <v>0</v>
      </c>
      <c r="CK88" s="536"/>
      <c r="CN88" s="537" t="s">
        <v>107</v>
      </c>
      <c r="CO88" s="538">
        <f>+CO76*CO87</f>
        <v>0</v>
      </c>
      <c r="CP88" s="538">
        <f>+CP76*CP87</f>
        <v>0</v>
      </c>
      <c r="CQ88" s="538">
        <f>+CQ76*CQ87</f>
        <v>0</v>
      </c>
      <c r="CR88" s="538">
        <f>+CR76*CR87</f>
        <v>0</v>
      </c>
      <c r="CS88" s="536"/>
    </row>
    <row r="89" spans="1:97" ht="16" x14ac:dyDescent="0.2">
      <c r="A89" s="531"/>
      <c r="B89" s="531"/>
      <c r="C89" s="547" t="s">
        <v>8</v>
      </c>
      <c r="D89" s="548">
        <f>+D88</f>
        <v>0</v>
      </c>
      <c r="E89" s="548">
        <f>+D89+E88</f>
        <v>550000.00000000012</v>
      </c>
      <c r="F89" s="549">
        <f>+E89+F88</f>
        <v>550000.00000000012</v>
      </c>
      <c r="G89" s="549">
        <f>+F89+G88</f>
        <v>550000.00000000012</v>
      </c>
      <c r="H89" s="540"/>
      <c r="I89" s="531"/>
      <c r="J89" s="531"/>
      <c r="K89" s="547" t="s">
        <v>8</v>
      </c>
      <c r="L89" s="548">
        <f>+L88</f>
        <v>0</v>
      </c>
      <c r="M89" s="548">
        <f>+L89+M88</f>
        <v>275000.00000000006</v>
      </c>
      <c r="N89" s="549">
        <f>+M89+N88</f>
        <v>275000.00000000006</v>
      </c>
      <c r="O89" s="549">
        <f>+N89+O88</f>
        <v>275000.00000000006</v>
      </c>
      <c r="P89" s="540"/>
      <c r="Q89" s="531"/>
      <c r="R89" s="531"/>
      <c r="S89" s="531"/>
      <c r="T89" s="547" t="s">
        <v>8</v>
      </c>
      <c r="U89" s="548">
        <f>+U88</f>
        <v>0</v>
      </c>
      <c r="V89" s="548">
        <f>+U89+V88</f>
        <v>550000.00000000012</v>
      </c>
      <c r="W89" s="549">
        <f>+V89+W88</f>
        <v>550000.00000000012</v>
      </c>
      <c r="X89" s="549">
        <f>+W89+X88</f>
        <v>550000.00000000012</v>
      </c>
      <c r="Y89" s="540"/>
      <c r="Z89" s="531"/>
      <c r="AA89" s="531"/>
      <c r="AB89" s="547" t="s">
        <v>8</v>
      </c>
      <c r="AC89" s="548">
        <f>+AC88</f>
        <v>0</v>
      </c>
      <c r="AD89" s="548">
        <f>+AC89+AD88</f>
        <v>275000.00000000006</v>
      </c>
      <c r="AE89" s="549">
        <f>+AD89+AE88</f>
        <v>275000.00000000006</v>
      </c>
      <c r="AF89" s="549">
        <f>+AE89+AF88</f>
        <v>275000.00000000006</v>
      </c>
      <c r="AG89" s="540"/>
      <c r="AH89" s="531"/>
      <c r="AI89" s="547" t="s">
        <v>8</v>
      </c>
      <c r="AJ89" s="548">
        <f>+AJ88</f>
        <v>0</v>
      </c>
      <c r="AK89" s="548">
        <f>+AJ89+AK88</f>
        <v>0</v>
      </c>
      <c r="AL89" s="549">
        <f>+AK89+AL88</f>
        <v>0</v>
      </c>
      <c r="AM89" s="549">
        <f>+AL89+AM88</f>
        <v>137500.00000000003</v>
      </c>
      <c r="AN89" s="540"/>
      <c r="AP89" s="547" t="s">
        <v>8</v>
      </c>
      <c r="AQ89" s="548">
        <f>+AQ88</f>
        <v>0</v>
      </c>
      <c r="AR89" s="548">
        <f>+AQ89+AR88</f>
        <v>0</v>
      </c>
      <c r="AS89" s="549">
        <f>+AR89+AS88</f>
        <v>0</v>
      </c>
      <c r="AT89" s="549">
        <f>+AS89+AT88</f>
        <v>275000.00000000006</v>
      </c>
      <c r="AU89" s="540"/>
      <c r="AW89" s="547" t="s">
        <v>8</v>
      </c>
      <c r="AX89" s="548">
        <f>+AX88</f>
        <v>275000.00000000006</v>
      </c>
      <c r="AY89" s="548">
        <f>+AX89+AY88</f>
        <v>275000.00000000006</v>
      </c>
      <c r="AZ89" s="549">
        <f>+AY89+AZ88</f>
        <v>275000.00000000006</v>
      </c>
      <c r="BA89" s="549">
        <f>+AZ89+BA88</f>
        <v>275000.00000000006</v>
      </c>
      <c r="BB89" s="540"/>
      <c r="BD89" s="547" t="s">
        <v>8</v>
      </c>
      <c r="BE89" s="548">
        <f>+BE88</f>
        <v>137500.00000000003</v>
      </c>
      <c r="BF89" s="548">
        <f>+BE89+BF88</f>
        <v>137500.00000000003</v>
      </c>
      <c r="BG89" s="549">
        <f>+BF89+BG88</f>
        <v>137500.00000000003</v>
      </c>
      <c r="BH89" s="549">
        <f>+BG89+BH88</f>
        <v>137500.00000000003</v>
      </c>
      <c r="BI89" s="540"/>
      <c r="BK89" s="547" t="s">
        <v>8</v>
      </c>
      <c r="BL89" s="548">
        <f>+BL88</f>
        <v>0</v>
      </c>
      <c r="BM89" s="548">
        <f>+BL89+BM88</f>
        <v>0</v>
      </c>
      <c r="BN89" s="549">
        <f>+BM89+BN88</f>
        <v>275000.00000000006</v>
      </c>
      <c r="BO89" s="549">
        <f>+BN89+BO88</f>
        <v>275000.00000000006</v>
      </c>
      <c r="BP89" s="540"/>
      <c r="BR89" s="547" t="s">
        <v>8</v>
      </c>
      <c r="BS89" s="548">
        <f>+BS88</f>
        <v>0</v>
      </c>
      <c r="BT89" s="548">
        <f>+BS89+BT88</f>
        <v>0</v>
      </c>
      <c r="BU89" s="549">
        <f>+BT89+BU88</f>
        <v>137500.00000000003</v>
      </c>
      <c r="BV89" s="549">
        <f>+BU89+BV88</f>
        <v>137500.00000000003</v>
      </c>
      <c r="BW89" s="540"/>
      <c r="BY89" s="547" t="s">
        <v>8</v>
      </c>
      <c r="BZ89" s="548">
        <f>+BZ88</f>
        <v>0</v>
      </c>
      <c r="CA89" s="548">
        <f>+BZ89+CA88</f>
        <v>0</v>
      </c>
      <c r="CB89" s="549">
        <f>+CA89+CB88</f>
        <v>0</v>
      </c>
      <c r="CC89" s="549">
        <f>+CB89+CC88</f>
        <v>275000.00000000006</v>
      </c>
      <c r="CD89" s="540"/>
      <c r="CF89" s="547" t="s">
        <v>8</v>
      </c>
      <c r="CG89" s="548">
        <f>+CG88</f>
        <v>0</v>
      </c>
      <c r="CH89" s="548">
        <f>+CG89+CH88</f>
        <v>0</v>
      </c>
      <c r="CI89" s="549">
        <f>+CH89+CI88</f>
        <v>0</v>
      </c>
      <c r="CJ89" s="549">
        <f>+CI89+CJ88</f>
        <v>0</v>
      </c>
      <c r="CK89" s="540"/>
      <c r="CN89" s="547" t="s">
        <v>8</v>
      </c>
      <c r="CO89" s="548">
        <f>+CO88</f>
        <v>0</v>
      </c>
      <c r="CP89" s="548">
        <f>+CO89+CP88</f>
        <v>0</v>
      </c>
      <c r="CQ89" s="549">
        <f>+CP89+CQ88</f>
        <v>0</v>
      </c>
      <c r="CR89" s="549">
        <f>+CQ89+CR88</f>
        <v>0</v>
      </c>
      <c r="CS89" s="540"/>
    </row>
    <row r="90" spans="1:97" ht="16" x14ac:dyDescent="0.2">
      <c r="A90" s="531"/>
      <c r="B90" s="531"/>
      <c r="C90" s="543"/>
      <c r="D90" s="548"/>
      <c r="E90" s="548"/>
      <c r="F90" s="549"/>
      <c r="G90" s="549"/>
      <c r="H90" s="540"/>
      <c r="I90" s="531"/>
      <c r="J90" s="531"/>
      <c r="K90" s="543"/>
      <c r="L90" s="548"/>
      <c r="M90" s="548"/>
      <c r="N90" s="549"/>
      <c r="O90" s="549"/>
      <c r="P90" s="540"/>
      <c r="Q90" s="531"/>
      <c r="R90" s="531"/>
      <c r="S90" s="531"/>
      <c r="T90" s="543"/>
      <c r="U90" s="548"/>
      <c r="V90" s="548"/>
      <c r="W90" s="549"/>
      <c r="X90" s="549"/>
      <c r="Y90" s="540"/>
      <c r="Z90" s="531"/>
      <c r="AA90" s="531"/>
      <c r="AB90" s="543"/>
      <c r="AC90" s="548"/>
      <c r="AD90" s="548"/>
      <c r="AE90" s="549"/>
      <c r="AF90" s="549"/>
      <c r="AG90" s="540"/>
      <c r="AH90" s="531"/>
      <c r="AI90" s="543"/>
      <c r="AJ90" s="548"/>
      <c r="AK90" s="548"/>
      <c r="AL90" s="549"/>
      <c r="AM90" s="549"/>
      <c r="AN90" s="540"/>
      <c r="AP90" s="543"/>
      <c r="AQ90" s="548"/>
      <c r="AR90" s="548"/>
      <c r="AS90" s="549"/>
      <c r="AT90" s="549"/>
      <c r="AU90" s="540"/>
      <c r="AW90" s="543"/>
      <c r="AX90" s="548"/>
      <c r="AY90" s="548"/>
      <c r="AZ90" s="549"/>
      <c r="BA90" s="549"/>
      <c r="BB90" s="540"/>
      <c r="BD90" s="543"/>
      <c r="BE90" s="548"/>
      <c r="BF90" s="548"/>
      <c r="BG90" s="549"/>
      <c r="BH90" s="549"/>
      <c r="BI90" s="540"/>
      <c r="BK90" s="543"/>
      <c r="BL90" s="548"/>
      <c r="BM90" s="548"/>
      <c r="BN90" s="549"/>
      <c r="BO90" s="549"/>
      <c r="BP90" s="540"/>
      <c r="BR90" s="543"/>
      <c r="BS90" s="548"/>
      <c r="BT90" s="548"/>
      <c r="BU90" s="549"/>
      <c r="BV90" s="549"/>
      <c r="BW90" s="540"/>
      <c r="BY90" s="543"/>
      <c r="BZ90" s="548"/>
      <c r="CA90" s="548"/>
      <c r="CB90" s="549"/>
      <c r="CC90" s="549"/>
      <c r="CD90" s="540"/>
      <c r="CF90" s="543"/>
      <c r="CG90" s="548"/>
      <c r="CH90" s="548"/>
      <c r="CI90" s="549"/>
      <c r="CJ90" s="549"/>
      <c r="CK90" s="540"/>
      <c r="CN90" s="543"/>
      <c r="CO90" s="548"/>
      <c r="CP90" s="548"/>
      <c r="CQ90" s="549"/>
      <c r="CR90" s="549"/>
      <c r="CS90" s="540"/>
    </row>
    <row r="91" spans="1:97" ht="16" x14ac:dyDescent="0.2">
      <c r="A91" s="531"/>
      <c r="B91" s="531"/>
      <c r="C91" s="545"/>
      <c r="D91" s="530"/>
      <c r="E91" s="530"/>
      <c r="F91" s="541"/>
      <c r="G91" s="530"/>
      <c r="H91" s="570" t="s">
        <v>500</v>
      </c>
      <c r="I91" s="531"/>
      <c r="J91" s="531"/>
      <c r="K91" s="545"/>
      <c r="L91" s="530"/>
      <c r="M91" s="530"/>
      <c r="N91" s="541"/>
      <c r="O91" s="530"/>
      <c r="P91" s="570" t="s">
        <v>500</v>
      </c>
      <c r="Q91" s="531"/>
      <c r="R91" s="531"/>
      <c r="S91" s="531"/>
      <c r="T91" s="545"/>
      <c r="U91" s="530"/>
      <c r="V91" s="530"/>
      <c r="W91" s="541"/>
      <c r="X91" s="530"/>
      <c r="Y91" s="570" t="s">
        <v>500</v>
      </c>
      <c r="Z91" s="531"/>
      <c r="AA91" s="531"/>
      <c r="AB91" s="545"/>
      <c r="AC91" s="530"/>
      <c r="AD91" s="530"/>
      <c r="AE91" s="541"/>
      <c r="AF91" s="530"/>
      <c r="AG91" s="570" t="s">
        <v>500</v>
      </c>
      <c r="AH91" s="531"/>
      <c r="AI91" s="545"/>
      <c r="AJ91" s="530"/>
      <c r="AK91" s="530"/>
      <c r="AL91" s="541"/>
      <c r="AM91" s="530"/>
      <c r="AN91" s="570" t="s">
        <v>500</v>
      </c>
      <c r="AP91" s="545"/>
      <c r="AQ91" s="530"/>
      <c r="AR91" s="530"/>
      <c r="AS91" s="541"/>
      <c r="AT91" s="530"/>
      <c r="AU91" s="570" t="s">
        <v>500</v>
      </c>
      <c r="AW91" s="545"/>
      <c r="AX91" s="530"/>
      <c r="AY91" s="530"/>
      <c r="AZ91" s="541"/>
      <c r="BA91" s="530"/>
      <c r="BB91" s="570" t="s">
        <v>500</v>
      </c>
      <c r="BD91" s="545"/>
      <c r="BE91" s="530"/>
      <c r="BF91" s="530"/>
      <c r="BG91" s="541"/>
      <c r="BH91" s="530"/>
      <c r="BI91" s="570" t="s">
        <v>500</v>
      </c>
      <c r="BK91" s="545"/>
      <c r="BL91" s="530"/>
      <c r="BM91" s="530"/>
      <c r="BN91" s="541"/>
      <c r="BO91" s="530"/>
      <c r="BP91" s="570" t="s">
        <v>500</v>
      </c>
      <c r="BR91" s="545"/>
      <c r="BS91" s="530"/>
      <c r="BT91" s="530"/>
      <c r="BU91" s="541"/>
      <c r="BV91" s="530"/>
      <c r="BW91" s="570" t="s">
        <v>500</v>
      </c>
      <c r="BY91" s="545"/>
      <c r="BZ91" s="530"/>
      <c r="CA91" s="530"/>
      <c r="CB91" s="541"/>
      <c r="CC91" s="530"/>
      <c r="CD91" s="570" t="s">
        <v>500</v>
      </c>
      <c r="CF91" s="545"/>
      <c r="CG91" s="530"/>
      <c r="CH91" s="530"/>
      <c r="CI91" s="541"/>
      <c r="CJ91" s="530"/>
      <c r="CK91" s="570" t="s">
        <v>500</v>
      </c>
      <c r="CN91" s="545"/>
      <c r="CO91" s="530"/>
      <c r="CP91" s="530"/>
      <c r="CQ91" s="541"/>
      <c r="CR91" s="530"/>
      <c r="CS91" s="570" t="s">
        <v>500</v>
      </c>
    </row>
    <row r="92" spans="1:97" ht="16" x14ac:dyDescent="0.2">
      <c r="A92" s="531"/>
      <c r="B92" s="531"/>
      <c r="C92" s="554"/>
      <c r="D92" s="555"/>
      <c r="E92" s="555"/>
      <c r="F92" s="556"/>
      <c r="G92" s="555"/>
      <c r="H92" s="571">
        <f>SUM(G94)/H76</f>
        <v>397418.2609710744</v>
      </c>
      <c r="I92" s="531"/>
      <c r="J92" s="531"/>
      <c r="K92" s="554"/>
      <c r="L92" s="555"/>
      <c r="M92" s="555"/>
      <c r="N92" s="556"/>
      <c r="O92" s="555"/>
      <c r="P92" s="571">
        <f>SUM(O94)/P76</f>
        <v>426481.02790909092</v>
      </c>
      <c r="Q92" s="531"/>
      <c r="R92" s="531"/>
      <c r="S92" s="531"/>
      <c r="T92" s="554"/>
      <c r="U92" s="555"/>
      <c r="V92" s="555"/>
      <c r="W92" s="556"/>
      <c r="X92" s="555"/>
      <c r="Y92" s="571">
        <f>SUM(X94)/Y76</f>
        <v>563553.62563636375</v>
      </c>
      <c r="Z92" s="531"/>
      <c r="AA92" s="531"/>
      <c r="AB92" s="554"/>
      <c r="AC92" s="555"/>
      <c r="AD92" s="555"/>
      <c r="AE92" s="556"/>
      <c r="AF92" s="555"/>
      <c r="AG92" s="571">
        <f>SUM(AF94)/AG76</f>
        <v>234710.62684090916</v>
      </c>
      <c r="AH92" s="531"/>
      <c r="AI92" s="554"/>
      <c r="AJ92" s="555"/>
      <c r="AK92" s="555"/>
      <c r="AL92" s="556"/>
      <c r="AM92" s="555"/>
      <c r="AN92" s="571">
        <f>SUM(AM94)/AN76</f>
        <v>1688901.9886363638</v>
      </c>
      <c r="AP92" s="554"/>
      <c r="AQ92" s="555"/>
      <c r="AR92" s="555"/>
      <c r="AS92" s="556"/>
      <c r="AT92" s="555"/>
      <c r="AU92" s="571">
        <f>SUM(AT94)/AU76</f>
        <v>289919.15809090907</v>
      </c>
      <c r="AW92" s="554"/>
      <c r="AX92" s="555"/>
      <c r="AY92" s="555"/>
      <c r="AZ92" s="556"/>
      <c r="BA92" s="555"/>
      <c r="BB92" s="571">
        <f>SUM(BA94)/BB76</f>
        <v>1052433.2386363638</v>
      </c>
      <c r="BD92" s="554"/>
      <c r="BE92" s="555"/>
      <c r="BF92" s="555"/>
      <c r="BG92" s="556"/>
      <c r="BH92" s="555"/>
      <c r="BI92" s="571">
        <f>SUM(BH94)/BI76</f>
        <v>3245077.4147727275</v>
      </c>
      <c r="BK92" s="554"/>
      <c r="BL92" s="555"/>
      <c r="BM92" s="555"/>
      <c r="BN92" s="556"/>
      <c r="BO92" s="555"/>
      <c r="BP92" s="571">
        <f>SUM(BO94)/BP76</f>
        <v>3481186.7897727275</v>
      </c>
      <c r="BR92" s="554"/>
      <c r="BS92" s="555"/>
      <c r="BT92" s="555"/>
      <c r="BU92" s="556"/>
      <c r="BV92" s="555"/>
      <c r="BW92" s="571">
        <f>SUM(BV94)/BW76</f>
        <v>1225204.8272727274</v>
      </c>
      <c r="BY92" s="554"/>
      <c r="BZ92" s="555"/>
      <c r="CA92" s="555"/>
      <c r="CB92" s="556"/>
      <c r="CC92" s="555"/>
      <c r="CD92" s="571">
        <f>SUM(CC94)/CD76</f>
        <v>669313.245</v>
      </c>
      <c r="CF92" s="554"/>
      <c r="CG92" s="555"/>
      <c r="CH92" s="555"/>
      <c r="CI92" s="556"/>
      <c r="CJ92" s="555"/>
      <c r="CK92" s="571">
        <f>SUM(CJ94)/CJ82</f>
        <v>792000.00000000012</v>
      </c>
      <c r="CN92" s="554"/>
      <c r="CO92" s="555"/>
      <c r="CP92" s="555"/>
      <c r="CQ92" s="556"/>
      <c r="CR92" s="555"/>
      <c r="CS92" s="571" t="e">
        <f>SUM(CR94)/CR82</f>
        <v>#DIV/0!</v>
      </c>
    </row>
    <row r="93" spans="1:97" ht="16" x14ac:dyDescent="0.2">
      <c r="A93" s="531"/>
      <c r="B93" s="531"/>
      <c r="C93" s="557" t="s">
        <v>23</v>
      </c>
      <c r="D93" s="558">
        <f>+D78+D84+D88</f>
        <v>0</v>
      </c>
      <c r="E93" s="558">
        <f>+E78+E84+E88</f>
        <v>7948365.2194214882</v>
      </c>
      <c r="F93" s="558">
        <f>+F78+F84+F88</f>
        <v>0</v>
      </c>
      <c r="G93" s="558">
        <f>+G78+G84+G88</f>
        <v>0</v>
      </c>
      <c r="H93" s="850">
        <f>SUM(H76:H89)</f>
        <v>20</v>
      </c>
      <c r="I93" s="572"/>
      <c r="J93" s="572"/>
      <c r="K93" s="557" t="s">
        <v>23</v>
      </c>
      <c r="L93" s="558">
        <f>+L78+L84+L88</f>
        <v>0</v>
      </c>
      <c r="M93" s="558">
        <f>+M78+M84+M88</f>
        <v>4264810.2790909093</v>
      </c>
      <c r="N93" s="558">
        <f>+N78+N84+N88</f>
        <v>0</v>
      </c>
      <c r="O93" s="558">
        <f>+O78+O84+O88</f>
        <v>0</v>
      </c>
      <c r="P93" s="850">
        <f>SUM(P76:P89)</f>
        <v>10</v>
      </c>
      <c r="Q93" s="531"/>
      <c r="R93" s="531"/>
      <c r="S93" s="531"/>
      <c r="T93" s="557" t="s">
        <v>23</v>
      </c>
      <c r="U93" s="558">
        <f>+U78+U84+U88</f>
        <v>0</v>
      </c>
      <c r="V93" s="558">
        <f>+V78+V84+V88</f>
        <v>11271072.512727275</v>
      </c>
      <c r="W93" s="558">
        <f>+W78+W84+W88</f>
        <v>0</v>
      </c>
      <c r="X93" s="558">
        <f>+X78+X84+X88</f>
        <v>0</v>
      </c>
      <c r="Y93" s="850">
        <f>SUM(Y76:Y89)</f>
        <v>20</v>
      </c>
      <c r="Z93" s="531"/>
      <c r="AA93" s="531"/>
      <c r="AB93" s="557" t="s">
        <v>23</v>
      </c>
      <c r="AC93" s="558">
        <f>+AC78+AC84+AC88</f>
        <v>0</v>
      </c>
      <c r="AD93" s="558">
        <f>+AD78+AD84+AD88</f>
        <v>2347106.2684090915</v>
      </c>
      <c r="AE93" s="558">
        <f>+AE78+AE84+AE88</f>
        <v>0</v>
      </c>
      <c r="AF93" s="558">
        <f>+AF78+AF84+AF88</f>
        <v>0</v>
      </c>
      <c r="AG93" s="850">
        <f>SUM(AG76:AG89)</f>
        <v>10</v>
      </c>
      <c r="AH93" s="531"/>
      <c r="AI93" s="557" t="s">
        <v>23</v>
      </c>
      <c r="AJ93" s="558">
        <f>+AJ78+AJ84+AJ88</f>
        <v>0</v>
      </c>
      <c r="AK93" s="558">
        <f>+AK78+AK84+AK88</f>
        <v>0</v>
      </c>
      <c r="AL93" s="558">
        <f>+AL78+AL84+AL88</f>
        <v>0</v>
      </c>
      <c r="AM93" s="558">
        <f>+AM78+AM84+AM88</f>
        <v>8444509.9431818184</v>
      </c>
      <c r="AN93" s="850">
        <f>SUM(AN76:AN89)</f>
        <v>5</v>
      </c>
      <c r="AP93" s="557" t="s">
        <v>23</v>
      </c>
      <c r="AQ93" s="558">
        <f>+AQ78+AQ84+AQ88</f>
        <v>0</v>
      </c>
      <c r="AR93" s="558">
        <f>+AR78+AR84+AR88</f>
        <v>0</v>
      </c>
      <c r="AS93" s="558">
        <f>+AS78+AS84+AS88</f>
        <v>0</v>
      </c>
      <c r="AT93" s="558">
        <f>+AT78+AT84+AT88</f>
        <v>2899191.5809090906</v>
      </c>
      <c r="AU93" s="850">
        <f>SUM(AU76:AU89)</f>
        <v>10</v>
      </c>
      <c r="AW93" s="557" t="s">
        <v>23</v>
      </c>
      <c r="AX93" s="558">
        <f>+AX78+AX84+AX88</f>
        <v>10524332.386363637</v>
      </c>
      <c r="AY93" s="558">
        <f>+AY78+AY84+AY88</f>
        <v>0</v>
      </c>
      <c r="AZ93" s="558">
        <f>+AZ78+AZ84+AZ88</f>
        <v>0</v>
      </c>
      <c r="BA93" s="558">
        <f>+BA78+BA84+BA88</f>
        <v>0</v>
      </c>
      <c r="BB93" s="850">
        <f>SUM(BB76:BB89)</f>
        <v>10</v>
      </c>
      <c r="BD93" s="557" t="s">
        <v>23</v>
      </c>
      <c r="BE93" s="558">
        <f>+BE78+BE84+BE88</f>
        <v>16225387.073863637</v>
      </c>
      <c r="BF93" s="558">
        <f>+BF78+BF84+BF88</f>
        <v>0</v>
      </c>
      <c r="BG93" s="558">
        <f>+BG78+BG84+BG88</f>
        <v>0</v>
      </c>
      <c r="BH93" s="558">
        <f>+BH78+BH84+BH88</f>
        <v>0</v>
      </c>
      <c r="BI93" s="850">
        <f>SUM(BI76:BI89)</f>
        <v>5</v>
      </c>
      <c r="BK93" s="557" t="s">
        <v>23</v>
      </c>
      <c r="BL93" s="558">
        <f>+BL78+BL84+BL88</f>
        <v>0</v>
      </c>
      <c r="BM93" s="558">
        <f>+BM78+BM84+BM88</f>
        <v>0</v>
      </c>
      <c r="BN93" s="558">
        <f>+BN78+BN84+BN88</f>
        <v>34811867.897727273</v>
      </c>
      <c r="BO93" s="558">
        <f>+BO78+BO84+BO88</f>
        <v>0</v>
      </c>
      <c r="BP93" s="850">
        <f>SUM(BP76:BP89)</f>
        <v>10</v>
      </c>
      <c r="BR93" s="557" t="s">
        <v>23</v>
      </c>
      <c r="BS93" s="558">
        <f>+BS78+BS84+BS88</f>
        <v>0</v>
      </c>
      <c r="BT93" s="558">
        <f>+BT78+BT84+BT88</f>
        <v>0</v>
      </c>
      <c r="BU93" s="558">
        <f>+BU78+BU84+BU88</f>
        <v>6126024.1363636367</v>
      </c>
      <c r="BV93" s="558">
        <f>+BV78+BV84+BV88</f>
        <v>0</v>
      </c>
      <c r="BW93" s="850">
        <f>SUM(BW76:BW89)</f>
        <v>5</v>
      </c>
      <c r="BY93" s="557" t="s">
        <v>23</v>
      </c>
      <c r="BZ93" s="558">
        <f>+BZ78+BZ84+BZ88</f>
        <v>0</v>
      </c>
      <c r="CA93" s="558">
        <f>+CA78+CA84+CA88</f>
        <v>0</v>
      </c>
      <c r="CB93" s="558">
        <f>+CB78+CB84+CB88</f>
        <v>0</v>
      </c>
      <c r="CC93" s="558">
        <f>+CC78+CC84+CC88</f>
        <v>6693132.4500000002</v>
      </c>
      <c r="CD93" s="850">
        <f>SUM(CD76:CD89)</f>
        <v>10</v>
      </c>
      <c r="CF93" s="557" t="s">
        <v>23</v>
      </c>
      <c r="CG93" s="558">
        <f>+CG78+CG84+CG88</f>
        <v>990000.00000000012</v>
      </c>
      <c r="CH93" s="558">
        <f>+CH78+CH84+CH88</f>
        <v>990000.00000000012</v>
      </c>
      <c r="CI93" s="558">
        <f>+CI78+CI84+CI88</f>
        <v>990000.00000000012</v>
      </c>
      <c r="CJ93" s="558">
        <f>+CJ78+CJ84+CJ88</f>
        <v>990000.00000000012</v>
      </c>
      <c r="CK93" s="850">
        <f>SUM(CK76:CK89)</f>
        <v>0</v>
      </c>
      <c r="CN93" s="557" t="s">
        <v>23</v>
      </c>
      <c r="CO93" s="558">
        <f>+CO78+CO84+CO88</f>
        <v>0</v>
      </c>
      <c r="CP93" s="558">
        <f>+CP78+CP84+CP88</f>
        <v>990000.00000000012</v>
      </c>
      <c r="CQ93" s="558">
        <f>+CQ78+CQ84+CQ88</f>
        <v>0</v>
      </c>
      <c r="CR93" s="558">
        <f>+CR78+CR84+CR88</f>
        <v>0</v>
      </c>
      <c r="CS93" s="850">
        <f>SUM(CS76:CS89)</f>
        <v>0</v>
      </c>
    </row>
    <row r="94" spans="1:97" ht="16" x14ac:dyDescent="0.2">
      <c r="A94" s="531"/>
      <c r="B94" s="531"/>
      <c r="C94" s="573" t="s">
        <v>29</v>
      </c>
      <c r="D94" s="574">
        <f>+D93</f>
        <v>0</v>
      </c>
      <c r="E94" s="574">
        <f>+D94+E93</f>
        <v>7948365.2194214882</v>
      </c>
      <c r="F94" s="574">
        <f>+E94+F93</f>
        <v>7948365.2194214882</v>
      </c>
      <c r="G94" s="574">
        <f>+F94+G93</f>
        <v>7948365.2194214882</v>
      </c>
      <c r="H94" s="851"/>
      <c r="I94" s="572"/>
      <c r="J94" s="572"/>
      <c r="K94" s="573" t="s">
        <v>29</v>
      </c>
      <c r="L94" s="574">
        <f>+L93</f>
        <v>0</v>
      </c>
      <c r="M94" s="574">
        <f>+L94+M93</f>
        <v>4264810.2790909093</v>
      </c>
      <c r="N94" s="574">
        <f>+M94+N93</f>
        <v>4264810.2790909093</v>
      </c>
      <c r="O94" s="574">
        <f>+N94+O93</f>
        <v>4264810.2790909093</v>
      </c>
      <c r="P94" s="851"/>
      <c r="Q94" s="531"/>
      <c r="R94" s="531"/>
      <c r="S94" s="531"/>
      <c r="T94" s="573" t="s">
        <v>29</v>
      </c>
      <c r="U94" s="574">
        <f>+U93</f>
        <v>0</v>
      </c>
      <c r="V94" s="574">
        <f>+U94+V93</f>
        <v>11271072.512727275</v>
      </c>
      <c r="W94" s="574">
        <f>+V94+W93</f>
        <v>11271072.512727275</v>
      </c>
      <c r="X94" s="574">
        <f>+W94+X93</f>
        <v>11271072.512727275</v>
      </c>
      <c r="Y94" s="851"/>
      <c r="Z94" s="531"/>
      <c r="AA94" s="531"/>
      <c r="AB94" s="573" t="s">
        <v>29</v>
      </c>
      <c r="AC94" s="574">
        <f>+AC93</f>
        <v>0</v>
      </c>
      <c r="AD94" s="574">
        <f>+AC94+AD93</f>
        <v>2347106.2684090915</v>
      </c>
      <c r="AE94" s="574">
        <f>+AD94+AE93</f>
        <v>2347106.2684090915</v>
      </c>
      <c r="AF94" s="574">
        <f>+AE94+AF93</f>
        <v>2347106.2684090915</v>
      </c>
      <c r="AG94" s="851"/>
      <c r="AH94" s="531"/>
      <c r="AI94" s="573" t="s">
        <v>29</v>
      </c>
      <c r="AJ94" s="574">
        <f>+AJ93</f>
        <v>0</v>
      </c>
      <c r="AK94" s="574">
        <f>+AJ94+AK93</f>
        <v>0</v>
      </c>
      <c r="AL94" s="574">
        <f>+AK94+AL93</f>
        <v>0</v>
      </c>
      <c r="AM94" s="574">
        <f>+AL94+AM93</f>
        <v>8444509.9431818184</v>
      </c>
      <c r="AN94" s="851"/>
      <c r="AP94" s="573" t="s">
        <v>29</v>
      </c>
      <c r="AQ94" s="574">
        <f>+AQ93</f>
        <v>0</v>
      </c>
      <c r="AR94" s="574">
        <f>+AQ94+AR93</f>
        <v>0</v>
      </c>
      <c r="AS94" s="574">
        <f>+AR94+AS93</f>
        <v>0</v>
      </c>
      <c r="AT94" s="574">
        <f>+AS94+AT93</f>
        <v>2899191.5809090906</v>
      </c>
      <c r="AU94" s="851"/>
      <c r="AW94" s="573" t="s">
        <v>29</v>
      </c>
      <c r="AX94" s="574">
        <f>+AX93</f>
        <v>10524332.386363637</v>
      </c>
      <c r="AY94" s="574">
        <f>+AX94+AY93</f>
        <v>10524332.386363637</v>
      </c>
      <c r="AZ94" s="574">
        <f>+AY94+AZ93</f>
        <v>10524332.386363637</v>
      </c>
      <c r="BA94" s="574">
        <f>+AZ94+BA93</f>
        <v>10524332.386363637</v>
      </c>
      <c r="BB94" s="851"/>
      <c r="BD94" s="573" t="s">
        <v>29</v>
      </c>
      <c r="BE94" s="574">
        <f>+BE93</f>
        <v>16225387.073863637</v>
      </c>
      <c r="BF94" s="574">
        <f>+BE94+BF93</f>
        <v>16225387.073863637</v>
      </c>
      <c r="BG94" s="574">
        <f>+BF94+BG93</f>
        <v>16225387.073863637</v>
      </c>
      <c r="BH94" s="574">
        <f>+BG94+BH93</f>
        <v>16225387.073863637</v>
      </c>
      <c r="BI94" s="851"/>
      <c r="BK94" s="573" t="s">
        <v>29</v>
      </c>
      <c r="BL94" s="574">
        <f>+BL93</f>
        <v>0</v>
      </c>
      <c r="BM94" s="574">
        <f>+BL94+BM93</f>
        <v>0</v>
      </c>
      <c r="BN94" s="574">
        <f>+BM94+BN93</f>
        <v>34811867.897727273</v>
      </c>
      <c r="BO94" s="574">
        <f>+BN94+BO93</f>
        <v>34811867.897727273</v>
      </c>
      <c r="BP94" s="851"/>
      <c r="BR94" s="573" t="s">
        <v>29</v>
      </c>
      <c r="BS94" s="574">
        <f>+BS93</f>
        <v>0</v>
      </c>
      <c r="BT94" s="574">
        <f>+BS94+BT93</f>
        <v>0</v>
      </c>
      <c r="BU94" s="574">
        <f>+BT94+BU93</f>
        <v>6126024.1363636367</v>
      </c>
      <c r="BV94" s="574">
        <f>+BU94+BV93</f>
        <v>6126024.1363636367</v>
      </c>
      <c r="BW94" s="851"/>
      <c r="BY94" s="573" t="s">
        <v>29</v>
      </c>
      <c r="BZ94" s="574">
        <f>+BZ93</f>
        <v>0</v>
      </c>
      <c r="CA94" s="574">
        <f>+BZ94+CA93</f>
        <v>0</v>
      </c>
      <c r="CB94" s="574">
        <f>+CA94+CB93</f>
        <v>0</v>
      </c>
      <c r="CC94" s="574">
        <f>+CB94+CC93</f>
        <v>6693132.4500000002</v>
      </c>
      <c r="CD94" s="851"/>
      <c r="CF94" s="573" t="s">
        <v>29</v>
      </c>
      <c r="CG94" s="574">
        <f>+CG93</f>
        <v>990000.00000000012</v>
      </c>
      <c r="CH94" s="574">
        <f>+CG94+CH93</f>
        <v>1980000.0000000002</v>
      </c>
      <c r="CI94" s="574">
        <f>+CH94+CI93</f>
        <v>2970000.0000000005</v>
      </c>
      <c r="CJ94" s="574">
        <f>+CI94+CJ93</f>
        <v>3960000.0000000005</v>
      </c>
      <c r="CK94" s="851"/>
      <c r="CN94" s="573" t="s">
        <v>29</v>
      </c>
      <c r="CO94" s="574">
        <f>+CO93</f>
        <v>0</v>
      </c>
      <c r="CP94" s="574">
        <f>+CO94+CP93</f>
        <v>990000.00000000012</v>
      </c>
      <c r="CQ94" s="574">
        <f>+CP94+CQ93</f>
        <v>990000.00000000012</v>
      </c>
      <c r="CR94" s="574">
        <f>+CQ94+CR93</f>
        <v>990000.00000000012</v>
      </c>
      <c r="CS94" s="851"/>
    </row>
    <row r="95" spans="1:97" ht="16" x14ac:dyDescent="0.2">
      <c r="A95" s="531"/>
      <c r="B95" s="531"/>
      <c r="C95" s="531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531"/>
      <c r="U95" s="531"/>
      <c r="V95" s="531"/>
      <c r="W95" s="531"/>
      <c r="X95" s="531"/>
      <c r="Y95" s="531"/>
      <c r="Z95" s="531"/>
      <c r="AA95" s="531"/>
      <c r="AB95" s="531"/>
      <c r="AC95" s="531"/>
      <c r="AD95" s="531"/>
      <c r="AE95" s="531"/>
      <c r="AF95" s="531"/>
      <c r="AG95" s="531"/>
      <c r="AH95" s="531"/>
      <c r="AI95" s="531"/>
      <c r="AJ95" s="531"/>
      <c r="AK95" s="531"/>
      <c r="AL95" s="531"/>
      <c r="AM95" s="531"/>
      <c r="AN95" s="531"/>
      <c r="AP95" s="531"/>
      <c r="AQ95" s="531"/>
      <c r="AR95" s="531"/>
      <c r="AS95" s="531"/>
      <c r="AT95" s="531"/>
      <c r="AU95" s="531"/>
      <c r="AW95" s="531"/>
      <c r="AX95" s="531"/>
      <c r="AY95" s="531"/>
      <c r="AZ95" s="531"/>
      <c r="BA95" s="531"/>
      <c r="BB95" s="531"/>
      <c r="BD95" s="531"/>
      <c r="BE95" s="531"/>
      <c r="BF95" s="531"/>
      <c r="BG95" s="531"/>
      <c r="BH95" s="531"/>
      <c r="BI95" s="531"/>
      <c r="BK95" s="531"/>
      <c r="BL95" s="531"/>
      <c r="BM95" s="531"/>
      <c r="BN95" s="531"/>
      <c r="BO95" s="531"/>
      <c r="BP95" s="531"/>
      <c r="BR95" s="531"/>
      <c r="BS95" s="531"/>
      <c r="BT95" s="531"/>
      <c r="BU95" s="531"/>
      <c r="BV95" s="531"/>
      <c r="BW95" s="531"/>
      <c r="BY95" s="531"/>
      <c r="BZ95" s="531"/>
      <c r="CA95" s="531"/>
      <c r="CB95" s="531"/>
      <c r="CC95" s="531"/>
      <c r="CD95" s="531"/>
      <c r="CF95" s="531"/>
      <c r="CG95" s="531"/>
      <c r="CH95" s="531"/>
      <c r="CI95" s="531"/>
      <c r="CJ95" s="531"/>
      <c r="CK95" s="531"/>
      <c r="CN95" s="531"/>
      <c r="CO95" s="531"/>
      <c r="CP95" s="531"/>
      <c r="CQ95" s="531"/>
      <c r="CR95" s="531"/>
      <c r="CS95" s="531"/>
    </row>
    <row r="96" spans="1:97" ht="16" x14ac:dyDescent="0.2">
      <c r="A96" s="531"/>
      <c r="B96" s="531"/>
      <c r="C96" s="531"/>
      <c r="D96" s="563"/>
      <c r="E96" s="563"/>
      <c r="F96" s="563"/>
      <c r="G96" s="531"/>
      <c r="H96" s="531"/>
      <c r="I96" s="531"/>
      <c r="J96" s="531"/>
      <c r="K96" s="531"/>
      <c r="L96" s="563"/>
      <c r="M96" s="563"/>
      <c r="N96" s="563"/>
      <c r="O96" s="531"/>
      <c r="P96" s="531"/>
      <c r="Q96" s="531"/>
      <c r="R96" s="531"/>
      <c r="S96" s="531"/>
      <c r="T96" s="531"/>
      <c r="U96" s="531"/>
      <c r="V96" s="531"/>
      <c r="W96" s="531"/>
      <c r="X96" s="531"/>
      <c r="Y96" s="531"/>
      <c r="Z96" s="531"/>
      <c r="AA96" s="531"/>
      <c r="AB96" s="531"/>
      <c r="AC96" s="531"/>
      <c r="AD96" s="531"/>
      <c r="AE96" s="531"/>
      <c r="AF96" s="531"/>
      <c r="AG96" s="531"/>
      <c r="AH96" s="531"/>
      <c r="AI96" s="531"/>
      <c r="AJ96" s="531"/>
      <c r="AK96" s="531"/>
      <c r="AL96" s="531"/>
      <c r="AM96" s="531"/>
      <c r="AN96" s="531"/>
      <c r="AP96" s="531"/>
      <c r="AQ96" s="531"/>
      <c r="AR96" s="531"/>
      <c r="AS96" s="531"/>
      <c r="AT96" s="531"/>
      <c r="AU96" s="531"/>
      <c r="AW96" s="531"/>
      <c r="AX96" s="531"/>
      <c r="AY96" s="531"/>
      <c r="AZ96" s="531"/>
      <c r="BA96" s="531"/>
      <c r="BB96" s="531"/>
      <c r="BD96" s="531"/>
      <c r="BE96" s="531"/>
      <c r="BF96" s="531"/>
      <c r="BG96" s="531"/>
      <c r="BH96" s="531"/>
      <c r="BI96" s="531"/>
      <c r="BK96" s="531"/>
      <c r="BL96" s="531"/>
      <c r="BM96" s="531"/>
      <c r="BN96" s="531"/>
      <c r="BO96" s="531"/>
      <c r="BP96" s="531"/>
      <c r="BR96" s="531"/>
      <c r="BS96" s="531"/>
      <c r="BT96" s="531"/>
      <c r="BU96" s="531"/>
      <c r="BV96" s="531"/>
      <c r="BW96" s="531"/>
      <c r="BY96" s="531"/>
      <c r="BZ96" s="531"/>
      <c r="CA96" s="531"/>
      <c r="CB96" s="531"/>
      <c r="CC96" s="531"/>
      <c r="CD96" s="531"/>
      <c r="CF96" s="531"/>
      <c r="CG96" s="531"/>
      <c r="CH96" s="531"/>
      <c r="CI96" s="531"/>
      <c r="CJ96" s="531"/>
      <c r="CK96" s="531"/>
      <c r="CN96" s="531"/>
      <c r="CO96" s="531"/>
      <c r="CP96" s="531"/>
      <c r="CQ96" s="531"/>
      <c r="CR96" s="531"/>
      <c r="CS96" s="531"/>
    </row>
    <row r="97" spans="1:97" ht="16" x14ac:dyDescent="0.2">
      <c r="A97" s="531"/>
      <c r="B97" s="531"/>
      <c r="C97" s="818" t="s">
        <v>478</v>
      </c>
      <c r="D97" s="819"/>
      <c r="E97" s="819"/>
      <c r="F97" s="819"/>
      <c r="G97" s="819"/>
      <c r="H97" s="820"/>
      <c r="I97" s="77"/>
      <c r="J97" s="77"/>
      <c r="K97" s="818" t="s">
        <v>483</v>
      </c>
      <c r="L97" s="819"/>
      <c r="M97" s="819"/>
      <c r="N97" s="819"/>
      <c r="O97" s="819"/>
      <c r="P97" s="820"/>
      <c r="Q97" s="531"/>
      <c r="R97" s="531"/>
      <c r="S97" s="531"/>
      <c r="T97" s="818" t="s">
        <v>489</v>
      </c>
      <c r="U97" s="819"/>
      <c r="V97" s="819"/>
      <c r="W97" s="819"/>
      <c r="X97" s="819"/>
      <c r="Y97" s="820" t="s">
        <v>27</v>
      </c>
      <c r="Z97" s="531"/>
      <c r="AA97" s="531"/>
      <c r="AB97" s="818" t="s">
        <v>495</v>
      </c>
      <c r="AC97" s="819"/>
      <c r="AD97" s="819"/>
      <c r="AE97" s="819"/>
      <c r="AF97" s="819"/>
      <c r="AG97" s="820" t="s">
        <v>27</v>
      </c>
      <c r="AH97" s="531"/>
      <c r="AI97" s="818" t="s">
        <v>524</v>
      </c>
      <c r="AJ97" s="819"/>
      <c r="AK97" s="819"/>
      <c r="AL97" s="819"/>
      <c r="AM97" s="819"/>
      <c r="AN97" s="820" t="s">
        <v>27</v>
      </c>
      <c r="AP97" s="818" t="s">
        <v>517</v>
      </c>
      <c r="AQ97" s="819"/>
      <c r="AR97" s="819"/>
      <c r="AS97" s="819"/>
      <c r="AT97" s="819"/>
      <c r="AU97" s="820" t="s">
        <v>27</v>
      </c>
      <c r="AW97" s="818" t="s">
        <v>541</v>
      </c>
      <c r="AX97" s="819"/>
      <c r="AY97" s="819"/>
      <c r="AZ97" s="819"/>
      <c r="BA97" s="819"/>
      <c r="BB97" s="820" t="s">
        <v>27</v>
      </c>
      <c r="BD97" s="818" t="s">
        <v>551</v>
      </c>
      <c r="BE97" s="819"/>
      <c r="BF97" s="819"/>
      <c r="BG97" s="819"/>
      <c r="BH97" s="819"/>
      <c r="BI97" s="820" t="s">
        <v>27</v>
      </c>
      <c r="BK97" s="818" t="s">
        <v>568</v>
      </c>
      <c r="BL97" s="819"/>
      <c r="BM97" s="819"/>
      <c r="BN97" s="819"/>
      <c r="BO97" s="819"/>
      <c r="BP97" s="820" t="s">
        <v>27</v>
      </c>
      <c r="BR97" s="818" t="s">
        <v>564</v>
      </c>
      <c r="BS97" s="819"/>
      <c r="BT97" s="819"/>
      <c r="BU97" s="819"/>
      <c r="BV97" s="819"/>
      <c r="BW97" s="820" t="s">
        <v>27</v>
      </c>
      <c r="BY97" s="818" t="s">
        <v>581</v>
      </c>
      <c r="BZ97" s="819"/>
      <c r="CA97" s="819"/>
      <c r="CB97" s="819"/>
      <c r="CC97" s="819"/>
      <c r="CD97" s="820" t="s">
        <v>27</v>
      </c>
      <c r="CF97" s="818" t="s">
        <v>578</v>
      </c>
      <c r="CG97" s="819"/>
      <c r="CH97" s="819"/>
      <c r="CI97" s="819"/>
      <c r="CJ97" s="819"/>
      <c r="CK97" s="820" t="s">
        <v>27</v>
      </c>
      <c r="CN97" s="818" t="s">
        <v>621</v>
      </c>
      <c r="CO97" s="819"/>
      <c r="CP97" s="819"/>
      <c r="CQ97" s="819"/>
      <c r="CR97" s="819"/>
      <c r="CS97" s="820" t="s">
        <v>27</v>
      </c>
    </row>
    <row r="98" spans="1:97" ht="16" x14ac:dyDescent="0.2">
      <c r="A98" s="531"/>
      <c r="B98" s="531"/>
      <c r="C98" s="89" t="s">
        <v>25</v>
      </c>
      <c r="D98" s="77" t="s">
        <v>9</v>
      </c>
      <c r="E98" s="78" t="s">
        <v>106</v>
      </c>
      <c r="F98" s="78" t="s">
        <v>10</v>
      </c>
      <c r="G98" s="78" t="s">
        <v>11</v>
      </c>
      <c r="H98" s="533" t="s">
        <v>24</v>
      </c>
      <c r="I98" s="564"/>
      <c r="J98" s="564"/>
      <c r="K98" s="89" t="s">
        <v>25</v>
      </c>
      <c r="L98" s="77" t="s">
        <v>9</v>
      </c>
      <c r="M98" s="78" t="s">
        <v>106</v>
      </c>
      <c r="N98" s="78" t="s">
        <v>10</v>
      </c>
      <c r="O98" s="78" t="s">
        <v>11</v>
      </c>
      <c r="P98" s="533" t="s">
        <v>24</v>
      </c>
      <c r="Q98" s="531"/>
      <c r="R98" s="531"/>
      <c r="S98" s="531"/>
      <c r="T98" s="89" t="s">
        <v>28</v>
      </c>
      <c r="U98" s="77" t="s">
        <v>9</v>
      </c>
      <c r="V98" s="78" t="s">
        <v>106</v>
      </c>
      <c r="W98" s="78" t="s">
        <v>10</v>
      </c>
      <c r="X98" s="78" t="s">
        <v>11</v>
      </c>
      <c r="Y98" s="533" t="s">
        <v>27</v>
      </c>
      <c r="Z98" s="531"/>
      <c r="AA98" s="531"/>
      <c r="AB98" s="89" t="s">
        <v>28</v>
      </c>
      <c r="AC98" s="77" t="s">
        <v>9</v>
      </c>
      <c r="AD98" s="78" t="s">
        <v>106</v>
      </c>
      <c r="AE98" s="78" t="s">
        <v>10</v>
      </c>
      <c r="AF98" s="78" t="s">
        <v>11</v>
      </c>
      <c r="AG98" s="533" t="s">
        <v>27</v>
      </c>
      <c r="AH98" s="531"/>
      <c r="AI98" s="89" t="s">
        <v>28</v>
      </c>
      <c r="AJ98" s="77" t="s">
        <v>9</v>
      </c>
      <c r="AK98" s="78" t="s">
        <v>106</v>
      </c>
      <c r="AL98" s="78" t="s">
        <v>10</v>
      </c>
      <c r="AM98" s="78" t="s">
        <v>11</v>
      </c>
      <c r="AN98" s="533" t="s">
        <v>27</v>
      </c>
      <c r="AP98" s="89" t="s">
        <v>28</v>
      </c>
      <c r="AQ98" s="77" t="s">
        <v>9</v>
      </c>
      <c r="AR98" s="78" t="s">
        <v>106</v>
      </c>
      <c r="AS98" s="78" t="s">
        <v>10</v>
      </c>
      <c r="AT98" s="78" t="s">
        <v>11</v>
      </c>
      <c r="AU98" s="533" t="s">
        <v>27</v>
      </c>
      <c r="AW98" s="89" t="s">
        <v>28</v>
      </c>
      <c r="AX98" s="77" t="s">
        <v>9</v>
      </c>
      <c r="AY98" s="78" t="s">
        <v>106</v>
      </c>
      <c r="AZ98" s="78" t="s">
        <v>10</v>
      </c>
      <c r="BA98" s="78" t="s">
        <v>11</v>
      </c>
      <c r="BB98" s="533" t="s">
        <v>27</v>
      </c>
      <c r="BD98" s="89" t="s">
        <v>28</v>
      </c>
      <c r="BE98" s="77" t="s">
        <v>9</v>
      </c>
      <c r="BF98" s="78" t="s">
        <v>106</v>
      </c>
      <c r="BG98" s="78" t="s">
        <v>10</v>
      </c>
      <c r="BH98" s="78" t="s">
        <v>11</v>
      </c>
      <c r="BI98" s="533" t="s">
        <v>27</v>
      </c>
      <c r="BK98" s="89" t="s">
        <v>28</v>
      </c>
      <c r="BL98" s="77" t="s">
        <v>9</v>
      </c>
      <c r="BM98" s="78" t="s">
        <v>106</v>
      </c>
      <c r="BN98" s="78" t="s">
        <v>10</v>
      </c>
      <c r="BO98" s="78" t="s">
        <v>11</v>
      </c>
      <c r="BP98" s="533" t="s">
        <v>27</v>
      </c>
      <c r="BR98" s="89" t="s">
        <v>28</v>
      </c>
      <c r="BS98" s="77" t="s">
        <v>9</v>
      </c>
      <c r="BT98" s="78" t="s">
        <v>106</v>
      </c>
      <c r="BU98" s="78" t="s">
        <v>10</v>
      </c>
      <c r="BV98" s="78" t="s">
        <v>11</v>
      </c>
      <c r="BW98" s="533" t="s">
        <v>27</v>
      </c>
      <c r="BY98" s="89" t="s">
        <v>28</v>
      </c>
      <c r="BZ98" s="77" t="s">
        <v>9</v>
      </c>
      <c r="CA98" s="78" t="s">
        <v>106</v>
      </c>
      <c r="CB98" s="78" t="s">
        <v>10</v>
      </c>
      <c r="CC98" s="78" t="s">
        <v>11</v>
      </c>
      <c r="CD98" s="533" t="s">
        <v>27</v>
      </c>
      <c r="CF98" s="89" t="s">
        <v>28</v>
      </c>
      <c r="CG98" s="77" t="s">
        <v>9</v>
      </c>
      <c r="CH98" s="78" t="s">
        <v>106</v>
      </c>
      <c r="CI98" s="78" t="s">
        <v>10</v>
      </c>
      <c r="CJ98" s="78" t="s">
        <v>11</v>
      </c>
      <c r="CK98" s="533" t="s">
        <v>27</v>
      </c>
      <c r="CN98" s="89" t="s">
        <v>28</v>
      </c>
      <c r="CO98" s="77" t="s">
        <v>9</v>
      </c>
      <c r="CP98" s="78" t="s">
        <v>106</v>
      </c>
      <c r="CQ98" s="78" t="s">
        <v>10</v>
      </c>
      <c r="CR98" s="78" t="s">
        <v>11</v>
      </c>
      <c r="CS98" s="533" t="s">
        <v>27</v>
      </c>
    </row>
    <row r="99" spans="1:97" ht="16" x14ac:dyDescent="0.2">
      <c r="A99" s="531"/>
      <c r="B99" s="531"/>
      <c r="C99" s="534" t="s">
        <v>498</v>
      </c>
      <c r="D99" s="535"/>
      <c r="E99" s="535">
        <v>20</v>
      </c>
      <c r="F99" s="535">
        <f>(+'[2]Ca...'!E99+'[2]Ca...'!E105+'[2]Ca...'!E111)*1.05</f>
        <v>0</v>
      </c>
      <c r="G99" s="535"/>
      <c r="H99" s="536">
        <f>+SUM(D99:G99)</f>
        <v>20</v>
      </c>
      <c r="I99" s="565"/>
      <c r="J99" s="565"/>
      <c r="K99" s="534" t="s">
        <v>498</v>
      </c>
      <c r="L99" s="535"/>
      <c r="M99" s="535">
        <v>10</v>
      </c>
      <c r="N99" s="535"/>
      <c r="O99" s="535"/>
      <c r="P99" s="536">
        <f>+SUM(L99:O99)</f>
        <v>10</v>
      </c>
      <c r="Q99" s="531"/>
      <c r="R99" s="531"/>
      <c r="S99" s="531"/>
      <c r="T99" s="534" t="s">
        <v>498</v>
      </c>
      <c r="U99" s="535"/>
      <c r="V99" s="535">
        <v>20</v>
      </c>
      <c r="W99" s="535"/>
      <c r="X99" s="535"/>
      <c r="Y99" s="536">
        <f>+SUM(U99:X99)</f>
        <v>20</v>
      </c>
      <c r="Z99" s="531"/>
      <c r="AA99" s="531"/>
      <c r="AB99" s="534" t="s">
        <v>498</v>
      </c>
      <c r="AC99" s="535"/>
      <c r="AD99" s="535">
        <v>10</v>
      </c>
      <c r="AE99" s="535"/>
      <c r="AF99" s="535"/>
      <c r="AG99" s="536">
        <f>+SUM(AC99:AF99)</f>
        <v>10</v>
      </c>
      <c r="AH99" s="531"/>
      <c r="AI99" s="534" t="s">
        <v>615</v>
      </c>
      <c r="AJ99" s="535"/>
      <c r="AK99" s="535"/>
      <c r="AL99" s="535"/>
      <c r="AM99" s="535">
        <v>5</v>
      </c>
      <c r="AN99" s="536">
        <f>+SUM(AJ99:AM99)</f>
        <v>5</v>
      </c>
      <c r="AP99" s="534" t="s">
        <v>615</v>
      </c>
      <c r="AQ99" s="535"/>
      <c r="AR99" s="535"/>
      <c r="AS99" s="535"/>
      <c r="AT99" s="535">
        <v>10</v>
      </c>
      <c r="AU99" s="536">
        <f>+SUM(AQ99:AT99)</f>
        <v>10</v>
      </c>
      <c r="AW99" s="534" t="s">
        <v>615</v>
      </c>
      <c r="AX99" s="535">
        <v>10</v>
      </c>
      <c r="AY99" s="535"/>
      <c r="AZ99" s="535"/>
      <c r="BA99" s="535"/>
      <c r="BB99" s="536">
        <f>+SUM(AX99:BA99)</f>
        <v>10</v>
      </c>
      <c r="BD99" s="534" t="s">
        <v>615</v>
      </c>
      <c r="BE99" s="535">
        <v>5</v>
      </c>
      <c r="BF99" s="535"/>
      <c r="BG99" s="535"/>
      <c r="BH99" s="535"/>
      <c r="BI99" s="536">
        <f>+SUM(BE99:BH99)</f>
        <v>5</v>
      </c>
      <c r="BK99" s="534" t="s">
        <v>615</v>
      </c>
      <c r="BL99" s="535"/>
      <c r="BM99" s="535"/>
      <c r="BN99" s="535">
        <v>10</v>
      </c>
      <c r="BO99" s="535"/>
      <c r="BP99" s="536">
        <f>+SUM(BL99:BO99)</f>
        <v>10</v>
      </c>
      <c r="BR99" s="534" t="s">
        <v>615</v>
      </c>
      <c r="BS99" s="535"/>
      <c r="BT99" s="535"/>
      <c r="BU99" s="535">
        <v>5</v>
      </c>
      <c r="BV99" s="535"/>
      <c r="BW99" s="536">
        <f>+SUM(BS99:BV99)</f>
        <v>5</v>
      </c>
      <c r="BY99" s="534" t="s">
        <v>615</v>
      </c>
      <c r="BZ99" s="535"/>
      <c r="CA99" s="535"/>
      <c r="CB99" s="535"/>
      <c r="CC99" s="535">
        <v>10</v>
      </c>
      <c r="CD99" s="536">
        <f>+SUM(BZ99:CC99)</f>
        <v>10</v>
      </c>
      <c r="CF99" s="534" t="s">
        <v>615</v>
      </c>
      <c r="CG99" s="535"/>
      <c r="CH99" s="535"/>
      <c r="CI99" s="535"/>
      <c r="CJ99" s="535"/>
      <c r="CK99" s="536">
        <f>+SUM(CG99:CJ99)</f>
        <v>0</v>
      </c>
      <c r="CN99" s="534" t="s">
        <v>615</v>
      </c>
      <c r="CO99" s="535"/>
      <c r="CP99" s="535"/>
      <c r="CQ99" s="535"/>
      <c r="CR99" s="535"/>
      <c r="CS99" s="536">
        <f>+SUM(CO99:CR99)</f>
        <v>0</v>
      </c>
    </row>
    <row r="100" spans="1:97" ht="16" x14ac:dyDescent="0.2">
      <c r="A100" s="531"/>
      <c r="B100" s="531"/>
      <c r="C100" s="537" t="s">
        <v>503</v>
      </c>
      <c r="D100" s="538">
        <f>SUM(D77)*1.1</f>
        <v>364560.08706818189</v>
      </c>
      <c r="E100" s="538">
        <f>+D100</f>
        <v>364560.08706818189</v>
      </c>
      <c r="F100" s="538">
        <f>+E100</f>
        <v>364560.08706818189</v>
      </c>
      <c r="G100" s="538">
        <f>+F100</f>
        <v>364560.08706818189</v>
      </c>
      <c r="H100" s="540"/>
      <c r="I100" s="531"/>
      <c r="J100" s="531"/>
      <c r="K100" s="537" t="s">
        <v>503</v>
      </c>
      <c r="L100" s="538">
        <f>SUM(L77)*1.1</f>
        <v>396529.13070000004</v>
      </c>
      <c r="M100" s="538">
        <f>+L100</f>
        <v>396529.13070000004</v>
      </c>
      <c r="N100" s="538">
        <f>+M100</f>
        <v>396529.13070000004</v>
      </c>
      <c r="O100" s="538">
        <f>+N100</f>
        <v>396529.13070000004</v>
      </c>
      <c r="P100" s="540"/>
      <c r="Q100" s="531"/>
      <c r="R100" s="531"/>
      <c r="S100" s="531"/>
      <c r="T100" s="537" t="s">
        <v>505</v>
      </c>
      <c r="U100" s="538">
        <f>SUM(U77)</f>
        <v>497553.62563636375</v>
      </c>
      <c r="V100" s="538">
        <f>SUM(V77)</f>
        <v>497553.62563636375</v>
      </c>
      <c r="W100" s="538">
        <f>SUM(W77)</f>
        <v>497553.62563636375</v>
      </c>
      <c r="X100" s="538">
        <f>SUM(X77)</f>
        <v>497553.62563636375</v>
      </c>
      <c r="Y100" s="540"/>
      <c r="Z100" s="531"/>
      <c r="AA100" s="531"/>
      <c r="AB100" s="537" t="s">
        <v>503</v>
      </c>
      <c r="AC100" s="538">
        <f>SUM(AC77)</f>
        <v>168710.62684090913</v>
      </c>
      <c r="AD100" s="538">
        <f>SUM(AD77)</f>
        <v>168710.62684090913</v>
      </c>
      <c r="AE100" s="538">
        <f>SUM(AE77)</f>
        <v>168710.62684090913</v>
      </c>
      <c r="AF100" s="538">
        <f>SUM(AF77)</f>
        <v>168710.62684090913</v>
      </c>
      <c r="AG100" s="540"/>
      <c r="AH100" s="531"/>
      <c r="AI100" s="537" t="s">
        <v>503</v>
      </c>
      <c r="AJ100" s="538">
        <f>SUM(AJ77)</f>
        <v>1622901.9886363638</v>
      </c>
      <c r="AK100" s="538">
        <f>SUM(AK77)</f>
        <v>1622901.9886363638</v>
      </c>
      <c r="AL100" s="538">
        <f>SUM(AL77)</f>
        <v>1622901.9886363638</v>
      </c>
      <c r="AM100" s="538">
        <f>SUM(AM77)</f>
        <v>1622901.9886363638</v>
      </c>
      <c r="AN100" s="540"/>
      <c r="AP100" s="537" t="s">
        <v>503</v>
      </c>
      <c r="AQ100" s="538">
        <f>SUM(AQ77)</f>
        <v>223919.15809090904</v>
      </c>
      <c r="AR100" s="538">
        <f>SUM(AR77)</f>
        <v>223919.15809090904</v>
      </c>
      <c r="AS100" s="538">
        <f>SUM(AS77)</f>
        <v>223919.15809090904</v>
      </c>
      <c r="AT100" s="538">
        <f>SUM(AT77)</f>
        <v>223919.15809090904</v>
      </c>
      <c r="AU100" s="540"/>
      <c r="AW100" s="537" t="s">
        <v>503</v>
      </c>
      <c r="AX100" s="538">
        <f>SUM(AX77)</f>
        <v>986433.23863636365</v>
      </c>
      <c r="AY100" s="538">
        <f>SUM(AY77)</f>
        <v>986433.23863636365</v>
      </c>
      <c r="AZ100" s="538">
        <f>SUM(AZ77)</f>
        <v>986433.23863636365</v>
      </c>
      <c r="BA100" s="538">
        <f>SUM(BA77)</f>
        <v>986433.23863636365</v>
      </c>
      <c r="BB100" s="540"/>
      <c r="BD100" s="537" t="s">
        <v>503</v>
      </c>
      <c r="BE100" s="538">
        <f>SUM(BE77)</f>
        <v>3179077.4147727275</v>
      </c>
      <c r="BF100" s="538">
        <f>SUM(BF77)</f>
        <v>3179077.4147727275</v>
      </c>
      <c r="BG100" s="538">
        <f>SUM(BG77)</f>
        <v>3179077.4147727275</v>
      </c>
      <c r="BH100" s="538">
        <f>SUM(BH77)</f>
        <v>3179077.4147727275</v>
      </c>
      <c r="BI100" s="540"/>
      <c r="BK100" s="537" t="s">
        <v>503</v>
      </c>
      <c r="BL100" s="538">
        <f>SUM(BL77)</f>
        <v>3415186.7897727275</v>
      </c>
      <c r="BM100" s="538">
        <f>SUM(BM77)</f>
        <v>3415186.7897727275</v>
      </c>
      <c r="BN100" s="538">
        <f>SUM(BN77)</f>
        <v>3415186.7897727275</v>
      </c>
      <c r="BO100" s="538">
        <f>SUM(BO77)</f>
        <v>3415186.7897727275</v>
      </c>
      <c r="BP100" s="540"/>
      <c r="BR100" s="537" t="s">
        <v>503</v>
      </c>
      <c r="BS100" s="538">
        <f>SUM(BS77)</f>
        <v>1159204.8272727274</v>
      </c>
      <c r="BT100" s="538">
        <f>SUM(BT77)</f>
        <v>1159204.8272727274</v>
      </c>
      <c r="BU100" s="538">
        <f>SUM(BU77)</f>
        <v>1159204.8272727274</v>
      </c>
      <c r="BV100" s="538">
        <f>SUM(BV77)</f>
        <v>1159204.8272727274</v>
      </c>
      <c r="BW100" s="540"/>
      <c r="BY100" s="537" t="s">
        <v>503</v>
      </c>
      <c r="BZ100" s="538">
        <f>SUM(BZ77)</f>
        <v>603313.245</v>
      </c>
      <c r="CA100" s="538">
        <f>SUM(CA77)</f>
        <v>603313.245</v>
      </c>
      <c r="CB100" s="538">
        <f>SUM(CB77)</f>
        <v>603313.245</v>
      </c>
      <c r="CC100" s="538">
        <f>SUM(CC77)</f>
        <v>603313.245</v>
      </c>
      <c r="CD100" s="540"/>
      <c r="CF100" s="537" t="s">
        <v>503</v>
      </c>
      <c r="CG100" s="538">
        <f>SUM(CG77)</f>
        <v>1375000</v>
      </c>
      <c r="CH100" s="538">
        <f>SUM(CH77)</f>
        <v>1375000</v>
      </c>
      <c r="CI100" s="538">
        <f>SUM(CI77)</f>
        <v>1375000</v>
      </c>
      <c r="CJ100" s="538">
        <f>SUM(CJ77)</f>
        <v>1375000</v>
      </c>
      <c r="CK100" s="540"/>
      <c r="CN100" s="537" t="s">
        <v>503</v>
      </c>
      <c r="CO100" s="538">
        <f>SUM(CO77)</f>
        <v>660000</v>
      </c>
      <c r="CP100" s="538">
        <f>SUM(CP77)</f>
        <v>660000</v>
      </c>
      <c r="CQ100" s="538">
        <f>SUM(CQ77)</f>
        <v>660000</v>
      </c>
      <c r="CR100" s="538">
        <f>SUM(CR77)</f>
        <v>660000</v>
      </c>
      <c r="CS100" s="540"/>
    </row>
    <row r="101" spans="1:97" ht="16" x14ac:dyDescent="0.2">
      <c r="A101" s="531"/>
      <c r="B101" s="531"/>
      <c r="C101" s="95" t="s">
        <v>7</v>
      </c>
      <c r="D101" s="530">
        <f>+D100*D99</f>
        <v>0</v>
      </c>
      <c r="E101" s="530">
        <f>+E100*E99</f>
        <v>7291201.7413636381</v>
      </c>
      <c r="F101" s="541">
        <f>+F100*F99</f>
        <v>0</v>
      </c>
      <c r="G101" s="541">
        <f>+G100*G99</f>
        <v>0</v>
      </c>
      <c r="H101" s="540"/>
      <c r="I101" s="531"/>
      <c r="J101" s="531"/>
      <c r="K101" s="95" t="s">
        <v>7</v>
      </c>
      <c r="L101" s="530">
        <f>+L100*L99</f>
        <v>0</v>
      </c>
      <c r="M101" s="530">
        <f>+M100*M99</f>
        <v>3965291.3070000005</v>
      </c>
      <c r="N101" s="541">
        <f>+N100*N99</f>
        <v>0</v>
      </c>
      <c r="O101" s="541">
        <f>+O100*O99</f>
        <v>0</v>
      </c>
      <c r="P101" s="540"/>
      <c r="Q101" s="531"/>
      <c r="R101" s="531"/>
      <c r="S101" s="531"/>
      <c r="T101" s="95" t="s">
        <v>7</v>
      </c>
      <c r="U101" s="530">
        <f>+U100*U99</f>
        <v>0</v>
      </c>
      <c r="V101" s="530">
        <f>+V100*V99</f>
        <v>9951072.5127272755</v>
      </c>
      <c r="W101" s="541">
        <f>+W100*W99</f>
        <v>0</v>
      </c>
      <c r="X101" s="541">
        <f>+X100*X99</f>
        <v>0</v>
      </c>
      <c r="Y101" s="540"/>
      <c r="Z101" s="531"/>
      <c r="AA101" s="531"/>
      <c r="AB101" s="95" t="s">
        <v>7</v>
      </c>
      <c r="AC101" s="530">
        <f>+AC100*AC99</f>
        <v>0</v>
      </c>
      <c r="AD101" s="530">
        <f>+AD100*AD99</f>
        <v>1687106.2684090913</v>
      </c>
      <c r="AE101" s="541">
        <f>+AE100*AE99</f>
        <v>0</v>
      </c>
      <c r="AF101" s="541">
        <f>+AF100*AF99</f>
        <v>0</v>
      </c>
      <c r="AG101" s="540"/>
      <c r="AH101" s="531"/>
      <c r="AI101" s="95" t="s">
        <v>7</v>
      </c>
      <c r="AJ101" s="530">
        <f>+AJ100*AJ99</f>
        <v>0</v>
      </c>
      <c r="AK101" s="530">
        <f>+AK100*AK99</f>
        <v>0</v>
      </c>
      <c r="AL101" s="541">
        <f>+AL100*AL99</f>
        <v>0</v>
      </c>
      <c r="AM101" s="541">
        <f>+AM100*AM99</f>
        <v>8114509.9431818184</v>
      </c>
      <c r="AN101" s="540"/>
      <c r="AP101" s="95" t="s">
        <v>7</v>
      </c>
      <c r="AQ101" s="530">
        <f>+AQ100*AQ99</f>
        <v>0</v>
      </c>
      <c r="AR101" s="530">
        <f>+AR100*AR99</f>
        <v>0</v>
      </c>
      <c r="AS101" s="541">
        <f>+AS100*AS99</f>
        <v>0</v>
      </c>
      <c r="AT101" s="541">
        <f>+AT100*AT99</f>
        <v>2239191.5809090906</v>
      </c>
      <c r="AU101" s="540"/>
      <c r="AW101" s="95" t="s">
        <v>7</v>
      </c>
      <c r="AX101" s="530">
        <f>+AX100*AX99</f>
        <v>9864332.3863636367</v>
      </c>
      <c r="AY101" s="530">
        <f>+AY100*AY99</f>
        <v>0</v>
      </c>
      <c r="AZ101" s="541">
        <f>+AZ100*AZ99</f>
        <v>0</v>
      </c>
      <c r="BA101" s="541">
        <f>+BA100*BA99</f>
        <v>0</v>
      </c>
      <c r="BB101" s="540"/>
      <c r="BD101" s="95" t="s">
        <v>7</v>
      </c>
      <c r="BE101" s="530">
        <f>+BE100*BE99</f>
        <v>15895387.073863637</v>
      </c>
      <c r="BF101" s="530">
        <f>+BF100*BF99</f>
        <v>0</v>
      </c>
      <c r="BG101" s="541">
        <f>+BG100*BG99</f>
        <v>0</v>
      </c>
      <c r="BH101" s="541">
        <f>+BH100*BH99</f>
        <v>0</v>
      </c>
      <c r="BI101" s="540"/>
      <c r="BK101" s="95" t="s">
        <v>7</v>
      </c>
      <c r="BL101" s="530">
        <f>+BL100*BL99</f>
        <v>0</v>
      </c>
      <c r="BM101" s="530">
        <f>+BM100*BM99</f>
        <v>0</v>
      </c>
      <c r="BN101" s="541">
        <f>+BN100*BN99</f>
        <v>34151867.897727273</v>
      </c>
      <c r="BO101" s="541">
        <f>+BO100*BO99</f>
        <v>0</v>
      </c>
      <c r="BP101" s="540"/>
      <c r="BR101" s="95" t="s">
        <v>7</v>
      </c>
      <c r="BS101" s="530">
        <f>+BS100*BS99</f>
        <v>0</v>
      </c>
      <c r="BT101" s="530">
        <f>+BT100*BT99</f>
        <v>0</v>
      </c>
      <c r="BU101" s="541">
        <f>+BU100*BU99</f>
        <v>5796024.1363636367</v>
      </c>
      <c r="BV101" s="541">
        <f>+BV100*BV99</f>
        <v>0</v>
      </c>
      <c r="BW101" s="540"/>
      <c r="BY101" s="95" t="s">
        <v>7</v>
      </c>
      <c r="BZ101" s="530">
        <f>+BZ100*BZ99</f>
        <v>0</v>
      </c>
      <c r="CA101" s="530">
        <f>+CA100*CA99</f>
        <v>0</v>
      </c>
      <c r="CB101" s="541">
        <f>+CB100*CB99</f>
        <v>0</v>
      </c>
      <c r="CC101" s="541">
        <f>+CC100*CC99</f>
        <v>6033132.4500000002</v>
      </c>
      <c r="CD101" s="540"/>
      <c r="CF101" s="95" t="s">
        <v>7</v>
      </c>
      <c r="CG101" s="530">
        <f>+CG100*CG99</f>
        <v>0</v>
      </c>
      <c r="CH101" s="530">
        <f>+CH100*CH99</f>
        <v>0</v>
      </c>
      <c r="CI101" s="541">
        <f>+CI100*CI99</f>
        <v>0</v>
      </c>
      <c r="CJ101" s="541">
        <f>+CJ100*CJ99</f>
        <v>0</v>
      </c>
      <c r="CK101" s="540"/>
      <c r="CN101" s="95" t="s">
        <v>7</v>
      </c>
      <c r="CO101" s="530">
        <f>+CO100*CO99</f>
        <v>0</v>
      </c>
      <c r="CP101" s="530">
        <f>+CP100*CP99</f>
        <v>0</v>
      </c>
      <c r="CQ101" s="541">
        <f>+CQ100*CQ99</f>
        <v>0</v>
      </c>
      <c r="CR101" s="541">
        <f>+CR100*CR99</f>
        <v>0</v>
      </c>
      <c r="CS101" s="540"/>
    </row>
    <row r="102" spans="1:97" ht="16" x14ac:dyDescent="0.2">
      <c r="A102" s="531"/>
      <c r="B102" s="531"/>
      <c r="C102" s="542" t="s">
        <v>8</v>
      </c>
      <c r="D102" s="538">
        <f>+D101</f>
        <v>0</v>
      </c>
      <c r="E102" s="538">
        <f>+D102+E101</f>
        <v>7291201.7413636381</v>
      </c>
      <c r="F102" s="539">
        <f>+E102+F101</f>
        <v>7291201.7413636381</v>
      </c>
      <c r="G102" s="539">
        <f>+F102+G101</f>
        <v>7291201.7413636381</v>
      </c>
      <c r="H102" s="540"/>
      <c r="I102" s="531"/>
      <c r="J102" s="531"/>
      <c r="K102" s="542" t="s">
        <v>8</v>
      </c>
      <c r="L102" s="538">
        <f>+L101</f>
        <v>0</v>
      </c>
      <c r="M102" s="538">
        <f>+L102+M101</f>
        <v>3965291.3070000005</v>
      </c>
      <c r="N102" s="539">
        <f>+M102+N101</f>
        <v>3965291.3070000005</v>
      </c>
      <c r="O102" s="539">
        <f>+N102+O101</f>
        <v>3965291.3070000005</v>
      </c>
      <c r="P102" s="540"/>
      <c r="Q102" s="531"/>
      <c r="R102" s="531"/>
      <c r="S102" s="531"/>
      <c r="T102" s="542" t="s">
        <v>8</v>
      </c>
      <c r="U102" s="538">
        <f>+U101</f>
        <v>0</v>
      </c>
      <c r="V102" s="538">
        <f>+U102+V101</f>
        <v>9951072.5127272755</v>
      </c>
      <c r="W102" s="539">
        <f>+V102+W101</f>
        <v>9951072.5127272755</v>
      </c>
      <c r="X102" s="539">
        <f>+W102+X101</f>
        <v>9951072.5127272755</v>
      </c>
      <c r="Y102" s="540"/>
      <c r="Z102" s="531"/>
      <c r="AA102" s="531"/>
      <c r="AB102" s="542" t="s">
        <v>8</v>
      </c>
      <c r="AC102" s="538">
        <f>+AC101</f>
        <v>0</v>
      </c>
      <c r="AD102" s="538">
        <f>+AC102+AD101</f>
        <v>1687106.2684090913</v>
      </c>
      <c r="AE102" s="539">
        <f>+AD102+AE101</f>
        <v>1687106.2684090913</v>
      </c>
      <c r="AF102" s="539">
        <f>+AE102+AF101</f>
        <v>1687106.2684090913</v>
      </c>
      <c r="AG102" s="540"/>
      <c r="AH102" s="531"/>
      <c r="AI102" s="542" t="s">
        <v>8</v>
      </c>
      <c r="AJ102" s="538">
        <f>+AJ101</f>
        <v>0</v>
      </c>
      <c r="AK102" s="538">
        <f>+AJ102+AK101</f>
        <v>0</v>
      </c>
      <c r="AL102" s="539">
        <f>+AK102+AL101</f>
        <v>0</v>
      </c>
      <c r="AM102" s="539">
        <f>+AL102+AM101</f>
        <v>8114509.9431818184</v>
      </c>
      <c r="AN102" s="540"/>
      <c r="AP102" s="542" t="s">
        <v>8</v>
      </c>
      <c r="AQ102" s="538">
        <f>+AQ101</f>
        <v>0</v>
      </c>
      <c r="AR102" s="538">
        <f>+AQ102+AR101</f>
        <v>0</v>
      </c>
      <c r="AS102" s="539">
        <f>+AR102+AS101</f>
        <v>0</v>
      </c>
      <c r="AT102" s="539">
        <f>+AS102+AT101</f>
        <v>2239191.5809090906</v>
      </c>
      <c r="AU102" s="540"/>
      <c r="AW102" s="542" t="s">
        <v>8</v>
      </c>
      <c r="AX102" s="538">
        <f>+AX101</f>
        <v>9864332.3863636367</v>
      </c>
      <c r="AY102" s="538">
        <f>+AX102+AY101</f>
        <v>9864332.3863636367</v>
      </c>
      <c r="AZ102" s="539">
        <f>+AY102+AZ101</f>
        <v>9864332.3863636367</v>
      </c>
      <c r="BA102" s="539">
        <f>+AZ102+BA101</f>
        <v>9864332.3863636367</v>
      </c>
      <c r="BB102" s="540"/>
      <c r="BD102" s="542" t="s">
        <v>8</v>
      </c>
      <c r="BE102" s="538">
        <f>+BE101</f>
        <v>15895387.073863637</v>
      </c>
      <c r="BF102" s="538">
        <f>+BE102+BF101</f>
        <v>15895387.073863637</v>
      </c>
      <c r="BG102" s="539">
        <f>+BF102+BG101</f>
        <v>15895387.073863637</v>
      </c>
      <c r="BH102" s="539">
        <f>+BG102+BH101</f>
        <v>15895387.073863637</v>
      </c>
      <c r="BI102" s="540"/>
      <c r="BK102" s="542" t="s">
        <v>8</v>
      </c>
      <c r="BL102" s="538">
        <f>+BL101</f>
        <v>0</v>
      </c>
      <c r="BM102" s="538">
        <f>+BL102+BM101</f>
        <v>0</v>
      </c>
      <c r="BN102" s="539">
        <f>+BM102+BN101</f>
        <v>34151867.897727273</v>
      </c>
      <c r="BO102" s="539">
        <f>+BN102+BO101</f>
        <v>34151867.897727273</v>
      </c>
      <c r="BP102" s="540"/>
      <c r="BR102" s="542" t="s">
        <v>8</v>
      </c>
      <c r="BS102" s="538">
        <f>+BS101</f>
        <v>0</v>
      </c>
      <c r="BT102" s="538">
        <f>+BS102+BT101</f>
        <v>0</v>
      </c>
      <c r="BU102" s="539">
        <f>+BT102+BU101</f>
        <v>5796024.1363636367</v>
      </c>
      <c r="BV102" s="539">
        <f>+BU102+BV101</f>
        <v>5796024.1363636367</v>
      </c>
      <c r="BW102" s="540"/>
      <c r="BY102" s="542" t="s">
        <v>8</v>
      </c>
      <c r="BZ102" s="538">
        <f>+BZ101</f>
        <v>0</v>
      </c>
      <c r="CA102" s="538">
        <f>+BZ102+CA101</f>
        <v>0</v>
      </c>
      <c r="CB102" s="539">
        <f>+CA102+CB101</f>
        <v>0</v>
      </c>
      <c r="CC102" s="539">
        <f>+CB102+CC101</f>
        <v>6033132.4500000002</v>
      </c>
      <c r="CD102" s="540"/>
      <c r="CF102" s="542" t="s">
        <v>8</v>
      </c>
      <c r="CG102" s="538">
        <f>+CG101</f>
        <v>0</v>
      </c>
      <c r="CH102" s="538">
        <f>+CG102+CH101</f>
        <v>0</v>
      </c>
      <c r="CI102" s="539">
        <f>+CH102+CI101</f>
        <v>0</v>
      </c>
      <c r="CJ102" s="539">
        <f>+CI102+CJ101</f>
        <v>0</v>
      </c>
      <c r="CK102" s="540"/>
      <c r="CN102" s="542" t="s">
        <v>8</v>
      </c>
      <c r="CO102" s="538">
        <f>+CO101</f>
        <v>0</v>
      </c>
      <c r="CP102" s="538">
        <f>+CO102+CP101</f>
        <v>0</v>
      </c>
      <c r="CQ102" s="539">
        <f>+CP102+CQ101</f>
        <v>0</v>
      </c>
      <c r="CR102" s="539">
        <f>+CQ102+CR101</f>
        <v>0</v>
      </c>
      <c r="CS102" s="540"/>
    </row>
    <row r="103" spans="1:97" ht="16" x14ac:dyDescent="0.2">
      <c r="A103" s="531"/>
      <c r="B103" s="531"/>
      <c r="C103" s="543"/>
      <c r="D103" s="544"/>
      <c r="E103" s="544"/>
      <c r="F103" s="536"/>
      <c r="G103" s="536"/>
      <c r="H103" s="540"/>
      <c r="I103" s="531"/>
      <c r="J103" s="531"/>
      <c r="K103" s="543"/>
      <c r="L103" s="544"/>
      <c r="M103" s="544"/>
      <c r="N103" s="536"/>
      <c r="O103" s="536"/>
      <c r="P103" s="540"/>
      <c r="Q103" s="531"/>
      <c r="R103" s="531"/>
      <c r="S103" s="531"/>
      <c r="T103" s="543"/>
      <c r="U103" s="544"/>
      <c r="V103" s="544"/>
      <c r="W103" s="536"/>
      <c r="X103" s="536"/>
      <c r="Y103" s="540"/>
      <c r="Z103" s="531"/>
      <c r="AA103" s="531"/>
      <c r="AB103" s="543"/>
      <c r="AC103" s="544"/>
      <c r="AD103" s="544"/>
      <c r="AE103" s="536"/>
      <c r="AF103" s="536"/>
      <c r="AG103" s="540"/>
      <c r="AH103" s="531"/>
      <c r="AI103" s="543"/>
      <c r="AJ103" s="544"/>
      <c r="AK103" s="544"/>
      <c r="AL103" s="536"/>
      <c r="AM103" s="536"/>
      <c r="AN103" s="540"/>
      <c r="AP103" s="543"/>
      <c r="AQ103" s="544"/>
      <c r="AR103" s="544"/>
      <c r="AS103" s="536"/>
      <c r="AT103" s="536"/>
      <c r="AU103" s="540"/>
      <c r="AW103" s="543"/>
      <c r="AX103" s="544"/>
      <c r="AY103" s="544"/>
      <c r="AZ103" s="536"/>
      <c r="BA103" s="536"/>
      <c r="BB103" s="540"/>
      <c r="BD103" s="543"/>
      <c r="BE103" s="544"/>
      <c r="BF103" s="544"/>
      <c r="BG103" s="536"/>
      <c r="BH103" s="536"/>
      <c r="BI103" s="540"/>
      <c r="BK103" s="543"/>
      <c r="BL103" s="544"/>
      <c r="BM103" s="544"/>
      <c r="BN103" s="536"/>
      <c r="BO103" s="536"/>
      <c r="BP103" s="540"/>
      <c r="BR103" s="543"/>
      <c r="BS103" s="544"/>
      <c r="BT103" s="544"/>
      <c r="BU103" s="536"/>
      <c r="BV103" s="536"/>
      <c r="BW103" s="540"/>
      <c r="BY103" s="543"/>
      <c r="BZ103" s="544"/>
      <c r="CA103" s="544"/>
      <c r="CB103" s="536"/>
      <c r="CC103" s="536"/>
      <c r="CD103" s="540"/>
      <c r="CF103" s="543"/>
      <c r="CG103" s="544"/>
      <c r="CH103" s="544"/>
      <c r="CI103" s="536"/>
      <c r="CJ103" s="536"/>
      <c r="CK103" s="540"/>
      <c r="CN103" s="543"/>
      <c r="CO103" s="544"/>
      <c r="CP103" s="544"/>
      <c r="CQ103" s="536"/>
      <c r="CR103" s="536"/>
      <c r="CS103" s="540"/>
    </row>
    <row r="104" spans="1:97" ht="16" x14ac:dyDescent="0.2">
      <c r="A104" s="531"/>
      <c r="B104" s="531"/>
      <c r="C104" s="545" t="s">
        <v>420</v>
      </c>
      <c r="D104" s="544"/>
      <c r="E104" s="544"/>
      <c r="F104" s="536"/>
      <c r="G104" s="536"/>
      <c r="H104" s="540"/>
      <c r="I104" s="531"/>
      <c r="J104" s="531"/>
      <c r="K104" s="545" t="s">
        <v>420</v>
      </c>
      <c r="L104" s="544"/>
      <c r="M104" s="544"/>
      <c r="N104" s="536"/>
      <c r="O104" s="536"/>
      <c r="P104" s="540"/>
      <c r="Q104" s="531"/>
      <c r="R104" s="531"/>
      <c r="S104" s="531"/>
      <c r="T104" s="545" t="s">
        <v>419</v>
      </c>
      <c r="U104" s="544"/>
      <c r="V104" s="544"/>
      <c r="W104" s="536"/>
      <c r="X104" s="536"/>
      <c r="Y104" s="540"/>
      <c r="Z104" s="531"/>
      <c r="AA104" s="531"/>
      <c r="AB104" s="545" t="s">
        <v>419</v>
      </c>
      <c r="AC104" s="544"/>
      <c r="AD104" s="544"/>
      <c r="AE104" s="536"/>
      <c r="AF104" s="536"/>
      <c r="AG104" s="540"/>
      <c r="AH104" s="531"/>
      <c r="AI104" s="545" t="s">
        <v>419</v>
      </c>
      <c r="AJ104" s="544"/>
      <c r="AK104" s="544"/>
      <c r="AL104" s="536"/>
      <c r="AM104" s="536"/>
      <c r="AN104" s="540"/>
      <c r="AP104" s="545" t="s">
        <v>419</v>
      </c>
      <c r="AQ104" s="544"/>
      <c r="AR104" s="544"/>
      <c r="AS104" s="536"/>
      <c r="AT104" s="536"/>
      <c r="AU104" s="540"/>
      <c r="AW104" s="545" t="s">
        <v>419</v>
      </c>
      <c r="AX104" s="544"/>
      <c r="AY104" s="544"/>
      <c r="AZ104" s="536"/>
      <c r="BA104" s="536"/>
      <c r="BB104" s="540"/>
      <c r="BD104" s="545" t="s">
        <v>419</v>
      </c>
      <c r="BE104" s="544"/>
      <c r="BF104" s="544"/>
      <c r="BG104" s="536"/>
      <c r="BH104" s="536"/>
      <c r="BI104" s="540"/>
      <c r="BK104" s="545" t="s">
        <v>419</v>
      </c>
      <c r="BL104" s="544"/>
      <c r="BM104" s="544"/>
      <c r="BN104" s="536"/>
      <c r="BO104" s="536"/>
      <c r="BP104" s="540"/>
      <c r="BR104" s="545" t="s">
        <v>419</v>
      </c>
      <c r="BS104" s="544"/>
      <c r="BT104" s="544"/>
      <c r="BU104" s="536"/>
      <c r="BV104" s="536"/>
      <c r="BW104" s="540"/>
      <c r="BY104" s="545" t="s">
        <v>419</v>
      </c>
      <c r="BZ104" s="544"/>
      <c r="CA104" s="544"/>
      <c r="CB104" s="536"/>
      <c r="CC104" s="536"/>
      <c r="CD104" s="540"/>
      <c r="CF104" s="545" t="s">
        <v>616</v>
      </c>
      <c r="CG104" s="544"/>
      <c r="CH104" s="544"/>
      <c r="CI104" s="536"/>
      <c r="CJ104" s="536"/>
      <c r="CK104" s="540"/>
      <c r="CN104" s="545" t="s">
        <v>616</v>
      </c>
      <c r="CO104" s="544"/>
      <c r="CP104" s="544"/>
      <c r="CQ104" s="536"/>
      <c r="CR104" s="536"/>
      <c r="CS104" s="540"/>
    </row>
    <row r="105" spans="1:97" ht="16" x14ac:dyDescent="0.2">
      <c r="A105" s="531"/>
      <c r="B105" s="531"/>
      <c r="C105" s="537" t="s">
        <v>418</v>
      </c>
      <c r="D105" s="538">
        <f>+D99</f>
        <v>0</v>
      </c>
      <c r="E105" s="538">
        <f>+E99</f>
        <v>20</v>
      </c>
      <c r="F105" s="538">
        <f>+F99</f>
        <v>0</v>
      </c>
      <c r="G105" s="538">
        <f>+G99</f>
        <v>0</v>
      </c>
      <c r="H105" s="536"/>
      <c r="I105" s="565"/>
      <c r="J105" s="565"/>
      <c r="K105" s="537" t="s">
        <v>418</v>
      </c>
      <c r="L105" s="538">
        <f>+L99</f>
        <v>0</v>
      </c>
      <c r="M105" s="538">
        <f>+M99</f>
        <v>10</v>
      </c>
      <c r="N105" s="538">
        <f>+N99</f>
        <v>0</v>
      </c>
      <c r="O105" s="538">
        <f>+O99</f>
        <v>0</v>
      </c>
      <c r="P105" s="536"/>
      <c r="Q105" s="531"/>
      <c r="R105" s="531"/>
      <c r="S105" s="531"/>
      <c r="T105" s="537" t="s">
        <v>1</v>
      </c>
      <c r="U105" s="538">
        <f>+U99</f>
        <v>0</v>
      </c>
      <c r="V105" s="538">
        <f>+V99</f>
        <v>20</v>
      </c>
      <c r="W105" s="538">
        <f>+W99</f>
        <v>0</v>
      </c>
      <c r="X105" s="538">
        <f>+X99</f>
        <v>0</v>
      </c>
      <c r="Y105" s="536"/>
      <c r="Z105" s="531"/>
      <c r="AA105" s="531"/>
      <c r="AB105" s="537" t="s">
        <v>1</v>
      </c>
      <c r="AC105" s="538">
        <f>+AC99</f>
        <v>0</v>
      </c>
      <c r="AD105" s="538">
        <f>+AD99</f>
        <v>10</v>
      </c>
      <c r="AE105" s="538">
        <f>+AE99</f>
        <v>0</v>
      </c>
      <c r="AF105" s="538">
        <f>+AF99</f>
        <v>0</v>
      </c>
      <c r="AG105" s="536"/>
      <c r="AH105" s="531"/>
      <c r="AI105" s="537" t="s">
        <v>1</v>
      </c>
      <c r="AJ105" s="538">
        <f>+AJ99</f>
        <v>0</v>
      </c>
      <c r="AK105" s="538">
        <f>+AK99</f>
        <v>0</v>
      </c>
      <c r="AL105" s="538">
        <f>+AL99</f>
        <v>0</v>
      </c>
      <c r="AM105" s="538">
        <f>+AM99</f>
        <v>5</v>
      </c>
      <c r="AN105" s="536"/>
      <c r="AP105" s="537" t="s">
        <v>1</v>
      </c>
      <c r="AQ105" s="538">
        <f>+AQ99</f>
        <v>0</v>
      </c>
      <c r="AR105" s="538">
        <f>+AR99</f>
        <v>0</v>
      </c>
      <c r="AS105" s="538">
        <f>+AS99</f>
        <v>0</v>
      </c>
      <c r="AT105" s="538">
        <f>+AT99</f>
        <v>10</v>
      </c>
      <c r="AU105" s="536"/>
      <c r="AW105" s="537" t="s">
        <v>1</v>
      </c>
      <c r="AX105" s="538">
        <f>+AX99</f>
        <v>10</v>
      </c>
      <c r="AY105" s="538">
        <f>+AY99</f>
        <v>0</v>
      </c>
      <c r="AZ105" s="538">
        <f>+AZ99</f>
        <v>0</v>
      </c>
      <c r="BA105" s="538">
        <f>+BA99</f>
        <v>0</v>
      </c>
      <c r="BB105" s="536"/>
      <c r="BD105" s="537" t="s">
        <v>1</v>
      </c>
      <c r="BE105" s="538">
        <f>+BE99</f>
        <v>5</v>
      </c>
      <c r="BF105" s="538">
        <f>+BF99</f>
        <v>0</v>
      </c>
      <c r="BG105" s="538">
        <f>+BG99</f>
        <v>0</v>
      </c>
      <c r="BH105" s="538">
        <f>+BH99</f>
        <v>0</v>
      </c>
      <c r="BI105" s="536"/>
      <c r="BK105" s="537" t="s">
        <v>1</v>
      </c>
      <c r="BL105" s="538">
        <f>+BL99</f>
        <v>0</v>
      </c>
      <c r="BM105" s="538">
        <f>+BM99</f>
        <v>0</v>
      </c>
      <c r="BN105" s="538">
        <f>+BN99</f>
        <v>10</v>
      </c>
      <c r="BO105" s="538">
        <f>+BO99</f>
        <v>0</v>
      </c>
      <c r="BP105" s="536"/>
      <c r="BR105" s="537" t="s">
        <v>1</v>
      </c>
      <c r="BS105" s="538">
        <f>+BS99</f>
        <v>0</v>
      </c>
      <c r="BT105" s="538">
        <f>+BT99</f>
        <v>0</v>
      </c>
      <c r="BU105" s="538">
        <f>+BU99</f>
        <v>5</v>
      </c>
      <c r="BV105" s="538">
        <f>+BV99</f>
        <v>0</v>
      </c>
      <c r="BW105" s="536"/>
      <c r="BY105" s="537" t="s">
        <v>1</v>
      </c>
      <c r="BZ105" s="538">
        <f>+BZ99</f>
        <v>0</v>
      </c>
      <c r="CA105" s="538">
        <f>+CA99</f>
        <v>0</v>
      </c>
      <c r="CB105" s="538">
        <f>+CB99</f>
        <v>0</v>
      </c>
      <c r="CC105" s="538">
        <f>+CC99</f>
        <v>10</v>
      </c>
      <c r="CD105" s="536"/>
      <c r="CF105" s="537" t="s">
        <v>1</v>
      </c>
      <c r="CG105" s="538">
        <v>5</v>
      </c>
      <c r="CH105" s="538">
        <v>5</v>
      </c>
      <c r="CI105" s="538">
        <v>5</v>
      </c>
      <c r="CJ105" s="538">
        <v>5</v>
      </c>
      <c r="CK105" s="536"/>
      <c r="CN105" s="537" t="s">
        <v>1</v>
      </c>
      <c r="CO105" s="538"/>
      <c r="CP105" s="538"/>
      <c r="CQ105" s="538"/>
      <c r="CR105" s="538"/>
      <c r="CS105" s="536"/>
    </row>
    <row r="106" spans="1:97" ht="16" x14ac:dyDescent="0.2">
      <c r="A106" s="531"/>
      <c r="B106" s="531"/>
      <c r="C106" s="543" t="s">
        <v>0</v>
      </c>
      <c r="D106" s="567">
        <f>+D83*1.1</f>
        <v>42350</v>
      </c>
      <c r="E106" s="567">
        <f>+D106</f>
        <v>42350</v>
      </c>
      <c r="F106" s="567">
        <f>+E106</f>
        <v>42350</v>
      </c>
      <c r="G106" s="567">
        <f>+F106</f>
        <v>42350</v>
      </c>
      <c r="H106" s="540"/>
      <c r="I106" s="531"/>
      <c r="J106" s="531"/>
      <c r="K106" s="543" t="s">
        <v>0</v>
      </c>
      <c r="L106" s="567">
        <f>+L83*1.1</f>
        <v>42350</v>
      </c>
      <c r="M106" s="567">
        <f>+L106</f>
        <v>42350</v>
      </c>
      <c r="N106" s="567">
        <f>+M106</f>
        <v>42350</v>
      </c>
      <c r="O106" s="567">
        <f>+N106</f>
        <v>42350</v>
      </c>
      <c r="P106" s="540"/>
      <c r="Q106" s="531"/>
      <c r="R106" s="531"/>
      <c r="S106" s="531"/>
      <c r="T106" s="543" t="s">
        <v>0</v>
      </c>
      <c r="U106" s="567">
        <f>+X83*1.1</f>
        <v>42350</v>
      </c>
      <c r="V106" s="567">
        <f>+U106</f>
        <v>42350</v>
      </c>
      <c r="W106" s="567">
        <f>+V106</f>
        <v>42350</v>
      </c>
      <c r="X106" s="567">
        <f>+W106</f>
        <v>42350</v>
      </c>
      <c r="Y106" s="540"/>
      <c r="Z106" s="531"/>
      <c r="AA106" s="531"/>
      <c r="AB106" s="543" t="s">
        <v>0</v>
      </c>
      <c r="AC106" s="567">
        <f>+AF83*1.1</f>
        <v>42350</v>
      </c>
      <c r="AD106" s="567">
        <f>+AC106</f>
        <v>42350</v>
      </c>
      <c r="AE106" s="567">
        <f>+AD106</f>
        <v>42350</v>
      </c>
      <c r="AF106" s="567">
        <f>+AE106</f>
        <v>42350</v>
      </c>
      <c r="AG106" s="540"/>
      <c r="AH106" s="531"/>
      <c r="AI106" s="543" t="s">
        <v>0</v>
      </c>
      <c r="AJ106" s="567">
        <f>+AM83*1.1</f>
        <v>42350</v>
      </c>
      <c r="AK106" s="567">
        <f>+AJ106</f>
        <v>42350</v>
      </c>
      <c r="AL106" s="567">
        <f>+AK106</f>
        <v>42350</v>
      </c>
      <c r="AM106" s="567">
        <f>+AL106</f>
        <v>42350</v>
      </c>
      <c r="AN106" s="540"/>
      <c r="AP106" s="543" t="s">
        <v>0</v>
      </c>
      <c r="AQ106" s="567">
        <f>+AT83*1.1</f>
        <v>42350</v>
      </c>
      <c r="AR106" s="567">
        <f>+AQ106</f>
        <v>42350</v>
      </c>
      <c r="AS106" s="567">
        <f>+AR106</f>
        <v>42350</v>
      </c>
      <c r="AT106" s="567">
        <f>+AS106</f>
        <v>42350</v>
      </c>
      <c r="AU106" s="540"/>
      <c r="AW106" s="543" t="s">
        <v>0</v>
      </c>
      <c r="AX106" s="567">
        <f>+BA83*1.1</f>
        <v>42350</v>
      </c>
      <c r="AY106" s="567">
        <f>+AX106</f>
        <v>42350</v>
      </c>
      <c r="AZ106" s="567">
        <f>+AY106</f>
        <v>42350</v>
      </c>
      <c r="BA106" s="567">
        <f>+AZ106</f>
        <v>42350</v>
      </c>
      <c r="BB106" s="540"/>
      <c r="BD106" s="543" t="s">
        <v>0</v>
      </c>
      <c r="BE106" s="567">
        <f>+BH83*1.1</f>
        <v>42350</v>
      </c>
      <c r="BF106" s="567">
        <f>+BE106</f>
        <v>42350</v>
      </c>
      <c r="BG106" s="567">
        <f>+BF106</f>
        <v>42350</v>
      </c>
      <c r="BH106" s="567">
        <f>+BG106</f>
        <v>42350</v>
      </c>
      <c r="BI106" s="540"/>
      <c r="BK106" s="543" t="s">
        <v>0</v>
      </c>
      <c r="BL106" s="567">
        <f>+BO83*1.1</f>
        <v>42350</v>
      </c>
      <c r="BM106" s="567">
        <f>+BL106</f>
        <v>42350</v>
      </c>
      <c r="BN106" s="567">
        <f>+BM106</f>
        <v>42350</v>
      </c>
      <c r="BO106" s="567">
        <f>+BN106</f>
        <v>42350</v>
      </c>
      <c r="BP106" s="540"/>
      <c r="BR106" s="543" t="s">
        <v>0</v>
      </c>
      <c r="BS106" s="567">
        <f>+BV83*1.1</f>
        <v>42350</v>
      </c>
      <c r="BT106" s="567">
        <f>+BS106</f>
        <v>42350</v>
      </c>
      <c r="BU106" s="567">
        <f>+BT106</f>
        <v>42350</v>
      </c>
      <c r="BV106" s="567">
        <f>+BU106</f>
        <v>42350</v>
      </c>
      <c r="BW106" s="540"/>
      <c r="BY106" s="543" t="s">
        <v>0</v>
      </c>
      <c r="BZ106" s="567">
        <f>+CC83*1.1</f>
        <v>42350</v>
      </c>
      <c r="CA106" s="567">
        <f>+BZ106</f>
        <v>42350</v>
      </c>
      <c r="CB106" s="567">
        <f>+CA106</f>
        <v>42350</v>
      </c>
      <c r="CC106" s="567">
        <f>+CB106</f>
        <v>42350</v>
      </c>
      <c r="CD106" s="540"/>
      <c r="CF106" s="543" t="s">
        <v>0</v>
      </c>
      <c r="CG106" s="567">
        <f>+CJ83*1.1</f>
        <v>217800.00000000006</v>
      </c>
      <c r="CH106" s="567">
        <f>+CG106</f>
        <v>217800.00000000006</v>
      </c>
      <c r="CI106" s="567">
        <f>+CH106</f>
        <v>217800.00000000006</v>
      </c>
      <c r="CJ106" s="567">
        <f>+CI106</f>
        <v>217800.00000000006</v>
      </c>
      <c r="CK106" s="540"/>
      <c r="CN106" s="543" t="s">
        <v>0</v>
      </c>
      <c r="CO106" s="567">
        <f>+CR83*1.1</f>
        <v>217800.00000000006</v>
      </c>
      <c r="CP106" s="567">
        <f>+CO106</f>
        <v>217800.00000000006</v>
      </c>
      <c r="CQ106" s="567">
        <f>+CP106</f>
        <v>217800.00000000006</v>
      </c>
      <c r="CR106" s="567">
        <f>+CQ106</f>
        <v>217800.00000000006</v>
      </c>
      <c r="CS106" s="540"/>
    </row>
    <row r="107" spans="1:97" ht="16" x14ac:dyDescent="0.2">
      <c r="A107" s="531"/>
      <c r="B107" s="531"/>
      <c r="C107" s="546" t="s">
        <v>7</v>
      </c>
      <c r="D107" s="538">
        <f>+D106*D105</f>
        <v>0</v>
      </c>
      <c r="E107" s="538">
        <f>+E106*E105</f>
        <v>847000</v>
      </c>
      <c r="F107" s="539">
        <f>+F106*F105</f>
        <v>0</v>
      </c>
      <c r="G107" s="539">
        <f>+G106*G105</f>
        <v>0</v>
      </c>
      <c r="H107" s="540"/>
      <c r="I107" s="531"/>
      <c r="J107" s="531"/>
      <c r="K107" s="546" t="s">
        <v>7</v>
      </c>
      <c r="L107" s="538">
        <f>+L106*L105</f>
        <v>0</v>
      </c>
      <c r="M107" s="538">
        <f>+M106*M105</f>
        <v>423500</v>
      </c>
      <c r="N107" s="539">
        <f>+N106*N105</f>
        <v>0</v>
      </c>
      <c r="O107" s="539">
        <f>+O106*O105</f>
        <v>0</v>
      </c>
      <c r="P107" s="540"/>
      <c r="Q107" s="531"/>
      <c r="R107" s="531"/>
      <c r="S107" s="531"/>
      <c r="T107" s="546" t="s">
        <v>7</v>
      </c>
      <c r="U107" s="538">
        <f>+U106*U105</f>
        <v>0</v>
      </c>
      <c r="V107" s="538">
        <f>+V106*V105</f>
        <v>847000</v>
      </c>
      <c r="W107" s="539">
        <f>+W106*W105</f>
        <v>0</v>
      </c>
      <c r="X107" s="539">
        <f>+X106*X105</f>
        <v>0</v>
      </c>
      <c r="Y107" s="540"/>
      <c r="Z107" s="531"/>
      <c r="AA107" s="531"/>
      <c r="AB107" s="546" t="s">
        <v>7</v>
      </c>
      <c r="AC107" s="538">
        <f>+AC106*AC105</f>
        <v>0</v>
      </c>
      <c r="AD107" s="538">
        <f>+AD106*AD105</f>
        <v>423500</v>
      </c>
      <c r="AE107" s="539">
        <f>+AE106*AE105</f>
        <v>0</v>
      </c>
      <c r="AF107" s="539">
        <f>+AF106*AF105</f>
        <v>0</v>
      </c>
      <c r="AG107" s="540"/>
      <c r="AH107" s="531"/>
      <c r="AI107" s="546" t="s">
        <v>7</v>
      </c>
      <c r="AJ107" s="538">
        <f>+AJ106*AJ105</f>
        <v>0</v>
      </c>
      <c r="AK107" s="538">
        <f>+AK106*AK105</f>
        <v>0</v>
      </c>
      <c r="AL107" s="539">
        <f>+AL106*AL105</f>
        <v>0</v>
      </c>
      <c r="AM107" s="539">
        <f>+AM106*AM105</f>
        <v>211750</v>
      </c>
      <c r="AN107" s="540"/>
      <c r="AP107" s="546" t="s">
        <v>7</v>
      </c>
      <c r="AQ107" s="538">
        <f>+AQ106*AQ105</f>
        <v>0</v>
      </c>
      <c r="AR107" s="538">
        <f>+AR106*AR105</f>
        <v>0</v>
      </c>
      <c r="AS107" s="539">
        <f>+AS106*AS105</f>
        <v>0</v>
      </c>
      <c r="AT107" s="539">
        <f>+AT106*AT105</f>
        <v>423500</v>
      </c>
      <c r="AU107" s="540"/>
      <c r="AW107" s="546" t="s">
        <v>7</v>
      </c>
      <c r="AX107" s="538">
        <f>+AX106*AX105</f>
        <v>423500</v>
      </c>
      <c r="AY107" s="538">
        <f>+AY106*AY105</f>
        <v>0</v>
      </c>
      <c r="AZ107" s="539">
        <f>+AZ106*AZ105</f>
        <v>0</v>
      </c>
      <c r="BA107" s="539">
        <f>+BA106*BA105</f>
        <v>0</v>
      </c>
      <c r="BB107" s="540"/>
      <c r="BD107" s="546" t="s">
        <v>7</v>
      </c>
      <c r="BE107" s="538">
        <f>+BE106*BE105</f>
        <v>211750</v>
      </c>
      <c r="BF107" s="538">
        <f>+BF106*BF105</f>
        <v>0</v>
      </c>
      <c r="BG107" s="539">
        <f>+BG106*BG105</f>
        <v>0</v>
      </c>
      <c r="BH107" s="539">
        <f>+BH106*BH105</f>
        <v>0</v>
      </c>
      <c r="BI107" s="540"/>
      <c r="BK107" s="546" t="s">
        <v>7</v>
      </c>
      <c r="BL107" s="538">
        <f>+BL106*BL105</f>
        <v>0</v>
      </c>
      <c r="BM107" s="538">
        <f>+BM106*BM105</f>
        <v>0</v>
      </c>
      <c r="BN107" s="539">
        <f>+BN106*BN105</f>
        <v>423500</v>
      </c>
      <c r="BO107" s="539">
        <f>+BO106*BO105</f>
        <v>0</v>
      </c>
      <c r="BP107" s="540"/>
      <c r="BR107" s="546" t="s">
        <v>7</v>
      </c>
      <c r="BS107" s="538">
        <f>+BS106*BS105</f>
        <v>0</v>
      </c>
      <c r="BT107" s="538">
        <f>+BT106*BT105</f>
        <v>0</v>
      </c>
      <c r="BU107" s="539">
        <f>+BU106*BU105</f>
        <v>211750</v>
      </c>
      <c r="BV107" s="539">
        <f>+BV106*BV105</f>
        <v>0</v>
      </c>
      <c r="BW107" s="540"/>
      <c r="BY107" s="546" t="s">
        <v>7</v>
      </c>
      <c r="BZ107" s="538">
        <f>+BZ106*BZ105</f>
        <v>0</v>
      </c>
      <c r="CA107" s="538">
        <f>+CA106*CA105</f>
        <v>0</v>
      </c>
      <c r="CB107" s="539">
        <f>+CB106*CB105</f>
        <v>0</v>
      </c>
      <c r="CC107" s="539">
        <f>+CC106*CC105</f>
        <v>423500</v>
      </c>
      <c r="CD107" s="540"/>
      <c r="CF107" s="546" t="s">
        <v>7</v>
      </c>
      <c r="CG107" s="538">
        <f>+CG106*CG105</f>
        <v>1089000.0000000002</v>
      </c>
      <c r="CH107" s="538">
        <f>+CH106*CH105</f>
        <v>1089000.0000000002</v>
      </c>
      <c r="CI107" s="539">
        <f>+CI106*CI105</f>
        <v>1089000.0000000002</v>
      </c>
      <c r="CJ107" s="539">
        <f>+CJ106*CJ105</f>
        <v>1089000.0000000002</v>
      </c>
      <c r="CK107" s="540"/>
      <c r="CN107" s="546" t="s">
        <v>7</v>
      </c>
      <c r="CO107" s="538">
        <f>+CO106*CO105</f>
        <v>0</v>
      </c>
      <c r="CP107" s="538">
        <f>+CP106*CP105</f>
        <v>0</v>
      </c>
      <c r="CQ107" s="539">
        <f>+CQ106*CQ105</f>
        <v>0</v>
      </c>
      <c r="CR107" s="539">
        <f>+CR106*CR105</f>
        <v>0</v>
      </c>
      <c r="CS107" s="540"/>
    </row>
    <row r="108" spans="1:97" ht="16" x14ac:dyDescent="0.2">
      <c r="A108" s="531"/>
      <c r="B108" s="531"/>
      <c r="C108" s="547" t="s">
        <v>8</v>
      </c>
      <c r="D108" s="548">
        <f>+D107</f>
        <v>0</v>
      </c>
      <c r="E108" s="548">
        <f>+D108+E107</f>
        <v>847000</v>
      </c>
      <c r="F108" s="549">
        <f>+E108+F107</f>
        <v>847000</v>
      </c>
      <c r="G108" s="549">
        <f>+F108+G107</f>
        <v>847000</v>
      </c>
      <c r="H108" s="540"/>
      <c r="I108" s="531"/>
      <c r="J108" s="531"/>
      <c r="K108" s="547" t="s">
        <v>8</v>
      </c>
      <c r="L108" s="548">
        <f>+L107</f>
        <v>0</v>
      </c>
      <c r="M108" s="548">
        <f>+L108+M107</f>
        <v>423500</v>
      </c>
      <c r="N108" s="549">
        <f>+M108+N107</f>
        <v>423500</v>
      </c>
      <c r="O108" s="549">
        <f>+N108+O107</f>
        <v>423500</v>
      </c>
      <c r="P108" s="540"/>
      <c r="Q108" s="531"/>
      <c r="R108" s="531"/>
      <c r="S108" s="531"/>
      <c r="T108" s="547" t="s">
        <v>8</v>
      </c>
      <c r="U108" s="548">
        <f>+U107</f>
        <v>0</v>
      </c>
      <c r="V108" s="548">
        <f>+U108+V107</f>
        <v>847000</v>
      </c>
      <c r="W108" s="549">
        <f>+V108+W107</f>
        <v>847000</v>
      </c>
      <c r="X108" s="549">
        <f>+W108+X107</f>
        <v>847000</v>
      </c>
      <c r="Y108" s="540"/>
      <c r="Z108" s="531"/>
      <c r="AA108" s="531"/>
      <c r="AB108" s="547" t="s">
        <v>8</v>
      </c>
      <c r="AC108" s="548">
        <f>+AC107</f>
        <v>0</v>
      </c>
      <c r="AD108" s="548">
        <f>+AC108+AD107</f>
        <v>423500</v>
      </c>
      <c r="AE108" s="549">
        <f>+AD108+AE107</f>
        <v>423500</v>
      </c>
      <c r="AF108" s="549">
        <f>+AE108+AF107</f>
        <v>423500</v>
      </c>
      <c r="AG108" s="540"/>
      <c r="AH108" s="531"/>
      <c r="AI108" s="547" t="s">
        <v>8</v>
      </c>
      <c r="AJ108" s="548">
        <f>+AJ107</f>
        <v>0</v>
      </c>
      <c r="AK108" s="548">
        <f>+AJ108+AK107</f>
        <v>0</v>
      </c>
      <c r="AL108" s="549">
        <f>+AK108+AL107</f>
        <v>0</v>
      </c>
      <c r="AM108" s="549">
        <f>+AL108+AM107</f>
        <v>211750</v>
      </c>
      <c r="AN108" s="540"/>
      <c r="AP108" s="547" t="s">
        <v>8</v>
      </c>
      <c r="AQ108" s="548">
        <f>+AQ107</f>
        <v>0</v>
      </c>
      <c r="AR108" s="548">
        <f>+AQ108+AR107</f>
        <v>0</v>
      </c>
      <c r="AS108" s="549">
        <f>+AR108+AS107</f>
        <v>0</v>
      </c>
      <c r="AT108" s="549">
        <f>+AS108+AT107</f>
        <v>423500</v>
      </c>
      <c r="AU108" s="540"/>
      <c r="AW108" s="547" t="s">
        <v>8</v>
      </c>
      <c r="AX108" s="548">
        <f>+AX107</f>
        <v>423500</v>
      </c>
      <c r="AY108" s="548">
        <f>+AX108+AY107</f>
        <v>423500</v>
      </c>
      <c r="AZ108" s="549">
        <f>+AY108+AZ107</f>
        <v>423500</v>
      </c>
      <c r="BA108" s="549">
        <f>+AZ108+BA107</f>
        <v>423500</v>
      </c>
      <c r="BB108" s="540"/>
      <c r="BD108" s="547" t="s">
        <v>8</v>
      </c>
      <c r="BE108" s="548">
        <f>+BE107</f>
        <v>211750</v>
      </c>
      <c r="BF108" s="548">
        <f>+BE108+BF107</f>
        <v>211750</v>
      </c>
      <c r="BG108" s="549">
        <f>+BF108+BG107</f>
        <v>211750</v>
      </c>
      <c r="BH108" s="549">
        <f>+BG108+BH107</f>
        <v>211750</v>
      </c>
      <c r="BI108" s="540"/>
      <c r="BK108" s="547" t="s">
        <v>8</v>
      </c>
      <c r="BL108" s="548">
        <f>+BL107</f>
        <v>0</v>
      </c>
      <c r="BM108" s="548">
        <f>+BL108+BM107</f>
        <v>0</v>
      </c>
      <c r="BN108" s="549">
        <f>+BM108+BN107</f>
        <v>423500</v>
      </c>
      <c r="BO108" s="549">
        <f>+BN108+BO107</f>
        <v>423500</v>
      </c>
      <c r="BP108" s="540"/>
      <c r="BR108" s="547" t="s">
        <v>8</v>
      </c>
      <c r="BS108" s="548">
        <f>+BS107</f>
        <v>0</v>
      </c>
      <c r="BT108" s="548">
        <f>+BS108+BT107</f>
        <v>0</v>
      </c>
      <c r="BU108" s="549">
        <f>+BT108+BU107</f>
        <v>211750</v>
      </c>
      <c r="BV108" s="549">
        <f>+BU108+BV107</f>
        <v>211750</v>
      </c>
      <c r="BW108" s="540"/>
      <c r="BY108" s="547" t="s">
        <v>8</v>
      </c>
      <c r="BZ108" s="548">
        <f>+BZ107</f>
        <v>0</v>
      </c>
      <c r="CA108" s="548">
        <f>+BZ108+CA107</f>
        <v>0</v>
      </c>
      <c r="CB108" s="549">
        <f>+CA108+CB107</f>
        <v>0</v>
      </c>
      <c r="CC108" s="549">
        <f>+CB108+CC107</f>
        <v>423500</v>
      </c>
      <c r="CD108" s="540"/>
      <c r="CF108" s="547" t="s">
        <v>8</v>
      </c>
      <c r="CG108" s="548">
        <f>+CG107</f>
        <v>1089000.0000000002</v>
      </c>
      <c r="CH108" s="548">
        <f>+CG108+CH107</f>
        <v>2178000.0000000005</v>
      </c>
      <c r="CI108" s="549">
        <f>+CH108+CI107</f>
        <v>3267000.0000000009</v>
      </c>
      <c r="CJ108" s="549">
        <f>+CI108+CJ107</f>
        <v>4356000.0000000009</v>
      </c>
      <c r="CK108" s="540"/>
      <c r="CN108" s="547" t="s">
        <v>8</v>
      </c>
      <c r="CO108" s="548">
        <f>+CO107</f>
        <v>0</v>
      </c>
      <c r="CP108" s="548">
        <f>+CO108+CP107</f>
        <v>0</v>
      </c>
      <c r="CQ108" s="549">
        <f>+CP108+CQ107</f>
        <v>0</v>
      </c>
      <c r="CR108" s="549">
        <f>+CQ108+CR107</f>
        <v>0</v>
      </c>
      <c r="CS108" s="540"/>
    </row>
    <row r="109" spans="1:97" ht="16" x14ac:dyDescent="0.2">
      <c r="A109" s="531"/>
      <c r="B109" s="531"/>
      <c r="C109" s="543"/>
      <c r="D109" s="544"/>
      <c r="E109" s="544"/>
      <c r="F109" s="536"/>
      <c r="G109" s="536"/>
      <c r="H109" s="540"/>
      <c r="I109" s="531"/>
      <c r="J109" s="531"/>
      <c r="K109" s="543"/>
      <c r="L109" s="544"/>
      <c r="M109" s="544"/>
      <c r="N109" s="536"/>
      <c r="O109" s="536"/>
      <c r="P109" s="540"/>
      <c r="Q109" s="531"/>
      <c r="R109" s="531"/>
      <c r="S109" s="531"/>
      <c r="T109" s="543"/>
      <c r="U109" s="544"/>
      <c r="V109" s="544"/>
      <c r="W109" s="536"/>
      <c r="X109" s="536"/>
      <c r="Y109" s="540"/>
      <c r="Z109" s="531"/>
      <c r="AA109" s="531"/>
      <c r="AB109" s="543"/>
      <c r="AC109" s="544"/>
      <c r="AD109" s="544"/>
      <c r="AE109" s="536"/>
      <c r="AF109" s="536"/>
      <c r="AG109" s="540"/>
      <c r="AH109" s="531"/>
      <c r="AI109" s="543"/>
      <c r="AJ109" s="544"/>
      <c r="AK109" s="544"/>
      <c r="AL109" s="536"/>
      <c r="AM109" s="536"/>
      <c r="AN109" s="540"/>
      <c r="AP109" s="543"/>
      <c r="AQ109" s="544"/>
      <c r="AR109" s="544"/>
      <c r="AS109" s="536"/>
      <c r="AT109" s="536"/>
      <c r="AU109" s="540"/>
      <c r="AW109" s="543"/>
      <c r="AX109" s="544"/>
      <c r="AY109" s="544"/>
      <c r="AZ109" s="536"/>
      <c r="BA109" s="536"/>
      <c r="BB109" s="540"/>
      <c r="BD109" s="543"/>
      <c r="BE109" s="544"/>
      <c r="BF109" s="544"/>
      <c r="BG109" s="536"/>
      <c r="BH109" s="536"/>
      <c r="BI109" s="540"/>
      <c r="BK109" s="543"/>
      <c r="BL109" s="544"/>
      <c r="BM109" s="544"/>
      <c r="BN109" s="536"/>
      <c r="BO109" s="536"/>
      <c r="BP109" s="540"/>
      <c r="BR109" s="543"/>
      <c r="BS109" s="544"/>
      <c r="BT109" s="544"/>
      <c r="BU109" s="536"/>
      <c r="BV109" s="536"/>
      <c r="BW109" s="540"/>
      <c r="BY109" s="543"/>
      <c r="BZ109" s="544"/>
      <c r="CA109" s="544"/>
      <c r="CB109" s="536"/>
      <c r="CC109" s="536"/>
      <c r="CD109" s="540"/>
      <c r="CF109" s="543"/>
      <c r="CG109" s="544"/>
      <c r="CH109" s="544"/>
      <c r="CI109" s="536"/>
      <c r="CJ109" s="536"/>
      <c r="CK109" s="540"/>
      <c r="CN109" s="543"/>
      <c r="CO109" s="544"/>
      <c r="CP109" s="544"/>
      <c r="CQ109" s="536"/>
      <c r="CR109" s="536"/>
      <c r="CS109" s="540"/>
    </row>
    <row r="110" spans="1:97" ht="16" x14ac:dyDescent="0.2">
      <c r="A110" s="531"/>
      <c r="B110" s="531"/>
      <c r="C110" s="545" t="s">
        <v>501</v>
      </c>
      <c r="D110" s="566">
        <f>SUM(D87)*1.1</f>
        <v>30250.000000000007</v>
      </c>
      <c r="E110" s="566">
        <f>+D110</f>
        <v>30250.000000000007</v>
      </c>
      <c r="F110" s="566">
        <f>+E110</f>
        <v>30250.000000000007</v>
      </c>
      <c r="G110" s="566">
        <f>+F110</f>
        <v>30250.000000000007</v>
      </c>
      <c r="H110" s="540"/>
      <c r="I110" s="531"/>
      <c r="J110" s="531"/>
      <c r="K110" s="545" t="s">
        <v>501</v>
      </c>
      <c r="L110" s="566">
        <f>SUM(L87)*1.1</f>
        <v>30250.000000000007</v>
      </c>
      <c r="M110" s="566">
        <f>+L110</f>
        <v>30250.000000000007</v>
      </c>
      <c r="N110" s="566">
        <f>+M110</f>
        <v>30250.000000000007</v>
      </c>
      <c r="O110" s="566">
        <f>+N110</f>
        <v>30250.000000000007</v>
      </c>
      <c r="P110" s="540"/>
      <c r="Q110" s="531"/>
      <c r="R110" s="531"/>
      <c r="S110" s="531"/>
      <c r="T110" s="545" t="s">
        <v>501</v>
      </c>
      <c r="U110" s="566">
        <f>+D110</f>
        <v>30250.000000000007</v>
      </c>
      <c r="V110" s="566">
        <f>+U110</f>
        <v>30250.000000000007</v>
      </c>
      <c r="W110" s="566">
        <f>+V110</f>
        <v>30250.000000000007</v>
      </c>
      <c r="X110" s="566">
        <f>+W110</f>
        <v>30250.000000000007</v>
      </c>
      <c r="Y110" s="540"/>
      <c r="Z110" s="531"/>
      <c r="AA110" s="531"/>
      <c r="AB110" s="545" t="s">
        <v>501</v>
      </c>
      <c r="AC110" s="566">
        <f>+L110</f>
        <v>30250.000000000007</v>
      </c>
      <c r="AD110" s="566">
        <f>+AC110</f>
        <v>30250.000000000007</v>
      </c>
      <c r="AE110" s="566">
        <f>+AD110</f>
        <v>30250.000000000007</v>
      </c>
      <c r="AF110" s="566">
        <f>+AE110</f>
        <v>30250.000000000007</v>
      </c>
      <c r="AG110" s="540"/>
      <c r="AH110" s="531"/>
      <c r="AI110" s="545" t="s">
        <v>501</v>
      </c>
      <c r="AJ110" s="566">
        <f>SUM(AJ87)*1.1</f>
        <v>30250.000000000007</v>
      </c>
      <c r="AK110" s="566">
        <f>+AJ110</f>
        <v>30250.000000000007</v>
      </c>
      <c r="AL110" s="566">
        <f>+AK110</f>
        <v>30250.000000000007</v>
      </c>
      <c r="AM110" s="566">
        <f>+AL110</f>
        <v>30250.000000000007</v>
      </c>
      <c r="AN110" s="540"/>
      <c r="AP110" s="545" t="s">
        <v>501</v>
      </c>
      <c r="AQ110" s="566">
        <f>SUM(AQ87)*1.1</f>
        <v>30250.000000000007</v>
      </c>
      <c r="AR110" s="566">
        <f>+AQ110</f>
        <v>30250.000000000007</v>
      </c>
      <c r="AS110" s="566">
        <f>+AR110</f>
        <v>30250.000000000007</v>
      </c>
      <c r="AT110" s="566">
        <f>+AS110</f>
        <v>30250.000000000007</v>
      </c>
      <c r="AU110" s="540"/>
      <c r="AW110" s="545" t="s">
        <v>501</v>
      </c>
      <c r="AX110" s="566">
        <f>SUM(AX87)*1.1</f>
        <v>30250.000000000007</v>
      </c>
      <c r="AY110" s="566">
        <f>+AX110</f>
        <v>30250.000000000007</v>
      </c>
      <c r="AZ110" s="566">
        <f>+AY110</f>
        <v>30250.000000000007</v>
      </c>
      <c r="BA110" s="566">
        <f>+AZ110</f>
        <v>30250.000000000007</v>
      </c>
      <c r="BB110" s="540"/>
      <c r="BD110" s="545" t="s">
        <v>501</v>
      </c>
      <c r="BE110" s="566">
        <f>SUM(BE87)*1.1</f>
        <v>30250.000000000007</v>
      </c>
      <c r="BF110" s="566">
        <f>+BE110</f>
        <v>30250.000000000007</v>
      </c>
      <c r="BG110" s="566">
        <f>+BF110</f>
        <v>30250.000000000007</v>
      </c>
      <c r="BH110" s="566">
        <f>+BG110</f>
        <v>30250.000000000007</v>
      </c>
      <c r="BI110" s="540"/>
      <c r="BK110" s="545" t="s">
        <v>501</v>
      </c>
      <c r="BL110" s="566">
        <f>SUM(BL87)*1.1</f>
        <v>30250.000000000007</v>
      </c>
      <c r="BM110" s="566">
        <f>+BL110</f>
        <v>30250.000000000007</v>
      </c>
      <c r="BN110" s="566">
        <f>+BM110</f>
        <v>30250.000000000007</v>
      </c>
      <c r="BO110" s="566">
        <f>+BN110</f>
        <v>30250.000000000007</v>
      </c>
      <c r="BP110" s="540"/>
      <c r="BR110" s="545" t="s">
        <v>501</v>
      </c>
      <c r="BS110" s="566">
        <f>SUM(BS87)*1.1</f>
        <v>30250.000000000007</v>
      </c>
      <c r="BT110" s="566">
        <f>+BS110</f>
        <v>30250.000000000007</v>
      </c>
      <c r="BU110" s="566">
        <f>+BT110</f>
        <v>30250.000000000007</v>
      </c>
      <c r="BV110" s="566">
        <f>+BU110</f>
        <v>30250.000000000007</v>
      </c>
      <c r="BW110" s="540"/>
      <c r="BY110" s="545" t="s">
        <v>501</v>
      </c>
      <c r="BZ110" s="566">
        <f>SUM(BZ87)*1.1</f>
        <v>30250.000000000007</v>
      </c>
      <c r="CA110" s="566">
        <f>+BZ110</f>
        <v>30250.000000000007</v>
      </c>
      <c r="CB110" s="566">
        <f>+CA110</f>
        <v>30250.000000000007</v>
      </c>
      <c r="CC110" s="566">
        <f>+CB110</f>
        <v>30250.000000000007</v>
      </c>
      <c r="CD110" s="540"/>
      <c r="CF110" s="545" t="s">
        <v>501</v>
      </c>
      <c r="CG110" s="566">
        <f>SUM(CG87)*1.1</f>
        <v>30250.000000000007</v>
      </c>
      <c r="CH110" s="566">
        <f>+CG110</f>
        <v>30250.000000000007</v>
      </c>
      <c r="CI110" s="566">
        <f>+CH110</f>
        <v>30250.000000000007</v>
      </c>
      <c r="CJ110" s="566">
        <f>+CI110</f>
        <v>30250.000000000007</v>
      </c>
      <c r="CK110" s="540"/>
      <c r="CN110" s="545" t="s">
        <v>501</v>
      </c>
      <c r="CO110" s="566">
        <f>SUM(CO87)*1.1</f>
        <v>30250.000000000007</v>
      </c>
      <c r="CP110" s="566">
        <f>+CO110</f>
        <v>30250.000000000007</v>
      </c>
      <c r="CQ110" s="566">
        <f>+CP110</f>
        <v>30250.000000000007</v>
      </c>
      <c r="CR110" s="566">
        <f>+CQ110</f>
        <v>30250.000000000007</v>
      </c>
      <c r="CS110" s="540"/>
    </row>
    <row r="111" spans="1:97" ht="16" x14ac:dyDescent="0.2">
      <c r="A111" s="531"/>
      <c r="B111" s="531"/>
      <c r="C111" s="537" t="s">
        <v>107</v>
      </c>
      <c r="D111" s="538">
        <f>+D99*D110</f>
        <v>0</v>
      </c>
      <c r="E111" s="538">
        <f>+E99*E110</f>
        <v>605000.00000000012</v>
      </c>
      <c r="F111" s="538">
        <f>+F99*F110</f>
        <v>0</v>
      </c>
      <c r="G111" s="538">
        <f>+G99*G110</f>
        <v>0</v>
      </c>
      <c r="H111" s="536"/>
      <c r="I111" s="565"/>
      <c r="J111" s="565"/>
      <c r="K111" s="537" t="s">
        <v>107</v>
      </c>
      <c r="L111" s="538">
        <f>+L99*L110</f>
        <v>0</v>
      </c>
      <c r="M111" s="538">
        <f>+M99*M110</f>
        <v>302500.00000000006</v>
      </c>
      <c r="N111" s="538">
        <f>+N99*N110</f>
        <v>0</v>
      </c>
      <c r="O111" s="538">
        <f>+O99*O110</f>
        <v>0</v>
      </c>
      <c r="P111" s="536"/>
      <c r="Q111" s="531"/>
      <c r="R111" s="531"/>
      <c r="S111" s="531"/>
      <c r="T111" s="537" t="s">
        <v>107</v>
      </c>
      <c r="U111" s="538">
        <f>+U99*U110</f>
        <v>0</v>
      </c>
      <c r="V111" s="538">
        <f>+V99*V110</f>
        <v>605000.00000000012</v>
      </c>
      <c r="W111" s="538">
        <f>+W99*W110</f>
        <v>0</v>
      </c>
      <c r="X111" s="538">
        <f>+X99*X110</f>
        <v>0</v>
      </c>
      <c r="Y111" s="536"/>
      <c r="Z111" s="531"/>
      <c r="AA111" s="531"/>
      <c r="AB111" s="537" t="s">
        <v>107</v>
      </c>
      <c r="AC111" s="538">
        <f>+AC99*AC110</f>
        <v>0</v>
      </c>
      <c r="AD111" s="538">
        <f>+AD99*AD110</f>
        <v>302500.00000000006</v>
      </c>
      <c r="AE111" s="538">
        <f>+AE99*AE110</f>
        <v>0</v>
      </c>
      <c r="AF111" s="538">
        <f>+AF99*AF110</f>
        <v>0</v>
      </c>
      <c r="AG111" s="536"/>
      <c r="AH111" s="531"/>
      <c r="AI111" s="537" t="s">
        <v>107</v>
      </c>
      <c r="AJ111" s="538">
        <f>+AJ99*AJ110</f>
        <v>0</v>
      </c>
      <c r="AK111" s="538">
        <f>+AK99*AK110</f>
        <v>0</v>
      </c>
      <c r="AL111" s="538">
        <f>+AL99*AL110</f>
        <v>0</v>
      </c>
      <c r="AM111" s="538">
        <f>+AM99*AM110</f>
        <v>151250.00000000003</v>
      </c>
      <c r="AN111" s="536"/>
      <c r="AP111" s="537" t="s">
        <v>107</v>
      </c>
      <c r="AQ111" s="538">
        <f>+AQ99*AQ110</f>
        <v>0</v>
      </c>
      <c r="AR111" s="538">
        <f>+AR99*AR110</f>
        <v>0</v>
      </c>
      <c r="AS111" s="538">
        <f>+AS99*AS110</f>
        <v>0</v>
      </c>
      <c r="AT111" s="538">
        <f>+AT99*AT110</f>
        <v>302500.00000000006</v>
      </c>
      <c r="AU111" s="536"/>
      <c r="AW111" s="537" t="s">
        <v>107</v>
      </c>
      <c r="AX111" s="538">
        <f>+AX99*AX110</f>
        <v>302500.00000000006</v>
      </c>
      <c r="AY111" s="538">
        <f>+AY99*AY110</f>
        <v>0</v>
      </c>
      <c r="AZ111" s="538">
        <f>+AZ99*AZ110</f>
        <v>0</v>
      </c>
      <c r="BA111" s="538">
        <f>+BA99*BA110</f>
        <v>0</v>
      </c>
      <c r="BB111" s="536"/>
      <c r="BD111" s="537" t="s">
        <v>107</v>
      </c>
      <c r="BE111" s="538">
        <f>+BE99*BE110</f>
        <v>151250.00000000003</v>
      </c>
      <c r="BF111" s="538">
        <f>+BF99*BF110</f>
        <v>0</v>
      </c>
      <c r="BG111" s="538">
        <f>+BG99*BG110</f>
        <v>0</v>
      </c>
      <c r="BH111" s="538">
        <f>+BH99*BH110</f>
        <v>0</v>
      </c>
      <c r="BI111" s="536"/>
      <c r="BK111" s="537" t="s">
        <v>107</v>
      </c>
      <c r="BL111" s="538">
        <f>+BL99*BL110</f>
        <v>0</v>
      </c>
      <c r="BM111" s="538">
        <f>+BM99*BM110</f>
        <v>0</v>
      </c>
      <c r="BN111" s="538">
        <f>+BN99*BN110</f>
        <v>302500.00000000006</v>
      </c>
      <c r="BO111" s="538">
        <f>+BO99*BO110</f>
        <v>0</v>
      </c>
      <c r="BP111" s="536"/>
      <c r="BR111" s="537" t="s">
        <v>107</v>
      </c>
      <c r="BS111" s="538">
        <f>+BS99*BS110</f>
        <v>0</v>
      </c>
      <c r="BT111" s="538">
        <f>+BT99*BT110</f>
        <v>0</v>
      </c>
      <c r="BU111" s="538">
        <f>+BU99*BU110</f>
        <v>151250.00000000003</v>
      </c>
      <c r="BV111" s="538">
        <f>+BV99*BV110</f>
        <v>0</v>
      </c>
      <c r="BW111" s="536"/>
      <c r="BY111" s="537" t="s">
        <v>107</v>
      </c>
      <c r="BZ111" s="538">
        <f>+BZ99*BZ110</f>
        <v>0</v>
      </c>
      <c r="CA111" s="538">
        <f>+CA99*CA110</f>
        <v>0</v>
      </c>
      <c r="CB111" s="538">
        <f>+CB99*CB110</f>
        <v>0</v>
      </c>
      <c r="CC111" s="538">
        <f>+CC99*CC110</f>
        <v>302500.00000000006</v>
      </c>
      <c r="CD111" s="536"/>
      <c r="CF111" s="537" t="s">
        <v>107</v>
      </c>
      <c r="CG111" s="538">
        <f>+CG99*CG110</f>
        <v>0</v>
      </c>
      <c r="CH111" s="538">
        <f>+CH99*CH110</f>
        <v>0</v>
      </c>
      <c r="CI111" s="538">
        <f>+CI99*CI110</f>
        <v>0</v>
      </c>
      <c r="CJ111" s="538">
        <f>+CJ99*CJ110</f>
        <v>0</v>
      </c>
      <c r="CK111" s="536"/>
      <c r="CN111" s="599" t="s">
        <v>618</v>
      </c>
      <c r="CO111" s="538"/>
      <c r="CP111" s="538">
        <f>+CP99*CP110</f>
        <v>0</v>
      </c>
      <c r="CQ111" s="538">
        <f>+CQ99*CQ110</f>
        <v>0</v>
      </c>
      <c r="CR111" s="538">
        <v>600000</v>
      </c>
      <c r="CS111" s="536"/>
    </row>
    <row r="112" spans="1:97" ht="16" x14ac:dyDescent="0.2">
      <c r="A112" s="531"/>
      <c r="B112" s="531"/>
      <c r="C112" s="547" t="s">
        <v>8</v>
      </c>
      <c r="D112" s="548">
        <f>+D111</f>
        <v>0</v>
      </c>
      <c r="E112" s="548">
        <f>+D112+E111</f>
        <v>605000.00000000012</v>
      </c>
      <c r="F112" s="549">
        <f>+E112+F111</f>
        <v>605000.00000000012</v>
      </c>
      <c r="G112" s="549">
        <f>+F112+G111</f>
        <v>605000.00000000012</v>
      </c>
      <c r="H112" s="540"/>
      <c r="I112" s="531"/>
      <c r="J112" s="531"/>
      <c r="K112" s="547" t="s">
        <v>8</v>
      </c>
      <c r="L112" s="548">
        <f>+L111</f>
        <v>0</v>
      </c>
      <c r="M112" s="548">
        <f>+L112+M111</f>
        <v>302500.00000000006</v>
      </c>
      <c r="N112" s="549">
        <f>+M112+N111</f>
        <v>302500.00000000006</v>
      </c>
      <c r="O112" s="549">
        <f>+N112+O111</f>
        <v>302500.00000000006</v>
      </c>
      <c r="P112" s="540"/>
      <c r="Q112" s="531"/>
      <c r="R112" s="531"/>
      <c r="S112" s="531"/>
      <c r="T112" s="547" t="s">
        <v>8</v>
      </c>
      <c r="U112" s="548">
        <f>+U111</f>
        <v>0</v>
      </c>
      <c r="V112" s="548">
        <f>+U112+V111</f>
        <v>605000.00000000012</v>
      </c>
      <c r="W112" s="549">
        <f>+V112+W111</f>
        <v>605000.00000000012</v>
      </c>
      <c r="X112" s="549">
        <f>+W112+X111</f>
        <v>605000.00000000012</v>
      </c>
      <c r="Y112" s="540"/>
      <c r="Z112" s="531"/>
      <c r="AA112" s="531"/>
      <c r="AB112" s="547" t="s">
        <v>8</v>
      </c>
      <c r="AC112" s="548">
        <f>+AC111</f>
        <v>0</v>
      </c>
      <c r="AD112" s="548">
        <f>+AC112+AD111</f>
        <v>302500.00000000006</v>
      </c>
      <c r="AE112" s="549">
        <f>+AD112+AE111</f>
        <v>302500.00000000006</v>
      </c>
      <c r="AF112" s="549">
        <f>+AE112+AF111</f>
        <v>302500.00000000006</v>
      </c>
      <c r="AG112" s="540"/>
      <c r="AH112" s="531"/>
      <c r="AI112" s="547" t="s">
        <v>8</v>
      </c>
      <c r="AJ112" s="548">
        <f>+AJ111</f>
        <v>0</v>
      </c>
      <c r="AK112" s="548">
        <f>+AJ112+AK111</f>
        <v>0</v>
      </c>
      <c r="AL112" s="549">
        <f>+AK112+AL111</f>
        <v>0</v>
      </c>
      <c r="AM112" s="549">
        <f>+AL112+AM111</f>
        <v>151250.00000000003</v>
      </c>
      <c r="AN112" s="540"/>
      <c r="AP112" s="547" t="s">
        <v>8</v>
      </c>
      <c r="AQ112" s="548">
        <f>+AQ111</f>
        <v>0</v>
      </c>
      <c r="AR112" s="548">
        <f>+AQ112+AR111</f>
        <v>0</v>
      </c>
      <c r="AS112" s="549">
        <f>+AR112+AS111</f>
        <v>0</v>
      </c>
      <c r="AT112" s="549">
        <f>+AS112+AT111</f>
        <v>302500.00000000006</v>
      </c>
      <c r="AU112" s="540"/>
      <c r="AW112" s="547" t="s">
        <v>8</v>
      </c>
      <c r="AX112" s="548">
        <f>+AX111</f>
        <v>302500.00000000006</v>
      </c>
      <c r="AY112" s="548">
        <f>+AX112+AY111</f>
        <v>302500.00000000006</v>
      </c>
      <c r="AZ112" s="549">
        <f>+AY112+AZ111</f>
        <v>302500.00000000006</v>
      </c>
      <c r="BA112" s="549">
        <f>+AZ112+BA111</f>
        <v>302500.00000000006</v>
      </c>
      <c r="BB112" s="540"/>
      <c r="BD112" s="547" t="s">
        <v>8</v>
      </c>
      <c r="BE112" s="548">
        <f>+BE111</f>
        <v>151250.00000000003</v>
      </c>
      <c r="BF112" s="548">
        <f>+BE112+BF111</f>
        <v>151250.00000000003</v>
      </c>
      <c r="BG112" s="549">
        <f>+BF112+BG111</f>
        <v>151250.00000000003</v>
      </c>
      <c r="BH112" s="549">
        <f>+BG112+BH111</f>
        <v>151250.00000000003</v>
      </c>
      <c r="BI112" s="540"/>
      <c r="BK112" s="547" t="s">
        <v>8</v>
      </c>
      <c r="BL112" s="548">
        <f>+BL111</f>
        <v>0</v>
      </c>
      <c r="BM112" s="548">
        <f>+BL112+BM111</f>
        <v>0</v>
      </c>
      <c r="BN112" s="549">
        <f>+BM112+BN111</f>
        <v>302500.00000000006</v>
      </c>
      <c r="BO112" s="549">
        <f>+BN112+BO111</f>
        <v>302500.00000000006</v>
      </c>
      <c r="BP112" s="540"/>
      <c r="BR112" s="547" t="s">
        <v>8</v>
      </c>
      <c r="BS112" s="548">
        <f>+BS111</f>
        <v>0</v>
      </c>
      <c r="BT112" s="548">
        <f>+BS112+BT111</f>
        <v>0</v>
      </c>
      <c r="BU112" s="549">
        <f>+BT112+BU111</f>
        <v>151250.00000000003</v>
      </c>
      <c r="BV112" s="549">
        <f>+BU112+BV111</f>
        <v>151250.00000000003</v>
      </c>
      <c r="BW112" s="540"/>
      <c r="BY112" s="547" t="s">
        <v>8</v>
      </c>
      <c r="BZ112" s="548">
        <f>+BZ111</f>
        <v>0</v>
      </c>
      <c r="CA112" s="548">
        <f>+BZ112+CA111</f>
        <v>0</v>
      </c>
      <c r="CB112" s="549">
        <f>+CA112+CB111</f>
        <v>0</v>
      </c>
      <c r="CC112" s="549">
        <f>+CB112+CC111</f>
        <v>302500.00000000006</v>
      </c>
      <c r="CD112" s="540"/>
      <c r="CF112" s="547" t="s">
        <v>8</v>
      </c>
      <c r="CG112" s="548">
        <f>+CG111</f>
        <v>0</v>
      </c>
      <c r="CH112" s="548">
        <f>+CG112+CH111</f>
        <v>0</v>
      </c>
      <c r="CI112" s="549">
        <f>+CH112+CI111</f>
        <v>0</v>
      </c>
      <c r="CJ112" s="549">
        <f>+CI112+CJ111</f>
        <v>0</v>
      </c>
      <c r="CK112" s="540"/>
      <c r="CN112" s="547" t="s">
        <v>8</v>
      </c>
      <c r="CO112" s="548">
        <f>+CO111</f>
        <v>0</v>
      </c>
      <c r="CP112" s="548">
        <f>+CO112+CP111</f>
        <v>0</v>
      </c>
      <c r="CQ112" s="549">
        <f>+CP112+CQ111</f>
        <v>0</v>
      </c>
      <c r="CR112" s="549">
        <f>+CQ112+CR111</f>
        <v>600000</v>
      </c>
      <c r="CS112" s="540"/>
    </row>
    <row r="113" spans="1:97" ht="16" x14ac:dyDescent="0.2">
      <c r="A113" s="531"/>
      <c r="B113" s="531"/>
      <c r="C113" s="543"/>
      <c r="D113" s="548"/>
      <c r="E113" s="548"/>
      <c r="F113" s="549"/>
      <c r="G113" s="549"/>
      <c r="H113" s="540"/>
      <c r="I113" s="531"/>
      <c r="J113" s="531"/>
      <c r="K113" s="543"/>
      <c r="L113" s="548"/>
      <c r="M113" s="548"/>
      <c r="N113" s="549"/>
      <c r="O113" s="549"/>
      <c r="P113" s="540"/>
      <c r="Q113" s="531"/>
      <c r="R113" s="531"/>
      <c r="S113" s="531"/>
      <c r="T113" s="543"/>
      <c r="U113" s="548"/>
      <c r="V113" s="548"/>
      <c r="W113" s="549"/>
      <c r="X113" s="549"/>
      <c r="Y113" s="540"/>
      <c r="Z113" s="531"/>
      <c r="AA113" s="531"/>
      <c r="AB113" s="543"/>
      <c r="AC113" s="548"/>
      <c r="AD113" s="548"/>
      <c r="AE113" s="549"/>
      <c r="AF113" s="549"/>
      <c r="AG113" s="540"/>
      <c r="AH113" s="531"/>
      <c r="AI113" s="543"/>
      <c r="AJ113" s="548"/>
      <c r="AK113" s="548"/>
      <c r="AL113" s="549"/>
      <c r="AM113" s="549"/>
      <c r="AN113" s="540"/>
      <c r="AP113" s="543"/>
      <c r="AQ113" s="548"/>
      <c r="AR113" s="548"/>
      <c r="AS113" s="549"/>
      <c r="AT113" s="549"/>
      <c r="AU113" s="540"/>
      <c r="AW113" s="543"/>
      <c r="AX113" s="548"/>
      <c r="AY113" s="548"/>
      <c r="AZ113" s="549"/>
      <c r="BA113" s="549"/>
      <c r="BB113" s="540"/>
      <c r="BD113" s="543"/>
      <c r="BE113" s="548"/>
      <c r="BF113" s="548"/>
      <c r="BG113" s="549"/>
      <c r="BH113" s="549"/>
      <c r="BI113" s="540"/>
      <c r="BK113" s="543"/>
      <c r="BL113" s="548"/>
      <c r="BM113" s="548"/>
      <c r="BN113" s="549"/>
      <c r="BO113" s="549"/>
      <c r="BP113" s="540"/>
      <c r="BR113" s="543"/>
      <c r="BS113" s="548"/>
      <c r="BT113" s="548"/>
      <c r="BU113" s="549"/>
      <c r="BV113" s="549"/>
      <c r="BW113" s="540"/>
      <c r="BY113" s="543"/>
      <c r="BZ113" s="548"/>
      <c r="CA113" s="548"/>
      <c r="CB113" s="549"/>
      <c r="CC113" s="549"/>
      <c r="CD113" s="540"/>
      <c r="CF113" s="543"/>
      <c r="CG113" s="548"/>
      <c r="CH113" s="548"/>
      <c r="CI113" s="549"/>
      <c r="CJ113" s="549"/>
      <c r="CK113" s="540"/>
      <c r="CN113" s="543"/>
      <c r="CO113" s="548"/>
      <c r="CP113" s="548"/>
      <c r="CQ113" s="549"/>
      <c r="CR113" s="549"/>
      <c r="CS113" s="540"/>
    </row>
    <row r="114" spans="1:97" ht="16" x14ac:dyDescent="0.2">
      <c r="A114" s="531"/>
      <c r="B114" s="531"/>
      <c r="C114" s="545"/>
      <c r="D114" s="530"/>
      <c r="E114" s="530"/>
      <c r="F114" s="541"/>
      <c r="G114" s="530"/>
      <c r="H114" s="570" t="s">
        <v>500</v>
      </c>
      <c r="I114" s="531"/>
      <c r="J114" s="531"/>
      <c r="K114" s="545"/>
      <c r="L114" s="530"/>
      <c r="M114" s="530"/>
      <c r="N114" s="541"/>
      <c r="O114" s="530"/>
      <c r="P114" s="570" t="s">
        <v>500</v>
      </c>
      <c r="Q114" s="531"/>
      <c r="R114" s="531"/>
      <c r="S114" s="531"/>
      <c r="T114" s="545"/>
      <c r="U114" s="530"/>
      <c r="V114" s="530"/>
      <c r="W114" s="541"/>
      <c r="X114" s="530"/>
      <c r="Y114" s="570" t="s">
        <v>500</v>
      </c>
      <c r="Z114" s="531"/>
      <c r="AA114" s="531"/>
      <c r="AB114" s="545"/>
      <c r="AC114" s="530"/>
      <c r="AD114" s="530"/>
      <c r="AE114" s="541"/>
      <c r="AF114" s="530"/>
      <c r="AG114" s="570" t="s">
        <v>500</v>
      </c>
      <c r="AH114" s="531"/>
      <c r="AI114" s="545"/>
      <c r="AJ114" s="530"/>
      <c r="AK114" s="530"/>
      <c r="AL114" s="541"/>
      <c r="AM114" s="530"/>
      <c r="AN114" s="570" t="s">
        <v>500</v>
      </c>
      <c r="AP114" s="545"/>
      <c r="AQ114" s="530"/>
      <c r="AR114" s="530"/>
      <c r="AS114" s="541"/>
      <c r="AT114" s="530"/>
      <c r="AU114" s="570" t="s">
        <v>500</v>
      </c>
      <c r="AW114" s="545"/>
      <c r="AX114" s="530"/>
      <c r="AY114" s="530"/>
      <c r="AZ114" s="541"/>
      <c r="BA114" s="530"/>
      <c r="BB114" s="570" t="s">
        <v>500</v>
      </c>
      <c r="BD114" s="545"/>
      <c r="BE114" s="530"/>
      <c r="BF114" s="530"/>
      <c r="BG114" s="541"/>
      <c r="BH114" s="530"/>
      <c r="BI114" s="570" t="s">
        <v>500</v>
      </c>
      <c r="BK114" s="545"/>
      <c r="BL114" s="530"/>
      <c r="BM114" s="530"/>
      <c r="BN114" s="541"/>
      <c r="BO114" s="530"/>
      <c r="BP114" s="570" t="s">
        <v>500</v>
      </c>
      <c r="BR114" s="545"/>
      <c r="BS114" s="530"/>
      <c r="BT114" s="530"/>
      <c r="BU114" s="541"/>
      <c r="BV114" s="530"/>
      <c r="BW114" s="570" t="s">
        <v>500</v>
      </c>
      <c r="BY114" s="545"/>
      <c r="BZ114" s="530"/>
      <c r="CA114" s="530"/>
      <c r="CB114" s="541"/>
      <c r="CC114" s="530"/>
      <c r="CD114" s="570" t="s">
        <v>500</v>
      </c>
      <c r="CF114" s="545"/>
      <c r="CG114" s="530"/>
      <c r="CH114" s="530"/>
      <c r="CI114" s="541"/>
      <c r="CJ114" s="530"/>
      <c r="CK114" s="570" t="s">
        <v>500</v>
      </c>
      <c r="CN114" s="545"/>
      <c r="CO114" s="530"/>
      <c r="CP114" s="530"/>
      <c r="CQ114" s="541"/>
      <c r="CR114" s="530"/>
      <c r="CS114" s="570" t="s">
        <v>500</v>
      </c>
    </row>
    <row r="115" spans="1:97" ht="16" x14ac:dyDescent="0.2">
      <c r="A115" s="531"/>
      <c r="B115" s="531"/>
      <c r="C115" s="554"/>
      <c r="D115" s="555"/>
      <c r="E115" s="555"/>
      <c r="F115" s="556"/>
      <c r="G115" s="555"/>
      <c r="H115" s="571">
        <f>SUM(G117)/H99</f>
        <v>437160.08706818195</v>
      </c>
      <c r="I115" s="531"/>
      <c r="J115" s="531"/>
      <c r="K115" s="554"/>
      <c r="L115" s="555"/>
      <c r="M115" s="555"/>
      <c r="N115" s="556"/>
      <c r="O115" s="555"/>
      <c r="P115" s="571">
        <f>SUM(O117)/P99</f>
        <v>469129.13069999998</v>
      </c>
      <c r="Q115" s="531"/>
      <c r="R115" s="531"/>
      <c r="S115" s="531"/>
      <c r="T115" s="554"/>
      <c r="U115" s="555"/>
      <c r="V115" s="555"/>
      <c r="W115" s="556"/>
      <c r="X115" s="555"/>
      <c r="Y115" s="571">
        <f>SUM(X117)/Y99</f>
        <v>570153.62563636375</v>
      </c>
      <c r="Z115" s="531"/>
      <c r="AA115" s="531"/>
      <c r="AB115" s="554"/>
      <c r="AC115" s="555"/>
      <c r="AD115" s="555"/>
      <c r="AE115" s="556"/>
      <c r="AF115" s="555"/>
      <c r="AG115" s="571">
        <f>SUM(AF117)/AG99</f>
        <v>241310.6268409091</v>
      </c>
      <c r="AH115" s="531"/>
      <c r="AI115" s="554"/>
      <c r="AJ115" s="555"/>
      <c r="AK115" s="555"/>
      <c r="AL115" s="556"/>
      <c r="AM115" s="555"/>
      <c r="AN115" s="571">
        <f>SUM(AM117)/AN99</f>
        <v>1695501.9886363638</v>
      </c>
      <c r="AP115" s="554"/>
      <c r="AQ115" s="555"/>
      <c r="AR115" s="555"/>
      <c r="AS115" s="556"/>
      <c r="AT115" s="555"/>
      <c r="AU115" s="571">
        <f>SUM(AT117)/AU99</f>
        <v>296519.15809090907</v>
      </c>
      <c r="AW115" s="554"/>
      <c r="AX115" s="555"/>
      <c r="AY115" s="555"/>
      <c r="AZ115" s="556"/>
      <c r="BA115" s="555"/>
      <c r="BB115" s="571">
        <f>SUM(BA117)/BB99</f>
        <v>1059033.2386363638</v>
      </c>
      <c r="BD115" s="554"/>
      <c r="BE115" s="555"/>
      <c r="BF115" s="555"/>
      <c r="BG115" s="556"/>
      <c r="BH115" s="555"/>
      <c r="BI115" s="571">
        <f>SUM(BH117)/BI99</f>
        <v>3251677.4147727275</v>
      </c>
      <c r="BK115" s="554"/>
      <c r="BL115" s="555"/>
      <c r="BM115" s="555"/>
      <c r="BN115" s="556"/>
      <c r="BO115" s="555"/>
      <c r="BP115" s="571">
        <f>SUM(BO117)/BP99</f>
        <v>3487786.7897727275</v>
      </c>
      <c r="BR115" s="554"/>
      <c r="BS115" s="555"/>
      <c r="BT115" s="555"/>
      <c r="BU115" s="556"/>
      <c r="BV115" s="555"/>
      <c r="BW115" s="571">
        <f>SUM(BV117)/BW99</f>
        <v>1231804.8272727274</v>
      </c>
      <c r="BY115" s="554"/>
      <c r="BZ115" s="555"/>
      <c r="CA115" s="555"/>
      <c r="CB115" s="556"/>
      <c r="CC115" s="555"/>
      <c r="CD115" s="571">
        <f>SUM(CC117)/CD99</f>
        <v>675913.245</v>
      </c>
      <c r="CF115" s="554"/>
      <c r="CG115" s="555"/>
      <c r="CH115" s="555"/>
      <c r="CI115" s="556"/>
      <c r="CJ115" s="555"/>
      <c r="CK115" s="571">
        <f>SUM(CJ117)/CJ105</f>
        <v>871200.00000000023</v>
      </c>
      <c r="CN115" s="554"/>
      <c r="CO115" s="555"/>
      <c r="CP115" s="555"/>
      <c r="CQ115" s="556"/>
      <c r="CR115" s="555"/>
      <c r="CS115" s="571" t="e">
        <f>SUM(CR117)/CR105</f>
        <v>#DIV/0!</v>
      </c>
    </row>
    <row r="116" spans="1:97" ht="16" x14ac:dyDescent="0.2">
      <c r="A116" s="531"/>
      <c r="B116" s="531"/>
      <c r="C116" s="557" t="s">
        <v>23</v>
      </c>
      <c r="D116" s="558">
        <f>+D101+D107+D111</f>
        <v>0</v>
      </c>
      <c r="E116" s="558">
        <f>+E101+E107+E111</f>
        <v>8743201.741363639</v>
      </c>
      <c r="F116" s="558">
        <f>+F101+F107+F111</f>
        <v>0</v>
      </c>
      <c r="G116" s="558">
        <f>+G101+G107+G111</f>
        <v>0</v>
      </c>
      <c r="H116" s="850">
        <f>SUM(H99:H112)</f>
        <v>20</v>
      </c>
      <c r="I116" s="572"/>
      <c r="J116" s="572"/>
      <c r="K116" s="557" t="s">
        <v>23</v>
      </c>
      <c r="L116" s="558">
        <f>+L101+L107+L111</f>
        <v>0</v>
      </c>
      <c r="M116" s="558">
        <f>+M101+M107+M111</f>
        <v>4691291.307</v>
      </c>
      <c r="N116" s="558">
        <f>+N101+N107+N111</f>
        <v>0</v>
      </c>
      <c r="O116" s="558">
        <f>+O101+O107+O111</f>
        <v>0</v>
      </c>
      <c r="P116" s="850">
        <f>SUM(P99:P112)</f>
        <v>10</v>
      </c>
      <c r="Q116" s="531"/>
      <c r="R116" s="531"/>
      <c r="S116" s="531"/>
      <c r="T116" s="557" t="s">
        <v>23</v>
      </c>
      <c r="U116" s="558">
        <f>+U101+U107+U111</f>
        <v>0</v>
      </c>
      <c r="V116" s="558">
        <f>+V101+V107+V111</f>
        <v>11403072.512727275</v>
      </c>
      <c r="W116" s="558">
        <f>+W101+W107+W111</f>
        <v>0</v>
      </c>
      <c r="X116" s="558">
        <f>+X101+X107+X111</f>
        <v>0</v>
      </c>
      <c r="Y116" s="850">
        <f>SUM(Y99:Y112)</f>
        <v>20</v>
      </c>
      <c r="Z116" s="531"/>
      <c r="AA116" s="531"/>
      <c r="AB116" s="557" t="s">
        <v>23</v>
      </c>
      <c r="AC116" s="558">
        <f>+AC101+AC107+AC111</f>
        <v>0</v>
      </c>
      <c r="AD116" s="558">
        <f>+AD101+AD107+AD111</f>
        <v>2413106.268409091</v>
      </c>
      <c r="AE116" s="558">
        <f>+AE101+AE107+AE111</f>
        <v>0</v>
      </c>
      <c r="AF116" s="558">
        <f>+AF101+AF107+AF111</f>
        <v>0</v>
      </c>
      <c r="AG116" s="850">
        <f>SUM(AG99:AG112)</f>
        <v>10</v>
      </c>
      <c r="AH116" s="531"/>
      <c r="AI116" s="557" t="s">
        <v>23</v>
      </c>
      <c r="AJ116" s="558">
        <f>+AJ101+AJ107+AJ111</f>
        <v>0</v>
      </c>
      <c r="AK116" s="558">
        <f>+AK101+AK107+AK111</f>
        <v>0</v>
      </c>
      <c r="AL116" s="558">
        <f>+AL101+AL107+AL111</f>
        <v>0</v>
      </c>
      <c r="AM116" s="558">
        <f>+AM101+AM107+AM111</f>
        <v>8477509.9431818184</v>
      </c>
      <c r="AN116" s="850">
        <f>SUM(AN99:AN112)</f>
        <v>5</v>
      </c>
      <c r="AP116" s="557" t="s">
        <v>23</v>
      </c>
      <c r="AQ116" s="558">
        <f>+AQ101+AQ107+AQ111</f>
        <v>0</v>
      </c>
      <c r="AR116" s="558">
        <f>+AR101+AR107+AR111</f>
        <v>0</v>
      </c>
      <c r="AS116" s="558">
        <f>+AS101+AS107+AS111</f>
        <v>0</v>
      </c>
      <c r="AT116" s="558">
        <f>+AT101+AT107+AT111</f>
        <v>2965191.5809090906</v>
      </c>
      <c r="AU116" s="850">
        <f>SUM(AU99:AU112)</f>
        <v>10</v>
      </c>
      <c r="AW116" s="557" t="s">
        <v>23</v>
      </c>
      <c r="AX116" s="558">
        <f>+AX101+AX107+AX111</f>
        <v>10590332.386363637</v>
      </c>
      <c r="AY116" s="558">
        <f>+AY101+AY107+AY111</f>
        <v>0</v>
      </c>
      <c r="AZ116" s="558">
        <f>+AZ101+AZ107+AZ111</f>
        <v>0</v>
      </c>
      <c r="BA116" s="558">
        <f>+BA101+BA107+BA111</f>
        <v>0</v>
      </c>
      <c r="BB116" s="850">
        <f>SUM(BB99:BB112)</f>
        <v>10</v>
      </c>
      <c r="BD116" s="557" t="s">
        <v>23</v>
      </c>
      <c r="BE116" s="558">
        <f>+BE101+BE107+BE111</f>
        <v>16258387.073863637</v>
      </c>
      <c r="BF116" s="558">
        <f>+BF101+BF107+BF111</f>
        <v>0</v>
      </c>
      <c r="BG116" s="558">
        <f>+BG101+BG107+BG111</f>
        <v>0</v>
      </c>
      <c r="BH116" s="558">
        <f>+BH101+BH107+BH111</f>
        <v>0</v>
      </c>
      <c r="BI116" s="850">
        <f>SUM(BI99:BI112)</f>
        <v>5</v>
      </c>
      <c r="BK116" s="557" t="s">
        <v>23</v>
      </c>
      <c r="BL116" s="558">
        <f>+BL101+BL107+BL111</f>
        <v>0</v>
      </c>
      <c r="BM116" s="558">
        <f>+BM101+BM107+BM111</f>
        <v>0</v>
      </c>
      <c r="BN116" s="558">
        <f>+BN101+BN107+BN111</f>
        <v>34877867.897727273</v>
      </c>
      <c r="BO116" s="558">
        <f>+BO101+BO107+BO111</f>
        <v>0</v>
      </c>
      <c r="BP116" s="850">
        <f>SUM(BP99:BP112)</f>
        <v>10</v>
      </c>
      <c r="BR116" s="557" t="s">
        <v>23</v>
      </c>
      <c r="BS116" s="558">
        <f>+BS101+BS107+BS111</f>
        <v>0</v>
      </c>
      <c r="BT116" s="558">
        <f>+BT101+BT107+BT111</f>
        <v>0</v>
      </c>
      <c r="BU116" s="558">
        <f>+BU101+BU107+BU111</f>
        <v>6159024.1363636367</v>
      </c>
      <c r="BV116" s="558">
        <f>+BV101+BV107+BV111</f>
        <v>0</v>
      </c>
      <c r="BW116" s="850">
        <f>SUM(BW99:BW112)</f>
        <v>5</v>
      </c>
      <c r="BY116" s="557" t="s">
        <v>23</v>
      </c>
      <c r="BZ116" s="558">
        <f>+BZ101+BZ107+BZ111</f>
        <v>0</v>
      </c>
      <c r="CA116" s="558">
        <f>+CA101+CA107+CA111</f>
        <v>0</v>
      </c>
      <c r="CB116" s="558">
        <f>+CB101+CB107+CB111</f>
        <v>0</v>
      </c>
      <c r="CC116" s="558">
        <f>+CC101+CC107+CC111</f>
        <v>6759132.4500000002</v>
      </c>
      <c r="CD116" s="850">
        <f>SUM(CD99:CD112)</f>
        <v>10</v>
      </c>
      <c r="CF116" s="557" t="s">
        <v>23</v>
      </c>
      <c r="CG116" s="558">
        <f>+CG101+CG107+CG111</f>
        <v>1089000.0000000002</v>
      </c>
      <c r="CH116" s="558">
        <f>+CH101+CH107+CH111</f>
        <v>1089000.0000000002</v>
      </c>
      <c r="CI116" s="558">
        <f>+CI101+CI107+CI111</f>
        <v>1089000.0000000002</v>
      </c>
      <c r="CJ116" s="558">
        <f>+CJ101+CJ107+CJ111</f>
        <v>1089000.0000000002</v>
      </c>
      <c r="CK116" s="850">
        <f>SUM(CK99:CK112)</f>
        <v>0</v>
      </c>
      <c r="CN116" s="557" t="s">
        <v>23</v>
      </c>
      <c r="CO116" s="558">
        <f>+CO101+CO107+CO111</f>
        <v>0</v>
      </c>
      <c r="CP116" s="558">
        <f>+CP101+CP107+CP111</f>
        <v>0</v>
      </c>
      <c r="CQ116" s="558">
        <f>+CQ101+CQ107+CQ111</f>
        <v>0</v>
      </c>
      <c r="CR116" s="558">
        <f>+CR101+CR107+CR111</f>
        <v>600000</v>
      </c>
      <c r="CS116" s="850">
        <f>SUM(CS99:CS112)</f>
        <v>0</v>
      </c>
    </row>
    <row r="117" spans="1:97" ht="16" x14ac:dyDescent="0.2">
      <c r="A117" s="531"/>
      <c r="B117" s="531"/>
      <c r="C117" s="573" t="s">
        <v>29</v>
      </c>
      <c r="D117" s="574">
        <f>+D116</f>
        <v>0</v>
      </c>
      <c r="E117" s="574">
        <f>+D117+E116</f>
        <v>8743201.741363639</v>
      </c>
      <c r="F117" s="574">
        <f>+E117+F116</f>
        <v>8743201.741363639</v>
      </c>
      <c r="G117" s="574">
        <f>+F117+G116</f>
        <v>8743201.741363639</v>
      </c>
      <c r="H117" s="851"/>
      <c r="I117" s="572"/>
      <c r="J117" s="572"/>
      <c r="K117" s="573" t="s">
        <v>29</v>
      </c>
      <c r="L117" s="574">
        <f>+L116</f>
        <v>0</v>
      </c>
      <c r="M117" s="574">
        <f>+L117+M116</f>
        <v>4691291.307</v>
      </c>
      <c r="N117" s="574">
        <f>+M117+N116</f>
        <v>4691291.307</v>
      </c>
      <c r="O117" s="574">
        <f>+N117+O116</f>
        <v>4691291.307</v>
      </c>
      <c r="P117" s="851"/>
      <c r="Q117" s="531"/>
      <c r="R117" s="531"/>
      <c r="S117" s="531"/>
      <c r="T117" s="573" t="s">
        <v>29</v>
      </c>
      <c r="U117" s="574">
        <f>+U116</f>
        <v>0</v>
      </c>
      <c r="V117" s="574">
        <f>+U117+V116</f>
        <v>11403072.512727275</v>
      </c>
      <c r="W117" s="574">
        <f>+V117+W116</f>
        <v>11403072.512727275</v>
      </c>
      <c r="X117" s="574">
        <f>+W117+X116</f>
        <v>11403072.512727275</v>
      </c>
      <c r="Y117" s="851"/>
      <c r="Z117" s="531"/>
      <c r="AA117" s="531"/>
      <c r="AB117" s="573" t="s">
        <v>29</v>
      </c>
      <c r="AC117" s="574">
        <f>+AC116</f>
        <v>0</v>
      </c>
      <c r="AD117" s="574">
        <f>+AC117+AD116</f>
        <v>2413106.268409091</v>
      </c>
      <c r="AE117" s="574">
        <f>+AD117+AE116</f>
        <v>2413106.268409091</v>
      </c>
      <c r="AF117" s="574">
        <f>+AE117+AF116</f>
        <v>2413106.268409091</v>
      </c>
      <c r="AG117" s="851"/>
      <c r="AH117" s="531"/>
      <c r="AI117" s="573" t="s">
        <v>29</v>
      </c>
      <c r="AJ117" s="574">
        <f>+AJ116</f>
        <v>0</v>
      </c>
      <c r="AK117" s="574">
        <f>+AJ117+AK116</f>
        <v>0</v>
      </c>
      <c r="AL117" s="574">
        <f>+AK117+AL116</f>
        <v>0</v>
      </c>
      <c r="AM117" s="574">
        <f>+AL117+AM116</f>
        <v>8477509.9431818184</v>
      </c>
      <c r="AN117" s="851"/>
      <c r="AP117" s="573" t="s">
        <v>29</v>
      </c>
      <c r="AQ117" s="574">
        <f>+AQ116</f>
        <v>0</v>
      </c>
      <c r="AR117" s="574">
        <f>+AQ117+AR116</f>
        <v>0</v>
      </c>
      <c r="AS117" s="574">
        <f>+AR117+AS116</f>
        <v>0</v>
      </c>
      <c r="AT117" s="574">
        <f>+AS117+AT116</f>
        <v>2965191.5809090906</v>
      </c>
      <c r="AU117" s="851"/>
      <c r="AW117" s="573" t="s">
        <v>29</v>
      </c>
      <c r="AX117" s="574">
        <f>+AX116</f>
        <v>10590332.386363637</v>
      </c>
      <c r="AY117" s="574">
        <f>+AX117+AY116</f>
        <v>10590332.386363637</v>
      </c>
      <c r="AZ117" s="574">
        <f>+AY117+AZ116</f>
        <v>10590332.386363637</v>
      </c>
      <c r="BA117" s="574">
        <f>+AZ117+BA116</f>
        <v>10590332.386363637</v>
      </c>
      <c r="BB117" s="851"/>
      <c r="BD117" s="573" t="s">
        <v>29</v>
      </c>
      <c r="BE117" s="574">
        <f>+BE116</f>
        <v>16258387.073863637</v>
      </c>
      <c r="BF117" s="574">
        <f>+BE117+BF116</f>
        <v>16258387.073863637</v>
      </c>
      <c r="BG117" s="574">
        <f>+BF117+BG116</f>
        <v>16258387.073863637</v>
      </c>
      <c r="BH117" s="574">
        <f>+BG117+BH116</f>
        <v>16258387.073863637</v>
      </c>
      <c r="BI117" s="851"/>
      <c r="BK117" s="573" t="s">
        <v>29</v>
      </c>
      <c r="BL117" s="574">
        <f>+BL116</f>
        <v>0</v>
      </c>
      <c r="BM117" s="574">
        <f>+BL117+BM116</f>
        <v>0</v>
      </c>
      <c r="BN117" s="574">
        <f>+BM117+BN116</f>
        <v>34877867.897727273</v>
      </c>
      <c r="BO117" s="574">
        <f>+BN117+BO116</f>
        <v>34877867.897727273</v>
      </c>
      <c r="BP117" s="851"/>
      <c r="BR117" s="573" t="s">
        <v>29</v>
      </c>
      <c r="BS117" s="574">
        <f>+BS116</f>
        <v>0</v>
      </c>
      <c r="BT117" s="574">
        <f>+BS117+BT116</f>
        <v>0</v>
      </c>
      <c r="BU117" s="574">
        <f>+BT117+BU116</f>
        <v>6159024.1363636367</v>
      </c>
      <c r="BV117" s="574">
        <f>+BU117+BV116</f>
        <v>6159024.1363636367</v>
      </c>
      <c r="BW117" s="851"/>
      <c r="BY117" s="573" t="s">
        <v>29</v>
      </c>
      <c r="BZ117" s="574">
        <f>+BZ116</f>
        <v>0</v>
      </c>
      <c r="CA117" s="574">
        <f>+BZ117+CA116</f>
        <v>0</v>
      </c>
      <c r="CB117" s="574">
        <f>+CA117+CB116</f>
        <v>0</v>
      </c>
      <c r="CC117" s="574">
        <f>+CB117+CC116</f>
        <v>6759132.4500000002</v>
      </c>
      <c r="CD117" s="851"/>
      <c r="CF117" s="573" t="s">
        <v>29</v>
      </c>
      <c r="CG117" s="574">
        <f>+CG116</f>
        <v>1089000.0000000002</v>
      </c>
      <c r="CH117" s="574">
        <f>+CG117+CH116</f>
        <v>2178000.0000000005</v>
      </c>
      <c r="CI117" s="574">
        <f>+CH117+CI116</f>
        <v>3267000.0000000009</v>
      </c>
      <c r="CJ117" s="574">
        <f>+CI117+CJ116</f>
        <v>4356000.0000000009</v>
      </c>
      <c r="CK117" s="851"/>
      <c r="CN117" s="573" t="s">
        <v>29</v>
      </c>
      <c r="CO117" s="574">
        <f>+CO116</f>
        <v>0</v>
      </c>
      <c r="CP117" s="574">
        <f>+CO117+CP116</f>
        <v>0</v>
      </c>
      <c r="CQ117" s="574">
        <f>+CP117+CQ116</f>
        <v>0</v>
      </c>
      <c r="CR117" s="574">
        <f>+CQ117+CR116</f>
        <v>600000</v>
      </c>
      <c r="CS117" s="851"/>
    </row>
    <row r="118" spans="1:97" ht="16" x14ac:dyDescent="0.2">
      <c r="A118" s="531"/>
      <c r="B118" s="531"/>
      <c r="C118" s="576"/>
      <c r="D118" s="577"/>
      <c r="E118" s="577"/>
      <c r="F118" s="577"/>
      <c r="G118" s="577"/>
      <c r="H118" s="572"/>
      <c r="I118" s="572"/>
      <c r="J118" s="572"/>
      <c r="K118" s="576"/>
      <c r="L118" s="577"/>
      <c r="M118" s="577"/>
      <c r="N118" s="577"/>
      <c r="O118" s="577"/>
      <c r="P118" s="572"/>
      <c r="Q118" s="531"/>
      <c r="R118" s="531"/>
      <c r="S118" s="531"/>
      <c r="T118" s="576"/>
      <c r="U118" s="577"/>
      <c r="V118" s="577"/>
      <c r="W118" s="577"/>
      <c r="X118" s="577"/>
      <c r="Y118" s="572"/>
      <c r="Z118" s="531"/>
      <c r="AA118" s="531"/>
      <c r="AB118" s="576"/>
      <c r="AC118" s="577"/>
      <c r="AD118" s="577"/>
      <c r="AE118" s="577"/>
      <c r="AF118" s="577"/>
      <c r="AG118" s="572"/>
      <c r="AH118" s="531"/>
      <c r="AI118" s="576"/>
      <c r="AJ118" s="577"/>
      <c r="AK118" s="577"/>
      <c r="AL118" s="577"/>
      <c r="AM118" s="577"/>
      <c r="AN118" s="572"/>
      <c r="AP118" s="576"/>
      <c r="AQ118" s="577"/>
      <c r="AR118" s="577"/>
      <c r="AS118" s="577"/>
      <c r="AT118" s="577"/>
      <c r="AU118" s="572"/>
      <c r="AW118" s="576"/>
      <c r="AX118" s="577"/>
      <c r="AY118" s="577"/>
      <c r="AZ118" s="577"/>
      <c r="BA118" s="577"/>
      <c r="BB118" s="572"/>
      <c r="BD118" s="576"/>
      <c r="BE118" s="577"/>
      <c r="BF118" s="577"/>
      <c r="BG118" s="577"/>
      <c r="BH118" s="577"/>
      <c r="BI118" s="572"/>
      <c r="BK118" s="576"/>
      <c r="BL118" s="577"/>
      <c r="BM118" s="577"/>
      <c r="BN118" s="577"/>
      <c r="BO118" s="577"/>
      <c r="BP118" s="572"/>
      <c r="BR118" s="576"/>
      <c r="BS118" s="577"/>
      <c r="BT118" s="577"/>
      <c r="BU118" s="577"/>
      <c r="BV118" s="577"/>
      <c r="BW118" s="572"/>
      <c r="BY118" s="576"/>
      <c r="BZ118" s="577"/>
      <c r="CA118" s="577"/>
      <c r="CB118" s="577"/>
      <c r="CC118" s="577"/>
      <c r="CD118" s="572"/>
      <c r="CF118" s="576"/>
      <c r="CG118" s="577"/>
      <c r="CH118" s="577"/>
      <c r="CI118" s="577"/>
      <c r="CJ118" s="577"/>
      <c r="CK118" s="572"/>
      <c r="CN118" s="576"/>
      <c r="CO118" s="577"/>
      <c r="CP118" s="577"/>
      <c r="CQ118" s="577"/>
      <c r="CR118" s="577"/>
      <c r="CS118" s="572"/>
    </row>
    <row r="119" spans="1:97" ht="16" x14ac:dyDescent="0.2">
      <c r="A119" s="531"/>
      <c r="B119" s="531"/>
      <c r="C119" s="576"/>
      <c r="D119" s="577"/>
      <c r="E119" s="577"/>
      <c r="F119" s="577"/>
      <c r="G119" s="577"/>
      <c r="H119" s="572"/>
      <c r="I119" s="572"/>
      <c r="J119" s="572"/>
      <c r="K119" s="576"/>
      <c r="L119" s="577"/>
      <c r="M119" s="577"/>
      <c r="N119" s="577"/>
      <c r="O119" s="577"/>
      <c r="P119" s="572"/>
      <c r="Q119" s="531"/>
      <c r="R119" s="531"/>
      <c r="S119" s="531"/>
      <c r="T119" s="576"/>
      <c r="U119" s="577"/>
      <c r="V119" s="577"/>
      <c r="W119" s="577"/>
      <c r="X119" s="577"/>
      <c r="Y119" s="572"/>
      <c r="Z119" s="531"/>
      <c r="AA119" s="531"/>
      <c r="AB119" s="576"/>
      <c r="AC119" s="577"/>
      <c r="AD119" s="577"/>
      <c r="AE119" s="577"/>
      <c r="AF119" s="577"/>
      <c r="AG119" s="572"/>
      <c r="AH119" s="531"/>
      <c r="AI119" s="576"/>
      <c r="AJ119" s="577"/>
      <c r="AK119" s="577"/>
      <c r="AL119" s="577"/>
      <c r="AM119" s="577"/>
      <c r="AN119" s="572"/>
      <c r="AP119" s="576"/>
      <c r="AQ119" s="577"/>
      <c r="AR119" s="577"/>
      <c r="AS119" s="577"/>
      <c r="AT119" s="577"/>
      <c r="AU119" s="572"/>
      <c r="AW119" s="576"/>
      <c r="AX119" s="577"/>
      <c r="AY119" s="577"/>
      <c r="AZ119" s="577"/>
      <c r="BA119" s="577"/>
      <c r="BB119" s="572"/>
      <c r="BD119" s="576"/>
      <c r="BE119" s="577"/>
      <c r="BF119" s="577"/>
      <c r="BG119" s="577"/>
      <c r="BH119" s="577"/>
      <c r="BI119" s="572"/>
      <c r="BK119" s="576"/>
      <c r="BL119" s="577"/>
      <c r="BM119" s="577"/>
      <c r="BN119" s="577"/>
      <c r="BO119" s="577"/>
      <c r="BP119" s="572"/>
      <c r="BR119" s="576"/>
      <c r="BS119" s="577"/>
      <c r="BT119" s="577"/>
      <c r="BU119" s="577"/>
      <c r="BV119" s="577"/>
      <c r="BW119" s="572"/>
      <c r="BY119" s="576"/>
      <c r="BZ119" s="577"/>
      <c r="CA119" s="577"/>
      <c r="CB119" s="577"/>
      <c r="CC119" s="577"/>
      <c r="CD119" s="572"/>
      <c r="CF119" s="576"/>
      <c r="CG119" s="577"/>
      <c r="CH119" s="577"/>
      <c r="CI119" s="577"/>
      <c r="CJ119" s="577"/>
      <c r="CK119" s="572"/>
      <c r="CN119" s="576"/>
      <c r="CO119" s="577"/>
      <c r="CP119" s="577"/>
      <c r="CQ119" s="577"/>
      <c r="CR119" s="577"/>
      <c r="CS119" s="572"/>
    </row>
    <row r="120" spans="1:97" ht="16" x14ac:dyDescent="0.2">
      <c r="A120" s="531"/>
      <c r="B120" s="531"/>
      <c r="C120" s="531"/>
      <c r="D120" s="531"/>
      <c r="E120" s="531"/>
      <c r="F120" s="531"/>
      <c r="G120" s="531"/>
      <c r="H120" s="531"/>
      <c r="I120" s="531"/>
      <c r="J120" s="531"/>
      <c r="K120" s="531"/>
      <c r="L120" s="531"/>
      <c r="M120" s="531"/>
      <c r="N120" s="531"/>
      <c r="O120" s="531"/>
      <c r="P120" s="531"/>
      <c r="Q120" s="531"/>
      <c r="R120" s="531"/>
      <c r="S120" s="531"/>
      <c r="T120" s="576"/>
      <c r="U120" s="577"/>
      <c r="V120" s="577"/>
      <c r="W120" s="577"/>
      <c r="X120" s="577"/>
      <c r="Y120" s="572"/>
      <c r="Z120" s="531"/>
      <c r="AA120" s="531"/>
      <c r="AB120" s="576"/>
      <c r="AC120" s="577"/>
      <c r="AD120" s="577"/>
      <c r="AE120" s="577"/>
      <c r="AF120" s="577"/>
      <c r="AG120" s="572"/>
      <c r="AH120" s="531"/>
      <c r="AI120" s="576"/>
      <c r="AJ120" s="577"/>
      <c r="AK120" s="577"/>
      <c r="AL120" s="577"/>
      <c r="AM120" s="577"/>
      <c r="AN120" s="572"/>
      <c r="AP120" s="576"/>
      <c r="AQ120" s="577"/>
      <c r="AR120" s="577"/>
      <c r="AS120" s="577"/>
      <c r="AT120" s="577"/>
      <c r="AU120" s="572"/>
      <c r="AW120" s="576"/>
      <c r="AX120" s="577"/>
      <c r="AY120" s="577"/>
      <c r="AZ120" s="577"/>
      <c r="BA120" s="577"/>
      <c r="BB120" s="572"/>
      <c r="BD120" s="576"/>
      <c r="BE120" s="577"/>
      <c r="BF120" s="577"/>
      <c r="BG120" s="577"/>
      <c r="BH120" s="577"/>
      <c r="BI120" s="572"/>
      <c r="BK120" s="576"/>
      <c r="BL120" s="577"/>
      <c r="BM120" s="577"/>
      <c r="BN120" s="577"/>
      <c r="BO120" s="577"/>
      <c r="BP120" s="572"/>
      <c r="BR120" s="576"/>
      <c r="BS120" s="577"/>
      <c r="BT120" s="577"/>
      <c r="BU120" s="577"/>
      <c r="BV120" s="577"/>
      <c r="BW120" s="572"/>
      <c r="BY120" s="576"/>
      <c r="BZ120" s="577"/>
      <c r="CA120" s="577"/>
      <c r="CB120" s="577"/>
      <c r="CC120" s="577"/>
      <c r="CD120" s="572"/>
      <c r="CF120" s="576"/>
      <c r="CG120" s="577"/>
      <c r="CH120" s="577"/>
      <c r="CI120" s="577"/>
      <c r="CJ120" s="577"/>
      <c r="CK120" s="572"/>
      <c r="CN120" s="576"/>
      <c r="CO120" s="577"/>
      <c r="CP120" s="577"/>
      <c r="CQ120" s="577"/>
      <c r="CR120" s="577"/>
      <c r="CS120" s="572"/>
    </row>
    <row r="121" spans="1:97" ht="16" x14ac:dyDescent="0.2">
      <c r="A121" s="531"/>
      <c r="B121" s="531"/>
      <c r="C121" s="818" t="s">
        <v>479</v>
      </c>
      <c r="D121" s="819"/>
      <c r="E121" s="819"/>
      <c r="F121" s="819"/>
      <c r="G121" s="819"/>
      <c r="H121" s="820"/>
      <c r="I121" s="77"/>
      <c r="J121" s="77"/>
      <c r="K121" s="818" t="s">
        <v>482</v>
      </c>
      <c r="L121" s="819"/>
      <c r="M121" s="819"/>
      <c r="N121" s="819"/>
      <c r="O121" s="819"/>
      <c r="P121" s="820"/>
      <c r="Q121" s="531"/>
      <c r="R121" s="531"/>
      <c r="S121" s="531"/>
      <c r="T121" s="818" t="s">
        <v>488</v>
      </c>
      <c r="U121" s="819"/>
      <c r="V121" s="819"/>
      <c r="W121" s="819"/>
      <c r="X121" s="819"/>
      <c r="Y121" s="820" t="s">
        <v>27</v>
      </c>
      <c r="Z121" s="531"/>
      <c r="AA121" s="531"/>
      <c r="AB121" s="818" t="s">
        <v>494</v>
      </c>
      <c r="AC121" s="819"/>
      <c r="AD121" s="819"/>
      <c r="AE121" s="819"/>
      <c r="AF121" s="819"/>
      <c r="AG121" s="820" t="s">
        <v>27</v>
      </c>
      <c r="AH121" s="531"/>
      <c r="AI121" s="818" t="s">
        <v>525</v>
      </c>
      <c r="AJ121" s="819"/>
      <c r="AK121" s="819"/>
      <c r="AL121" s="819"/>
      <c r="AM121" s="819"/>
      <c r="AN121" s="820" t="s">
        <v>27</v>
      </c>
      <c r="AP121" s="818" t="s">
        <v>519</v>
      </c>
      <c r="AQ121" s="819"/>
      <c r="AR121" s="819"/>
      <c r="AS121" s="819"/>
      <c r="AT121" s="819"/>
      <c r="AU121" s="820" t="s">
        <v>27</v>
      </c>
      <c r="AW121" s="818" t="s">
        <v>540</v>
      </c>
      <c r="AX121" s="819"/>
      <c r="AY121" s="819"/>
      <c r="AZ121" s="819"/>
      <c r="BA121" s="819"/>
      <c r="BB121" s="820" t="s">
        <v>27</v>
      </c>
      <c r="BD121" s="818" t="s">
        <v>552</v>
      </c>
      <c r="BE121" s="819"/>
      <c r="BF121" s="819"/>
      <c r="BG121" s="819"/>
      <c r="BH121" s="819"/>
      <c r="BI121" s="820" t="s">
        <v>27</v>
      </c>
      <c r="BK121" s="818" t="s">
        <v>567</v>
      </c>
      <c r="BL121" s="819"/>
      <c r="BM121" s="819"/>
      <c r="BN121" s="819"/>
      <c r="BO121" s="819"/>
      <c r="BP121" s="820" t="s">
        <v>27</v>
      </c>
      <c r="BR121" s="818" t="s">
        <v>563</v>
      </c>
      <c r="BS121" s="819"/>
      <c r="BT121" s="819"/>
      <c r="BU121" s="819"/>
      <c r="BV121" s="819"/>
      <c r="BW121" s="820" t="s">
        <v>27</v>
      </c>
      <c r="BY121" s="818" t="s">
        <v>582</v>
      </c>
      <c r="BZ121" s="819"/>
      <c r="CA121" s="819"/>
      <c r="CB121" s="819"/>
      <c r="CC121" s="819"/>
      <c r="CD121" s="820" t="s">
        <v>27</v>
      </c>
      <c r="CF121" s="818" t="s">
        <v>578</v>
      </c>
      <c r="CG121" s="819"/>
      <c r="CH121" s="819"/>
      <c r="CI121" s="819"/>
      <c r="CJ121" s="819"/>
      <c r="CK121" s="820" t="s">
        <v>27</v>
      </c>
      <c r="CN121" s="818" t="s">
        <v>622</v>
      </c>
      <c r="CO121" s="819"/>
      <c r="CP121" s="819"/>
      <c r="CQ121" s="819"/>
      <c r="CR121" s="819"/>
      <c r="CS121" s="820" t="s">
        <v>27</v>
      </c>
    </row>
    <row r="122" spans="1:97" ht="16" x14ac:dyDescent="0.2">
      <c r="A122" s="531"/>
      <c r="B122" s="531"/>
      <c r="C122" s="89" t="s">
        <v>25</v>
      </c>
      <c r="D122" s="77" t="s">
        <v>9</v>
      </c>
      <c r="E122" s="78" t="s">
        <v>106</v>
      </c>
      <c r="F122" s="78" t="s">
        <v>10</v>
      </c>
      <c r="G122" s="78" t="s">
        <v>11</v>
      </c>
      <c r="H122" s="533" t="s">
        <v>24</v>
      </c>
      <c r="I122" s="564"/>
      <c r="J122" s="564"/>
      <c r="K122" s="89" t="s">
        <v>25</v>
      </c>
      <c r="L122" s="77" t="s">
        <v>9</v>
      </c>
      <c r="M122" s="78" t="s">
        <v>106</v>
      </c>
      <c r="N122" s="78" t="s">
        <v>10</v>
      </c>
      <c r="O122" s="78" t="s">
        <v>11</v>
      </c>
      <c r="P122" s="533" t="s">
        <v>24</v>
      </c>
      <c r="Q122" s="531"/>
      <c r="R122" s="531"/>
      <c r="S122" s="531"/>
      <c r="T122" s="89" t="s">
        <v>28</v>
      </c>
      <c r="U122" s="77" t="s">
        <v>9</v>
      </c>
      <c r="V122" s="78" t="s">
        <v>106</v>
      </c>
      <c r="W122" s="78" t="s">
        <v>10</v>
      </c>
      <c r="X122" s="78" t="s">
        <v>11</v>
      </c>
      <c r="Y122" s="533" t="s">
        <v>27</v>
      </c>
      <c r="Z122" s="531"/>
      <c r="AA122" s="531"/>
      <c r="AB122" s="89" t="s">
        <v>28</v>
      </c>
      <c r="AC122" s="77" t="s">
        <v>9</v>
      </c>
      <c r="AD122" s="78" t="s">
        <v>106</v>
      </c>
      <c r="AE122" s="78" t="s">
        <v>10</v>
      </c>
      <c r="AF122" s="78" t="s">
        <v>11</v>
      </c>
      <c r="AG122" s="533"/>
      <c r="AH122" s="531"/>
      <c r="AI122" s="89" t="s">
        <v>28</v>
      </c>
      <c r="AJ122" s="77" t="s">
        <v>9</v>
      </c>
      <c r="AK122" s="78" t="s">
        <v>106</v>
      </c>
      <c r="AL122" s="78" t="s">
        <v>10</v>
      </c>
      <c r="AM122" s="78" t="s">
        <v>11</v>
      </c>
      <c r="AN122" s="533"/>
      <c r="AP122" s="89" t="s">
        <v>28</v>
      </c>
      <c r="AQ122" s="77" t="s">
        <v>9</v>
      </c>
      <c r="AR122" s="78" t="s">
        <v>106</v>
      </c>
      <c r="AS122" s="78" t="s">
        <v>10</v>
      </c>
      <c r="AT122" s="78" t="s">
        <v>11</v>
      </c>
      <c r="AU122" s="533"/>
      <c r="AW122" s="89" t="s">
        <v>28</v>
      </c>
      <c r="AX122" s="77" t="s">
        <v>9</v>
      </c>
      <c r="AY122" s="78" t="s">
        <v>106</v>
      </c>
      <c r="AZ122" s="78" t="s">
        <v>10</v>
      </c>
      <c r="BA122" s="78" t="s">
        <v>11</v>
      </c>
      <c r="BB122" s="533"/>
      <c r="BD122" s="89" t="s">
        <v>28</v>
      </c>
      <c r="BE122" s="77" t="s">
        <v>9</v>
      </c>
      <c r="BF122" s="78" t="s">
        <v>106</v>
      </c>
      <c r="BG122" s="78" t="s">
        <v>10</v>
      </c>
      <c r="BH122" s="78" t="s">
        <v>11</v>
      </c>
      <c r="BI122" s="533"/>
      <c r="BK122" s="89" t="s">
        <v>28</v>
      </c>
      <c r="BL122" s="77" t="s">
        <v>9</v>
      </c>
      <c r="BM122" s="78" t="s">
        <v>106</v>
      </c>
      <c r="BN122" s="78" t="s">
        <v>10</v>
      </c>
      <c r="BO122" s="78" t="s">
        <v>11</v>
      </c>
      <c r="BP122" s="533"/>
      <c r="BR122" s="89" t="s">
        <v>28</v>
      </c>
      <c r="BS122" s="77" t="s">
        <v>9</v>
      </c>
      <c r="BT122" s="78" t="s">
        <v>106</v>
      </c>
      <c r="BU122" s="78" t="s">
        <v>10</v>
      </c>
      <c r="BV122" s="78" t="s">
        <v>11</v>
      </c>
      <c r="BW122" s="533"/>
      <c r="BY122" s="89" t="s">
        <v>28</v>
      </c>
      <c r="BZ122" s="77" t="s">
        <v>9</v>
      </c>
      <c r="CA122" s="78" t="s">
        <v>106</v>
      </c>
      <c r="CB122" s="78" t="s">
        <v>10</v>
      </c>
      <c r="CC122" s="78" t="s">
        <v>11</v>
      </c>
      <c r="CD122" s="533"/>
      <c r="CF122" s="89" t="s">
        <v>28</v>
      </c>
      <c r="CG122" s="77" t="s">
        <v>9</v>
      </c>
      <c r="CH122" s="78" t="s">
        <v>106</v>
      </c>
      <c r="CI122" s="78" t="s">
        <v>10</v>
      </c>
      <c r="CJ122" s="78" t="s">
        <v>11</v>
      </c>
      <c r="CK122" s="533"/>
      <c r="CN122" s="89" t="s">
        <v>28</v>
      </c>
      <c r="CO122" s="77" t="s">
        <v>9</v>
      </c>
      <c r="CP122" s="78" t="s">
        <v>106</v>
      </c>
      <c r="CQ122" s="78" t="s">
        <v>10</v>
      </c>
      <c r="CR122" s="78" t="s">
        <v>11</v>
      </c>
      <c r="CS122" s="533"/>
    </row>
    <row r="123" spans="1:97" ht="16" x14ac:dyDescent="0.2">
      <c r="A123" s="531"/>
      <c r="B123" s="531"/>
      <c r="C123" s="534" t="s">
        <v>498</v>
      </c>
      <c r="D123" s="535"/>
      <c r="E123" s="535">
        <v>20</v>
      </c>
      <c r="F123" s="535"/>
      <c r="G123" s="535"/>
      <c r="H123" s="536">
        <f>+SUM(D123:G123)</f>
        <v>20</v>
      </c>
      <c r="I123" s="565"/>
      <c r="J123" s="565"/>
      <c r="K123" s="534" t="s">
        <v>498</v>
      </c>
      <c r="L123" s="535"/>
      <c r="M123" s="535">
        <v>10</v>
      </c>
      <c r="N123" s="535"/>
      <c r="O123" s="535"/>
      <c r="P123" s="536">
        <f>+SUM(L123:O123)</f>
        <v>10</v>
      </c>
      <c r="Q123" s="531"/>
      <c r="R123" s="531"/>
      <c r="S123" s="531"/>
      <c r="T123" s="534" t="s">
        <v>498</v>
      </c>
      <c r="U123" s="535"/>
      <c r="V123" s="535">
        <v>20</v>
      </c>
      <c r="W123" s="535"/>
      <c r="X123" s="535"/>
      <c r="Y123" s="536">
        <f>+SUM(U123:X123)</f>
        <v>20</v>
      </c>
      <c r="Z123" s="531"/>
      <c r="AA123" s="531"/>
      <c r="AB123" s="534" t="s">
        <v>498</v>
      </c>
      <c r="AC123" s="535"/>
      <c r="AD123" s="535">
        <v>10</v>
      </c>
      <c r="AE123" s="535"/>
      <c r="AF123" s="535"/>
      <c r="AG123" s="536">
        <f>+SUM(AC123:AF123)</f>
        <v>10</v>
      </c>
      <c r="AH123" s="531"/>
      <c r="AI123" s="534" t="s">
        <v>615</v>
      </c>
      <c r="AJ123" s="535"/>
      <c r="AK123" s="535"/>
      <c r="AL123" s="535"/>
      <c r="AM123" s="535">
        <v>5</v>
      </c>
      <c r="AN123" s="536">
        <f>+SUM(AJ123:AM123)</f>
        <v>5</v>
      </c>
      <c r="AP123" s="534" t="s">
        <v>615</v>
      </c>
      <c r="AQ123" s="535"/>
      <c r="AR123" s="535"/>
      <c r="AS123" s="535"/>
      <c r="AT123" s="535">
        <v>10</v>
      </c>
      <c r="AU123" s="536">
        <f>+SUM(AQ123:AT123)</f>
        <v>10</v>
      </c>
      <c r="AW123" s="534" t="s">
        <v>615</v>
      </c>
      <c r="AX123" s="535">
        <v>10</v>
      </c>
      <c r="AY123" s="535"/>
      <c r="AZ123" s="535"/>
      <c r="BA123" s="535"/>
      <c r="BB123" s="536">
        <f>+SUM(AX123:BA123)</f>
        <v>10</v>
      </c>
      <c r="BD123" s="534" t="s">
        <v>615</v>
      </c>
      <c r="BE123" s="535">
        <v>5</v>
      </c>
      <c r="BF123" s="535"/>
      <c r="BG123" s="535"/>
      <c r="BH123" s="535"/>
      <c r="BI123" s="536">
        <f>+SUM(BE123:BH123)</f>
        <v>5</v>
      </c>
      <c r="BK123" s="534" t="s">
        <v>615</v>
      </c>
      <c r="BL123" s="535"/>
      <c r="BM123" s="535"/>
      <c r="BN123" s="535">
        <v>10</v>
      </c>
      <c r="BO123" s="535"/>
      <c r="BP123" s="536">
        <f>+SUM(BL123:BO123)</f>
        <v>10</v>
      </c>
      <c r="BR123" s="534" t="s">
        <v>615</v>
      </c>
      <c r="BS123" s="535"/>
      <c r="BT123" s="535"/>
      <c r="BU123" s="535">
        <v>5</v>
      </c>
      <c r="BV123" s="535"/>
      <c r="BW123" s="536">
        <f>+SUM(BS123:BV123)</f>
        <v>5</v>
      </c>
      <c r="BY123" s="534" t="s">
        <v>615</v>
      </c>
      <c r="BZ123" s="535"/>
      <c r="CA123" s="535"/>
      <c r="CB123" s="535"/>
      <c r="CC123" s="535">
        <v>10</v>
      </c>
      <c r="CD123" s="536">
        <f>+SUM(BZ123:CC123)</f>
        <v>10</v>
      </c>
      <c r="CF123" s="534" t="s">
        <v>615</v>
      </c>
      <c r="CG123" s="535"/>
      <c r="CH123" s="535"/>
      <c r="CI123" s="535"/>
      <c r="CJ123" s="535"/>
      <c r="CK123" s="536">
        <f>+SUM(CG123:CJ123)</f>
        <v>0</v>
      </c>
      <c r="CN123" s="534" t="s">
        <v>615</v>
      </c>
      <c r="CO123" s="535"/>
      <c r="CP123" s="535"/>
      <c r="CQ123" s="535"/>
      <c r="CR123" s="535"/>
      <c r="CS123" s="536">
        <f>+SUM(CO123:CR123)</f>
        <v>0</v>
      </c>
    </row>
    <row r="124" spans="1:97" ht="16" x14ac:dyDescent="0.2">
      <c r="A124" s="531"/>
      <c r="B124" s="531"/>
      <c r="C124" s="537" t="s">
        <v>503</v>
      </c>
      <c r="D124" s="538">
        <f>SUM(D100)</f>
        <v>364560.08706818189</v>
      </c>
      <c r="E124" s="538">
        <f>+D124</f>
        <v>364560.08706818189</v>
      </c>
      <c r="F124" s="538">
        <f>+E124</f>
        <v>364560.08706818189</v>
      </c>
      <c r="G124" s="538">
        <f>+F124</f>
        <v>364560.08706818189</v>
      </c>
      <c r="H124" s="540"/>
      <c r="I124" s="531"/>
      <c r="J124" s="531"/>
      <c r="K124" s="537" t="s">
        <v>503</v>
      </c>
      <c r="L124" s="538">
        <f>SUM(L100)*1.1</f>
        <v>436182.04377000011</v>
      </c>
      <c r="M124" s="538">
        <f>+L124</f>
        <v>436182.04377000011</v>
      </c>
      <c r="N124" s="538">
        <f>+M124</f>
        <v>436182.04377000011</v>
      </c>
      <c r="O124" s="538">
        <f>+N124</f>
        <v>436182.04377000011</v>
      </c>
      <c r="P124" s="540"/>
      <c r="Q124" s="531"/>
      <c r="R124" s="531"/>
      <c r="S124" s="531"/>
      <c r="T124" s="537" t="s">
        <v>503</v>
      </c>
      <c r="U124" s="538">
        <f>SUM(U100)*1.1</f>
        <v>547308.98820000014</v>
      </c>
      <c r="V124" s="538">
        <f>SUM(V100)*1.1</f>
        <v>547308.98820000014</v>
      </c>
      <c r="W124" s="538">
        <f>SUM(W100)*1.1</f>
        <v>547308.98820000014</v>
      </c>
      <c r="X124" s="538">
        <f>SUM(X100)*1.1</f>
        <v>547308.98820000014</v>
      </c>
      <c r="Y124" s="540"/>
      <c r="Z124" s="531"/>
      <c r="AA124" s="531"/>
      <c r="AB124" s="537" t="s">
        <v>503</v>
      </c>
      <c r="AC124" s="538">
        <f>SUM(AC100)*1.1</f>
        <v>185581.68952500005</v>
      </c>
      <c r="AD124" s="538">
        <f>SUM(AD100)*1.1</f>
        <v>185581.68952500005</v>
      </c>
      <c r="AE124" s="538">
        <f>SUM(AE100)*1.1</f>
        <v>185581.68952500005</v>
      </c>
      <c r="AF124" s="538">
        <f>SUM(AF100)*1.1</f>
        <v>185581.68952500005</v>
      </c>
      <c r="AG124" s="540"/>
      <c r="AH124" s="531"/>
      <c r="AI124" s="537" t="s">
        <v>503</v>
      </c>
      <c r="AJ124" s="538">
        <f>SUM(AJ100)*1.1</f>
        <v>1785192.1875000002</v>
      </c>
      <c r="AK124" s="538">
        <f>SUM(AK100)*1.1</f>
        <v>1785192.1875000002</v>
      </c>
      <c r="AL124" s="538">
        <f>SUM(AL100)*1.1</f>
        <v>1785192.1875000002</v>
      </c>
      <c r="AM124" s="538">
        <f>SUM(AM100)*1.1</f>
        <v>1785192.1875000002</v>
      </c>
      <c r="AN124" s="540"/>
      <c r="AP124" s="537" t="s">
        <v>503</v>
      </c>
      <c r="AQ124" s="538">
        <f>SUM(AQ100)*1.1</f>
        <v>246311.07389999996</v>
      </c>
      <c r="AR124" s="538">
        <f>SUM(AR100)*1.1</f>
        <v>246311.07389999996</v>
      </c>
      <c r="AS124" s="538">
        <f>SUM(AS100)*1.1</f>
        <v>246311.07389999996</v>
      </c>
      <c r="AT124" s="538">
        <f>SUM(AT100)*1.1</f>
        <v>246311.07389999996</v>
      </c>
      <c r="AU124" s="540"/>
      <c r="AW124" s="537" t="s">
        <v>503</v>
      </c>
      <c r="AX124" s="538">
        <f>SUM(AX100)*1.1</f>
        <v>1085076.5625</v>
      </c>
      <c r="AY124" s="538">
        <f>SUM(AY100)*1.1</f>
        <v>1085076.5625</v>
      </c>
      <c r="AZ124" s="538">
        <f>SUM(AZ100)*1.1</f>
        <v>1085076.5625</v>
      </c>
      <c r="BA124" s="538">
        <f>SUM(BA100)*1.1</f>
        <v>1085076.5625</v>
      </c>
      <c r="BB124" s="540"/>
      <c r="BD124" s="537" t="s">
        <v>503</v>
      </c>
      <c r="BE124" s="538">
        <f>SUM(BE100)*1.1</f>
        <v>3496985.1562500005</v>
      </c>
      <c r="BF124" s="538">
        <f>SUM(BF100)*1.1</f>
        <v>3496985.1562500005</v>
      </c>
      <c r="BG124" s="538">
        <f>SUM(BG100)*1.1</f>
        <v>3496985.1562500005</v>
      </c>
      <c r="BH124" s="538">
        <f>SUM(BH100)*1.1</f>
        <v>3496985.1562500005</v>
      </c>
      <c r="BI124" s="540"/>
      <c r="BK124" s="537" t="s">
        <v>503</v>
      </c>
      <c r="BL124" s="538">
        <f>SUM(BL100)*1.1</f>
        <v>3756705.4687500005</v>
      </c>
      <c r="BM124" s="538">
        <f>SUM(BM100)*1.1</f>
        <v>3756705.4687500005</v>
      </c>
      <c r="BN124" s="538">
        <f>SUM(BN100)*1.1</f>
        <v>3756705.4687500005</v>
      </c>
      <c r="BO124" s="538">
        <f>SUM(BO100)*1.1</f>
        <v>3756705.4687500005</v>
      </c>
      <c r="BP124" s="540"/>
      <c r="BR124" s="537" t="s">
        <v>503</v>
      </c>
      <c r="BS124" s="538">
        <f>SUM(BS100)*1.1</f>
        <v>1275125.3100000003</v>
      </c>
      <c r="BT124" s="538">
        <f>SUM(BT100)*1.1</f>
        <v>1275125.3100000003</v>
      </c>
      <c r="BU124" s="538">
        <f>SUM(BU100)*1.1</f>
        <v>1275125.3100000003</v>
      </c>
      <c r="BV124" s="538">
        <f>SUM(BV100)*1.1</f>
        <v>1275125.3100000003</v>
      </c>
      <c r="BW124" s="540"/>
      <c r="BY124" s="537" t="s">
        <v>503</v>
      </c>
      <c r="BZ124" s="538">
        <f>SUM(BZ100)*1.1</f>
        <v>663644.5695000001</v>
      </c>
      <c r="CA124" s="538">
        <f>SUM(CA100)*1.1</f>
        <v>663644.5695000001</v>
      </c>
      <c r="CB124" s="538">
        <f>SUM(CB100)*1.1</f>
        <v>663644.5695000001</v>
      </c>
      <c r="CC124" s="538">
        <f>SUM(CC100)*1.1</f>
        <v>663644.5695000001</v>
      </c>
      <c r="CD124" s="540"/>
      <c r="CF124" s="537" t="s">
        <v>503</v>
      </c>
      <c r="CG124" s="538">
        <f>SUM(CG100)*1.1</f>
        <v>1512500.0000000002</v>
      </c>
      <c r="CH124" s="538">
        <f>SUM(CH100)*1.1</f>
        <v>1512500.0000000002</v>
      </c>
      <c r="CI124" s="538">
        <f>SUM(CI100)*1.1</f>
        <v>1512500.0000000002</v>
      </c>
      <c r="CJ124" s="538">
        <f>SUM(CJ100)*1.1</f>
        <v>1512500.0000000002</v>
      </c>
      <c r="CK124" s="540"/>
      <c r="CN124" s="537" t="s">
        <v>503</v>
      </c>
      <c r="CO124" s="538">
        <f>SUM(CO100)*1.1</f>
        <v>726000.00000000012</v>
      </c>
      <c r="CP124" s="538">
        <f>SUM(CP100)*1.1</f>
        <v>726000.00000000012</v>
      </c>
      <c r="CQ124" s="538">
        <f>SUM(CQ100)*1.1</f>
        <v>726000.00000000012</v>
      </c>
      <c r="CR124" s="538">
        <f>SUM(CR100)*1.1</f>
        <v>726000.00000000012</v>
      </c>
      <c r="CS124" s="540"/>
    </row>
    <row r="125" spans="1:97" ht="16" x14ac:dyDescent="0.2">
      <c r="A125" s="531"/>
      <c r="B125" s="531"/>
      <c r="C125" s="95" t="s">
        <v>7</v>
      </c>
      <c r="D125" s="530">
        <f>+D124*D123</f>
        <v>0</v>
      </c>
      <c r="E125" s="530">
        <f>+E124*E123</f>
        <v>7291201.7413636381</v>
      </c>
      <c r="F125" s="541">
        <f>+F124*F123</f>
        <v>0</v>
      </c>
      <c r="G125" s="541">
        <f>+G124*G123</f>
        <v>0</v>
      </c>
      <c r="H125" s="540"/>
      <c r="I125" s="531"/>
      <c r="J125" s="531"/>
      <c r="K125" s="95" t="s">
        <v>7</v>
      </c>
      <c r="L125" s="530">
        <f>+L124*L123</f>
        <v>0</v>
      </c>
      <c r="M125" s="530">
        <f>+M124*M123</f>
        <v>4361820.4377000015</v>
      </c>
      <c r="N125" s="541">
        <f>+N124*N123</f>
        <v>0</v>
      </c>
      <c r="O125" s="541">
        <f>+O124*O123</f>
        <v>0</v>
      </c>
      <c r="P125" s="540"/>
      <c r="Q125" s="531"/>
      <c r="R125" s="531"/>
      <c r="S125" s="531"/>
      <c r="T125" s="95" t="s">
        <v>7</v>
      </c>
      <c r="U125" s="530">
        <f>+U124*U123</f>
        <v>0</v>
      </c>
      <c r="V125" s="530">
        <f>+V124*V123</f>
        <v>10946179.764000002</v>
      </c>
      <c r="W125" s="541">
        <f>+W124*W123</f>
        <v>0</v>
      </c>
      <c r="X125" s="541">
        <f>+X124*X123</f>
        <v>0</v>
      </c>
      <c r="Y125" s="540"/>
      <c r="Z125" s="531"/>
      <c r="AA125" s="531"/>
      <c r="AB125" s="95" t="s">
        <v>7</v>
      </c>
      <c r="AC125" s="530">
        <f>+AC124*AC123</f>
        <v>0</v>
      </c>
      <c r="AD125" s="530">
        <f>+AD124*AD123</f>
        <v>1855816.8952500005</v>
      </c>
      <c r="AE125" s="541">
        <f>+AE124*AE123</f>
        <v>0</v>
      </c>
      <c r="AF125" s="541">
        <f>+AF124*AF123</f>
        <v>0</v>
      </c>
      <c r="AG125" s="540"/>
      <c r="AH125" s="531"/>
      <c r="AI125" s="95" t="s">
        <v>7</v>
      </c>
      <c r="AJ125" s="530">
        <f>+AJ124*AJ123</f>
        <v>0</v>
      </c>
      <c r="AK125" s="530">
        <f>+AK124*AK123</f>
        <v>0</v>
      </c>
      <c r="AL125" s="541">
        <f>+AL124*AL123</f>
        <v>0</v>
      </c>
      <c r="AM125" s="541">
        <f>+AM124*AM123</f>
        <v>8925960.9375000019</v>
      </c>
      <c r="AN125" s="540"/>
      <c r="AP125" s="95" t="s">
        <v>7</v>
      </c>
      <c r="AQ125" s="530">
        <f>+AQ124*AQ123</f>
        <v>0</v>
      </c>
      <c r="AR125" s="530">
        <f>+AR124*AR123</f>
        <v>0</v>
      </c>
      <c r="AS125" s="541">
        <f>+AS124*AS123</f>
        <v>0</v>
      </c>
      <c r="AT125" s="541">
        <f>+AT124*AT123</f>
        <v>2463110.7389999996</v>
      </c>
      <c r="AU125" s="540"/>
      <c r="AW125" s="95" t="s">
        <v>7</v>
      </c>
      <c r="AX125" s="530">
        <f>+AX124*AX123</f>
        <v>10850765.625</v>
      </c>
      <c r="AY125" s="530">
        <f>+AY124*AY123</f>
        <v>0</v>
      </c>
      <c r="AZ125" s="541">
        <f>+AZ124*AZ123</f>
        <v>0</v>
      </c>
      <c r="BA125" s="541">
        <f>+BA124*BA123</f>
        <v>0</v>
      </c>
      <c r="BB125" s="540"/>
      <c r="BD125" s="95" t="s">
        <v>7</v>
      </c>
      <c r="BE125" s="530">
        <f>+BE124*BE123</f>
        <v>17484925.781250004</v>
      </c>
      <c r="BF125" s="530">
        <f>+BF124*BF123</f>
        <v>0</v>
      </c>
      <c r="BG125" s="541">
        <f>+BG124*BG123</f>
        <v>0</v>
      </c>
      <c r="BH125" s="541">
        <f>+BH124*BH123</f>
        <v>0</v>
      </c>
      <c r="BI125" s="540"/>
      <c r="BK125" s="95" t="s">
        <v>7</v>
      </c>
      <c r="BL125" s="530">
        <f>+BL124*BL123</f>
        <v>0</v>
      </c>
      <c r="BM125" s="530">
        <f>+BM124*BM123</f>
        <v>0</v>
      </c>
      <c r="BN125" s="541">
        <f>+BN124*BN123</f>
        <v>37567054.687500007</v>
      </c>
      <c r="BO125" s="541">
        <f>+BO124*BO123</f>
        <v>0</v>
      </c>
      <c r="BP125" s="540"/>
      <c r="BR125" s="95" t="s">
        <v>7</v>
      </c>
      <c r="BS125" s="530">
        <f>+BS124*BS123</f>
        <v>0</v>
      </c>
      <c r="BT125" s="530">
        <f>+BT124*BT123</f>
        <v>0</v>
      </c>
      <c r="BU125" s="541">
        <f>+BU124*BU123</f>
        <v>6375626.5500000017</v>
      </c>
      <c r="BV125" s="541">
        <f>+BV124*BV123</f>
        <v>0</v>
      </c>
      <c r="BW125" s="540"/>
      <c r="BY125" s="95" t="s">
        <v>7</v>
      </c>
      <c r="BZ125" s="530">
        <f>+BZ124*BZ123</f>
        <v>0</v>
      </c>
      <c r="CA125" s="530">
        <f>+CA124*CA123</f>
        <v>0</v>
      </c>
      <c r="CB125" s="541">
        <f>+CB124*CB123</f>
        <v>0</v>
      </c>
      <c r="CC125" s="541">
        <f>+CC124*CC123</f>
        <v>6636445.6950000012</v>
      </c>
      <c r="CD125" s="540"/>
      <c r="CF125" s="95" t="s">
        <v>7</v>
      </c>
      <c r="CG125" s="530">
        <f>+CG124*CG123</f>
        <v>0</v>
      </c>
      <c r="CH125" s="530">
        <f>+CH124*CH123</f>
        <v>0</v>
      </c>
      <c r="CI125" s="541">
        <f>+CI124*CI123</f>
        <v>0</v>
      </c>
      <c r="CJ125" s="541">
        <f>+CJ124*CJ123</f>
        <v>0</v>
      </c>
      <c r="CK125" s="540"/>
      <c r="CN125" s="95" t="s">
        <v>7</v>
      </c>
      <c r="CO125" s="530">
        <f>+CO124*CO123</f>
        <v>0</v>
      </c>
      <c r="CP125" s="530">
        <f>+CP124*CP123</f>
        <v>0</v>
      </c>
      <c r="CQ125" s="541">
        <f>+CQ124*CQ123</f>
        <v>0</v>
      </c>
      <c r="CR125" s="541">
        <f>+CR124*CR123</f>
        <v>0</v>
      </c>
      <c r="CS125" s="540"/>
    </row>
    <row r="126" spans="1:97" ht="16" x14ac:dyDescent="0.2">
      <c r="A126" s="531"/>
      <c r="B126" s="531"/>
      <c r="C126" s="542" t="s">
        <v>8</v>
      </c>
      <c r="D126" s="538">
        <f>+D125</f>
        <v>0</v>
      </c>
      <c r="E126" s="538">
        <f>+D126+E125</f>
        <v>7291201.7413636381</v>
      </c>
      <c r="F126" s="539">
        <f>+E126+F125</f>
        <v>7291201.7413636381</v>
      </c>
      <c r="G126" s="539">
        <f>+F126+G125</f>
        <v>7291201.7413636381</v>
      </c>
      <c r="H126" s="540"/>
      <c r="I126" s="531"/>
      <c r="J126" s="531"/>
      <c r="K126" s="542" t="s">
        <v>8</v>
      </c>
      <c r="L126" s="538">
        <f>+L125</f>
        <v>0</v>
      </c>
      <c r="M126" s="538">
        <f>+L126+M125</f>
        <v>4361820.4377000015</v>
      </c>
      <c r="N126" s="539">
        <f>+M126+N125</f>
        <v>4361820.4377000015</v>
      </c>
      <c r="O126" s="539">
        <f>+N126+O125</f>
        <v>4361820.4377000015</v>
      </c>
      <c r="P126" s="540"/>
      <c r="Q126" s="531"/>
      <c r="R126" s="531"/>
      <c r="S126" s="531"/>
      <c r="T126" s="542" t="s">
        <v>8</v>
      </c>
      <c r="U126" s="538">
        <f>+U125</f>
        <v>0</v>
      </c>
      <c r="V126" s="538">
        <f>+U126+V125</f>
        <v>10946179.764000002</v>
      </c>
      <c r="W126" s="539">
        <f>+V126+W125</f>
        <v>10946179.764000002</v>
      </c>
      <c r="X126" s="539">
        <f>+W126+X125</f>
        <v>10946179.764000002</v>
      </c>
      <c r="Y126" s="540"/>
      <c r="Z126" s="531"/>
      <c r="AA126" s="531"/>
      <c r="AB126" s="542" t="s">
        <v>8</v>
      </c>
      <c r="AC126" s="538">
        <f>+AC125</f>
        <v>0</v>
      </c>
      <c r="AD126" s="538">
        <f>+AC126+AD125</f>
        <v>1855816.8952500005</v>
      </c>
      <c r="AE126" s="539">
        <f>+AD126+AE125</f>
        <v>1855816.8952500005</v>
      </c>
      <c r="AF126" s="539">
        <f>+AE126+AF125</f>
        <v>1855816.8952500005</v>
      </c>
      <c r="AG126" s="540"/>
      <c r="AH126" s="531"/>
      <c r="AI126" s="542" t="s">
        <v>8</v>
      </c>
      <c r="AJ126" s="538">
        <f>+AJ125</f>
        <v>0</v>
      </c>
      <c r="AK126" s="538">
        <f>+AJ126+AK125</f>
        <v>0</v>
      </c>
      <c r="AL126" s="539">
        <f>+AK126+AL125</f>
        <v>0</v>
      </c>
      <c r="AM126" s="539">
        <f>+AL126+AM125</f>
        <v>8925960.9375000019</v>
      </c>
      <c r="AN126" s="540"/>
      <c r="AP126" s="542" t="s">
        <v>8</v>
      </c>
      <c r="AQ126" s="538">
        <f>+AQ125</f>
        <v>0</v>
      </c>
      <c r="AR126" s="538">
        <f>+AQ126+AR125</f>
        <v>0</v>
      </c>
      <c r="AS126" s="539">
        <f>+AR126+AS125</f>
        <v>0</v>
      </c>
      <c r="AT126" s="539">
        <f>+AS126+AT125</f>
        <v>2463110.7389999996</v>
      </c>
      <c r="AU126" s="540"/>
      <c r="AW126" s="542" t="s">
        <v>8</v>
      </c>
      <c r="AX126" s="538">
        <f>+AX125</f>
        <v>10850765.625</v>
      </c>
      <c r="AY126" s="538">
        <f>+AX126+AY125</f>
        <v>10850765.625</v>
      </c>
      <c r="AZ126" s="539">
        <f>+AY126+AZ125</f>
        <v>10850765.625</v>
      </c>
      <c r="BA126" s="539">
        <f>+AZ126+BA125</f>
        <v>10850765.625</v>
      </c>
      <c r="BB126" s="540"/>
      <c r="BD126" s="542" t="s">
        <v>8</v>
      </c>
      <c r="BE126" s="538">
        <f>+BE125</f>
        <v>17484925.781250004</v>
      </c>
      <c r="BF126" s="538">
        <f>+BE126+BF125</f>
        <v>17484925.781250004</v>
      </c>
      <c r="BG126" s="539">
        <f>+BF126+BG125</f>
        <v>17484925.781250004</v>
      </c>
      <c r="BH126" s="539">
        <f>+BG126+BH125</f>
        <v>17484925.781250004</v>
      </c>
      <c r="BI126" s="540"/>
      <c r="BK126" s="542" t="s">
        <v>8</v>
      </c>
      <c r="BL126" s="538">
        <f>+BL125</f>
        <v>0</v>
      </c>
      <c r="BM126" s="538">
        <f>+BL126+BM125</f>
        <v>0</v>
      </c>
      <c r="BN126" s="539">
        <f>+BM126+BN125</f>
        <v>37567054.687500007</v>
      </c>
      <c r="BO126" s="539">
        <f>+BN126+BO125</f>
        <v>37567054.687500007</v>
      </c>
      <c r="BP126" s="540"/>
      <c r="BR126" s="542" t="s">
        <v>8</v>
      </c>
      <c r="BS126" s="538">
        <f>+BS125</f>
        <v>0</v>
      </c>
      <c r="BT126" s="538">
        <f>+BS126+BT125</f>
        <v>0</v>
      </c>
      <c r="BU126" s="539">
        <f>+BT126+BU125</f>
        <v>6375626.5500000017</v>
      </c>
      <c r="BV126" s="539">
        <f>+BU126+BV125</f>
        <v>6375626.5500000017</v>
      </c>
      <c r="BW126" s="540"/>
      <c r="BY126" s="542" t="s">
        <v>8</v>
      </c>
      <c r="BZ126" s="538">
        <f>+BZ125</f>
        <v>0</v>
      </c>
      <c r="CA126" s="538">
        <f>+BZ126+CA125</f>
        <v>0</v>
      </c>
      <c r="CB126" s="539">
        <f>+CA126+CB125</f>
        <v>0</v>
      </c>
      <c r="CC126" s="539">
        <f>+CB126+CC125</f>
        <v>6636445.6950000012</v>
      </c>
      <c r="CD126" s="540"/>
      <c r="CF126" s="542" t="s">
        <v>8</v>
      </c>
      <c r="CG126" s="538">
        <f>+CG125</f>
        <v>0</v>
      </c>
      <c r="CH126" s="538">
        <f>+CG126+CH125</f>
        <v>0</v>
      </c>
      <c r="CI126" s="539">
        <f>+CH126+CI125</f>
        <v>0</v>
      </c>
      <c r="CJ126" s="539">
        <f>+CI126+CJ125</f>
        <v>0</v>
      </c>
      <c r="CK126" s="540"/>
      <c r="CN126" s="542" t="s">
        <v>8</v>
      </c>
      <c r="CO126" s="538">
        <f>+CO125</f>
        <v>0</v>
      </c>
      <c r="CP126" s="538">
        <f>+CO126+CP125</f>
        <v>0</v>
      </c>
      <c r="CQ126" s="539">
        <f>+CP126+CQ125</f>
        <v>0</v>
      </c>
      <c r="CR126" s="539">
        <f>+CQ126+CR125</f>
        <v>0</v>
      </c>
      <c r="CS126" s="540"/>
    </row>
    <row r="127" spans="1:97" ht="16" x14ac:dyDescent="0.2">
      <c r="A127" s="531"/>
      <c r="B127" s="531"/>
      <c r="C127" s="543"/>
      <c r="D127" s="544"/>
      <c r="E127" s="544"/>
      <c r="F127" s="536"/>
      <c r="G127" s="536"/>
      <c r="H127" s="540"/>
      <c r="I127" s="531"/>
      <c r="J127" s="531"/>
      <c r="K127" s="543"/>
      <c r="L127" s="544"/>
      <c r="M127" s="544"/>
      <c r="N127" s="536"/>
      <c r="O127" s="536"/>
      <c r="P127" s="540"/>
      <c r="Q127" s="531"/>
      <c r="R127" s="531"/>
      <c r="S127" s="531"/>
      <c r="T127" s="543"/>
      <c r="U127" s="544"/>
      <c r="V127" s="544"/>
      <c r="W127" s="536"/>
      <c r="X127" s="536"/>
      <c r="Y127" s="540"/>
      <c r="Z127" s="531"/>
      <c r="AA127" s="531"/>
      <c r="AB127" s="543"/>
      <c r="AC127" s="544"/>
      <c r="AD127" s="544"/>
      <c r="AE127" s="536"/>
      <c r="AF127" s="536"/>
      <c r="AG127" s="540"/>
      <c r="AH127" s="531"/>
      <c r="AI127" s="543"/>
      <c r="AJ127" s="544"/>
      <c r="AK127" s="544"/>
      <c r="AL127" s="536"/>
      <c r="AM127" s="536"/>
      <c r="AN127" s="540"/>
      <c r="AP127" s="543"/>
      <c r="AQ127" s="544"/>
      <c r="AR127" s="544"/>
      <c r="AS127" s="536"/>
      <c r="AT127" s="536"/>
      <c r="AU127" s="540"/>
      <c r="AW127" s="543"/>
      <c r="AX127" s="544"/>
      <c r="AY127" s="544"/>
      <c r="AZ127" s="536"/>
      <c r="BA127" s="536"/>
      <c r="BB127" s="540"/>
      <c r="BD127" s="543"/>
      <c r="BE127" s="544"/>
      <c r="BF127" s="544"/>
      <c r="BG127" s="536"/>
      <c r="BH127" s="536"/>
      <c r="BI127" s="540"/>
      <c r="BK127" s="543"/>
      <c r="BL127" s="544"/>
      <c r="BM127" s="544"/>
      <c r="BN127" s="536"/>
      <c r="BO127" s="536"/>
      <c r="BP127" s="540"/>
      <c r="BR127" s="543"/>
      <c r="BS127" s="544"/>
      <c r="BT127" s="544"/>
      <c r="BU127" s="536"/>
      <c r="BV127" s="536"/>
      <c r="BW127" s="540"/>
      <c r="BY127" s="543"/>
      <c r="BZ127" s="544"/>
      <c r="CA127" s="544"/>
      <c r="CB127" s="536"/>
      <c r="CC127" s="536"/>
      <c r="CD127" s="540"/>
      <c r="CF127" s="543"/>
      <c r="CG127" s="544"/>
      <c r="CH127" s="544"/>
      <c r="CI127" s="536"/>
      <c r="CJ127" s="536"/>
      <c r="CK127" s="540"/>
      <c r="CN127" s="543"/>
      <c r="CO127" s="544"/>
      <c r="CP127" s="544"/>
      <c r="CQ127" s="536"/>
      <c r="CR127" s="536"/>
      <c r="CS127" s="540"/>
    </row>
    <row r="128" spans="1:97" ht="16" x14ac:dyDescent="0.2">
      <c r="A128" s="531"/>
      <c r="B128" s="531"/>
      <c r="C128" s="545" t="s">
        <v>420</v>
      </c>
      <c r="D128" s="544"/>
      <c r="E128" s="544"/>
      <c r="F128" s="536"/>
      <c r="G128" s="536"/>
      <c r="H128" s="540"/>
      <c r="I128" s="531"/>
      <c r="J128" s="531"/>
      <c r="K128" s="545" t="s">
        <v>420</v>
      </c>
      <c r="L128" s="544"/>
      <c r="M128" s="544"/>
      <c r="N128" s="536"/>
      <c r="O128" s="536"/>
      <c r="P128" s="540"/>
      <c r="Q128" s="531"/>
      <c r="R128" s="531"/>
      <c r="S128" s="531"/>
      <c r="T128" s="545" t="s">
        <v>419</v>
      </c>
      <c r="U128" s="544"/>
      <c r="V128" s="544"/>
      <c r="W128" s="536"/>
      <c r="X128" s="536"/>
      <c r="Y128" s="540"/>
      <c r="Z128" s="531"/>
      <c r="AA128" s="531"/>
      <c r="AB128" s="545" t="s">
        <v>419</v>
      </c>
      <c r="AC128" s="544"/>
      <c r="AD128" s="544"/>
      <c r="AE128" s="536"/>
      <c r="AF128" s="536"/>
      <c r="AG128" s="540"/>
      <c r="AH128" s="531"/>
      <c r="AI128" s="545" t="s">
        <v>419</v>
      </c>
      <c r="AJ128" s="544"/>
      <c r="AK128" s="544"/>
      <c r="AL128" s="536"/>
      <c r="AM128" s="536"/>
      <c r="AN128" s="540"/>
      <c r="AP128" s="545" t="s">
        <v>419</v>
      </c>
      <c r="AQ128" s="544"/>
      <c r="AR128" s="544"/>
      <c r="AS128" s="536"/>
      <c r="AT128" s="536"/>
      <c r="AU128" s="540"/>
      <c r="AW128" s="545" t="s">
        <v>419</v>
      </c>
      <c r="AX128" s="544"/>
      <c r="AY128" s="544"/>
      <c r="AZ128" s="536"/>
      <c r="BA128" s="536"/>
      <c r="BB128" s="540"/>
      <c r="BD128" s="545" t="s">
        <v>419</v>
      </c>
      <c r="BE128" s="544"/>
      <c r="BF128" s="544"/>
      <c r="BG128" s="536"/>
      <c r="BH128" s="536"/>
      <c r="BI128" s="540"/>
      <c r="BK128" s="545" t="s">
        <v>419</v>
      </c>
      <c r="BL128" s="544"/>
      <c r="BM128" s="544"/>
      <c r="BN128" s="536"/>
      <c r="BO128" s="536"/>
      <c r="BP128" s="540"/>
      <c r="BR128" s="545" t="s">
        <v>419</v>
      </c>
      <c r="BS128" s="544"/>
      <c r="BT128" s="544"/>
      <c r="BU128" s="536"/>
      <c r="BV128" s="536"/>
      <c r="BW128" s="540"/>
      <c r="BY128" s="545" t="s">
        <v>419</v>
      </c>
      <c r="BZ128" s="544"/>
      <c r="CA128" s="544"/>
      <c r="CB128" s="536"/>
      <c r="CC128" s="536"/>
      <c r="CD128" s="540"/>
      <c r="CF128" s="545" t="s">
        <v>616</v>
      </c>
      <c r="CG128" s="544"/>
      <c r="CH128" s="544"/>
      <c r="CI128" s="536"/>
      <c r="CJ128" s="536"/>
      <c r="CK128" s="540"/>
      <c r="CN128" s="545" t="s">
        <v>616</v>
      </c>
      <c r="CO128" s="544"/>
      <c r="CP128" s="544"/>
      <c r="CQ128" s="536"/>
      <c r="CR128" s="536"/>
      <c r="CS128" s="540"/>
    </row>
    <row r="129" spans="1:97" ht="16" x14ac:dyDescent="0.2">
      <c r="A129" s="531"/>
      <c r="B129" s="531"/>
      <c r="C129" s="537" t="s">
        <v>418</v>
      </c>
      <c r="D129" s="538">
        <f>+D123</f>
        <v>0</v>
      </c>
      <c r="E129" s="538">
        <f>+E123</f>
        <v>20</v>
      </c>
      <c r="F129" s="538">
        <f>+F123</f>
        <v>0</v>
      </c>
      <c r="G129" s="538">
        <f>+G123</f>
        <v>0</v>
      </c>
      <c r="H129" s="536"/>
      <c r="I129" s="565"/>
      <c r="J129" s="565"/>
      <c r="K129" s="537" t="s">
        <v>418</v>
      </c>
      <c r="L129" s="538">
        <f>+L123</f>
        <v>0</v>
      </c>
      <c r="M129" s="538">
        <f>+M123</f>
        <v>10</v>
      </c>
      <c r="N129" s="538">
        <f>+N123</f>
        <v>0</v>
      </c>
      <c r="O129" s="538">
        <f>+O123</f>
        <v>0</v>
      </c>
      <c r="P129" s="536"/>
      <c r="Q129" s="531"/>
      <c r="R129" s="531"/>
      <c r="S129" s="531"/>
      <c r="T129" s="537" t="s">
        <v>1</v>
      </c>
      <c r="U129" s="538">
        <f>+U123</f>
        <v>0</v>
      </c>
      <c r="V129" s="538">
        <f>+V123</f>
        <v>20</v>
      </c>
      <c r="W129" s="538">
        <f>+W123</f>
        <v>0</v>
      </c>
      <c r="X129" s="538">
        <f>+X123</f>
        <v>0</v>
      </c>
      <c r="Y129" s="536"/>
      <c r="Z129" s="531"/>
      <c r="AA129" s="531"/>
      <c r="AB129" s="537" t="s">
        <v>1</v>
      </c>
      <c r="AC129" s="538">
        <f>+AC123</f>
        <v>0</v>
      </c>
      <c r="AD129" s="538">
        <f>+AD123</f>
        <v>10</v>
      </c>
      <c r="AE129" s="538">
        <f>+AE123</f>
        <v>0</v>
      </c>
      <c r="AF129" s="538">
        <f>+AF123</f>
        <v>0</v>
      </c>
      <c r="AG129" s="536"/>
      <c r="AH129" s="531"/>
      <c r="AI129" s="537" t="s">
        <v>1</v>
      </c>
      <c r="AJ129" s="538">
        <f>+AJ123</f>
        <v>0</v>
      </c>
      <c r="AK129" s="538">
        <f>+AK123</f>
        <v>0</v>
      </c>
      <c r="AL129" s="538">
        <f>+AL123</f>
        <v>0</v>
      </c>
      <c r="AM129" s="538">
        <f>+AM123</f>
        <v>5</v>
      </c>
      <c r="AN129" s="536"/>
      <c r="AP129" s="537" t="s">
        <v>1</v>
      </c>
      <c r="AQ129" s="538">
        <f>+AQ123</f>
        <v>0</v>
      </c>
      <c r="AR129" s="538">
        <f>+AR123</f>
        <v>0</v>
      </c>
      <c r="AS129" s="538">
        <f>+AS123</f>
        <v>0</v>
      </c>
      <c r="AT129" s="538">
        <f>+AT123</f>
        <v>10</v>
      </c>
      <c r="AU129" s="536"/>
      <c r="AW129" s="537" t="s">
        <v>1</v>
      </c>
      <c r="AX129" s="538">
        <f>+AX123</f>
        <v>10</v>
      </c>
      <c r="AY129" s="538">
        <f>+AY123</f>
        <v>0</v>
      </c>
      <c r="AZ129" s="538">
        <f>+AZ123</f>
        <v>0</v>
      </c>
      <c r="BA129" s="538">
        <f>+BA123</f>
        <v>0</v>
      </c>
      <c r="BB129" s="536"/>
      <c r="BD129" s="537" t="s">
        <v>1</v>
      </c>
      <c r="BE129" s="538">
        <f>+BE123</f>
        <v>5</v>
      </c>
      <c r="BF129" s="538">
        <f>+BF123</f>
        <v>0</v>
      </c>
      <c r="BG129" s="538">
        <f>+BG123</f>
        <v>0</v>
      </c>
      <c r="BH129" s="538">
        <f>+BH123</f>
        <v>0</v>
      </c>
      <c r="BI129" s="536"/>
      <c r="BK129" s="537" t="s">
        <v>1</v>
      </c>
      <c r="BL129" s="538">
        <f>+BL123</f>
        <v>0</v>
      </c>
      <c r="BM129" s="538">
        <f>+BM123</f>
        <v>0</v>
      </c>
      <c r="BN129" s="538">
        <f>+BN123</f>
        <v>10</v>
      </c>
      <c r="BO129" s="538">
        <f>+BO123</f>
        <v>0</v>
      </c>
      <c r="BP129" s="536"/>
      <c r="BR129" s="537" t="s">
        <v>1</v>
      </c>
      <c r="BS129" s="538">
        <f>+BS123</f>
        <v>0</v>
      </c>
      <c r="BT129" s="538">
        <f>+BT123</f>
        <v>0</v>
      </c>
      <c r="BU129" s="538">
        <f>+BU123</f>
        <v>5</v>
      </c>
      <c r="BV129" s="538">
        <f>+BV123</f>
        <v>0</v>
      </c>
      <c r="BW129" s="536"/>
      <c r="BY129" s="537" t="s">
        <v>1</v>
      </c>
      <c r="BZ129" s="538">
        <f>+BZ123</f>
        <v>0</v>
      </c>
      <c r="CA129" s="538">
        <f>+CA123</f>
        <v>0</v>
      </c>
      <c r="CB129" s="538">
        <f>+CB123</f>
        <v>0</v>
      </c>
      <c r="CC129" s="538">
        <f>+CC123</f>
        <v>10</v>
      </c>
      <c r="CD129" s="536"/>
      <c r="CF129" s="537" t="s">
        <v>1</v>
      </c>
      <c r="CG129" s="538">
        <v>5</v>
      </c>
      <c r="CH129" s="538">
        <v>5</v>
      </c>
      <c r="CI129" s="538">
        <v>5</v>
      </c>
      <c r="CJ129" s="538">
        <v>5</v>
      </c>
      <c r="CK129" s="536"/>
      <c r="CN129" s="537" t="s">
        <v>1</v>
      </c>
      <c r="CO129" s="538"/>
      <c r="CP129" s="538"/>
      <c r="CQ129" s="538"/>
      <c r="CR129" s="538"/>
      <c r="CS129" s="536"/>
    </row>
    <row r="130" spans="1:97" ht="16" x14ac:dyDescent="0.2">
      <c r="A130" s="531"/>
      <c r="B130" s="531"/>
      <c r="C130" s="543" t="s">
        <v>0</v>
      </c>
      <c r="D130" s="567">
        <f>SUM(D106)*1.1</f>
        <v>46585.000000000007</v>
      </c>
      <c r="E130" s="567">
        <f>+D130</f>
        <v>46585.000000000007</v>
      </c>
      <c r="F130" s="567">
        <f>+E130</f>
        <v>46585.000000000007</v>
      </c>
      <c r="G130" s="567">
        <f>+F130</f>
        <v>46585.000000000007</v>
      </c>
      <c r="H130" s="540"/>
      <c r="I130" s="531"/>
      <c r="J130" s="531"/>
      <c r="K130" s="543" t="s">
        <v>0</v>
      </c>
      <c r="L130" s="567">
        <f>SUM(L106)*1.1</f>
        <v>46585.000000000007</v>
      </c>
      <c r="M130" s="567">
        <f>+L130</f>
        <v>46585.000000000007</v>
      </c>
      <c r="N130" s="567">
        <f>+M130</f>
        <v>46585.000000000007</v>
      </c>
      <c r="O130" s="567">
        <f>+N130</f>
        <v>46585.000000000007</v>
      </c>
      <c r="P130" s="540"/>
      <c r="Q130" s="531"/>
      <c r="R130" s="531"/>
      <c r="S130" s="531"/>
      <c r="T130" s="543" t="s">
        <v>0</v>
      </c>
      <c r="U130" s="567">
        <f>SUM(U106)*1.1</f>
        <v>46585.000000000007</v>
      </c>
      <c r="V130" s="567">
        <f>+U130</f>
        <v>46585.000000000007</v>
      </c>
      <c r="W130" s="567">
        <f>+V130</f>
        <v>46585.000000000007</v>
      </c>
      <c r="X130" s="567">
        <f>+W130</f>
        <v>46585.000000000007</v>
      </c>
      <c r="Y130" s="540"/>
      <c r="Z130" s="531"/>
      <c r="AA130" s="531"/>
      <c r="AB130" s="543" t="s">
        <v>0</v>
      </c>
      <c r="AC130" s="567">
        <f>SUM(AC106)*1.1</f>
        <v>46585.000000000007</v>
      </c>
      <c r="AD130" s="567">
        <f>+AC130</f>
        <v>46585.000000000007</v>
      </c>
      <c r="AE130" s="567">
        <f>+AD130</f>
        <v>46585.000000000007</v>
      </c>
      <c r="AF130" s="567">
        <f>+AE130</f>
        <v>46585.000000000007</v>
      </c>
      <c r="AG130" s="540"/>
      <c r="AH130" s="531"/>
      <c r="AI130" s="543" t="s">
        <v>0</v>
      </c>
      <c r="AJ130" s="567">
        <f>SUM(AJ106)*1.1</f>
        <v>46585.000000000007</v>
      </c>
      <c r="AK130" s="567">
        <f>+AJ130</f>
        <v>46585.000000000007</v>
      </c>
      <c r="AL130" s="567">
        <f>+AK130</f>
        <v>46585.000000000007</v>
      </c>
      <c r="AM130" s="567">
        <f>+AL130</f>
        <v>46585.000000000007</v>
      </c>
      <c r="AN130" s="540"/>
      <c r="AP130" s="543" t="s">
        <v>0</v>
      </c>
      <c r="AQ130" s="567">
        <f>SUM(AQ106)*1.1</f>
        <v>46585.000000000007</v>
      </c>
      <c r="AR130" s="567">
        <f>+AQ130</f>
        <v>46585.000000000007</v>
      </c>
      <c r="AS130" s="567">
        <f>+AR130</f>
        <v>46585.000000000007</v>
      </c>
      <c r="AT130" s="567">
        <f>+AS130</f>
        <v>46585.000000000007</v>
      </c>
      <c r="AU130" s="540"/>
      <c r="AW130" s="543" t="s">
        <v>0</v>
      </c>
      <c r="AX130" s="567">
        <f>SUM(AX106)*1.1</f>
        <v>46585.000000000007</v>
      </c>
      <c r="AY130" s="567">
        <f>+AX130</f>
        <v>46585.000000000007</v>
      </c>
      <c r="AZ130" s="567">
        <f>+AY130</f>
        <v>46585.000000000007</v>
      </c>
      <c r="BA130" s="567">
        <f>+AZ130</f>
        <v>46585.000000000007</v>
      </c>
      <c r="BB130" s="540"/>
      <c r="BD130" s="543" t="s">
        <v>0</v>
      </c>
      <c r="BE130" s="567">
        <f>SUM(BE106)*1.1</f>
        <v>46585.000000000007</v>
      </c>
      <c r="BF130" s="567">
        <f>+BE130</f>
        <v>46585.000000000007</v>
      </c>
      <c r="BG130" s="567">
        <f>+BF130</f>
        <v>46585.000000000007</v>
      </c>
      <c r="BH130" s="567">
        <f>+BG130</f>
        <v>46585.000000000007</v>
      </c>
      <c r="BI130" s="540"/>
      <c r="BK130" s="543" t="s">
        <v>0</v>
      </c>
      <c r="BL130" s="567">
        <f>SUM(BL106)*1.1</f>
        <v>46585.000000000007</v>
      </c>
      <c r="BM130" s="567">
        <f>+BL130</f>
        <v>46585.000000000007</v>
      </c>
      <c r="BN130" s="567">
        <f>+BM130</f>
        <v>46585.000000000007</v>
      </c>
      <c r="BO130" s="567">
        <f>+BN130</f>
        <v>46585.000000000007</v>
      </c>
      <c r="BP130" s="540"/>
      <c r="BR130" s="543" t="s">
        <v>0</v>
      </c>
      <c r="BS130" s="567">
        <f>SUM(BS106)*1.1</f>
        <v>46585.000000000007</v>
      </c>
      <c r="BT130" s="567">
        <f>+BS130</f>
        <v>46585.000000000007</v>
      </c>
      <c r="BU130" s="567">
        <f>+BT130</f>
        <v>46585.000000000007</v>
      </c>
      <c r="BV130" s="567">
        <f>+BU130</f>
        <v>46585.000000000007</v>
      </c>
      <c r="BW130" s="540"/>
      <c r="BY130" s="543" t="s">
        <v>0</v>
      </c>
      <c r="BZ130" s="567">
        <f>SUM(BZ106)*1.1</f>
        <v>46585.000000000007</v>
      </c>
      <c r="CA130" s="567">
        <f>+BZ130</f>
        <v>46585.000000000007</v>
      </c>
      <c r="CB130" s="567">
        <f>+CA130</f>
        <v>46585.000000000007</v>
      </c>
      <c r="CC130" s="567">
        <f>+CB130</f>
        <v>46585.000000000007</v>
      </c>
      <c r="CD130" s="540"/>
      <c r="CF130" s="543" t="s">
        <v>0</v>
      </c>
      <c r="CG130" s="567">
        <f>SUM(CG106)*1.1</f>
        <v>239580.00000000009</v>
      </c>
      <c r="CH130" s="567">
        <f>+CG130</f>
        <v>239580.00000000009</v>
      </c>
      <c r="CI130" s="567">
        <f>+CH130</f>
        <v>239580.00000000009</v>
      </c>
      <c r="CJ130" s="567">
        <f>+CI130</f>
        <v>239580.00000000009</v>
      </c>
      <c r="CK130" s="540"/>
      <c r="CN130" s="543" t="s">
        <v>0</v>
      </c>
      <c r="CO130" s="567">
        <f>SUM(CO106)*1.1</f>
        <v>239580.00000000009</v>
      </c>
      <c r="CP130" s="567">
        <f>+CO130</f>
        <v>239580.00000000009</v>
      </c>
      <c r="CQ130" s="567">
        <f>+CP130</f>
        <v>239580.00000000009</v>
      </c>
      <c r="CR130" s="567">
        <f>+CQ130</f>
        <v>239580.00000000009</v>
      </c>
      <c r="CS130" s="540"/>
    </row>
    <row r="131" spans="1:97" ht="16" x14ac:dyDescent="0.2">
      <c r="A131" s="531"/>
      <c r="B131" s="531"/>
      <c r="C131" s="546" t="s">
        <v>7</v>
      </c>
      <c r="D131" s="538">
        <f>+D130*D129</f>
        <v>0</v>
      </c>
      <c r="E131" s="538">
        <f>+E130*E129</f>
        <v>931700.00000000012</v>
      </c>
      <c r="F131" s="539">
        <f>+F130*F129</f>
        <v>0</v>
      </c>
      <c r="G131" s="539">
        <f>+G130*G129</f>
        <v>0</v>
      </c>
      <c r="H131" s="540"/>
      <c r="I131" s="531"/>
      <c r="J131" s="531"/>
      <c r="K131" s="546" t="s">
        <v>7</v>
      </c>
      <c r="L131" s="538">
        <f>+L130*L129</f>
        <v>0</v>
      </c>
      <c r="M131" s="538">
        <f>+M130*M129</f>
        <v>465850.00000000006</v>
      </c>
      <c r="N131" s="539">
        <f>+N130*N129</f>
        <v>0</v>
      </c>
      <c r="O131" s="539">
        <f>+O130*O129</f>
        <v>0</v>
      </c>
      <c r="P131" s="540"/>
      <c r="Q131" s="531"/>
      <c r="R131" s="531"/>
      <c r="S131" s="531"/>
      <c r="T131" s="546" t="s">
        <v>7</v>
      </c>
      <c r="U131" s="538">
        <f>+U130*U129</f>
        <v>0</v>
      </c>
      <c r="V131" s="538">
        <f>+V130*V129</f>
        <v>931700.00000000012</v>
      </c>
      <c r="W131" s="539">
        <f>+W130*W129</f>
        <v>0</v>
      </c>
      <c r="X131" s="539">
        <f>+X130*X129</f>
        <v>0</v>
      </c>
      <c r="Y131" s="540"/>
      <c r="Z131" s="531"/>
      <c r="AA131" s="531"/>
      <c r="AB131" s="546" t="s">
        <v>7</v>
      </c>
      <c r="AC131" s="538">
        <f>+AC130*AC129</f>
        <v>0</v>
      </c>
      <c r="AD131" s="538">
        <f>+AD130*AD129</f>
        <v>465850.00000000006</v>
      </c>
      <c r="AE131" s="539">
        <f>+AE130*AE129</f>
        <v>0</v>
      </c>
      <c r="AF131" s="539">
        <f>+AF130*AF129</f>
        <v>0</v>
      </c>
      <c r="AG131" s="540"/>
      <c r="AH131" s="531"/>
      <c r="AI131" s="546" t="s">
        <v>7</v>
      </c>
      <c r="AJ131" s="538">
        <f>+AJ130*AJ129</f>
        <v>0</v>
      </c>
      <c r="AK131" s="538">
        <f>+AK130*AK129</f>
        <v>0</v>
      </c>
      <c r="AL131" s="539">
        <f>+AL130*AL129</f>
        <v>0</v>
      </c>
      <c r="AM131" s="539">
        <f>+AM130*AM129</f>
        <v>232925.00000000003</v>
      </c>
      <c r="AN131" s="540"/>
      <c r="AP131" s="546" t="s">
        <v>7</v>
      </c>
      <c r="AQ131" s="538">
        <f>+AQ130*AQ129</f>
        <v>0</v>
      </c>
      <c r="AR131" s="538">
        <f>+AR130*AR129</f>
        <v>0</v>
      </c>
      <c r="AS131" s="539">
        <f>+AS130*AS129</f>
        <v>0</v>
      </c>
      <c r="AT131" s="539">
        <f>+AT130*AT129</f>
        <v>465850.00000000006</v>
      </c>
      <c r="AU131" s="540"/>
      <c r="AW131" s="546" t="s">
        <v>7</v>
      </c>
      <c r="AX131" s="538">
        <f>+AX130*AX129</f>
        <v>465850.00000000006</v>
      </c>
      <c r="AY131" s="538">
        <f>+AY130*AY129</f>
        <v>0</v>
      </c>
      <c r="AZ131" s="539">
        <f>+AZ130*AZ129</f>
        <v>0</v>
      </c>
      <c r="BA131" s="539">
        <f>+BA130*BA129</f>
        <v>0</v>
      </c>
      <c r="BB131" s="540"/>
      <c r="BD131" s="546" t="s">
        <v>7</v>
      </c>
      <c r="BE131" s="538">
        <f>+BE130*BE129</f>
        <v>232925.00000000003</v>
      </c>
      <c r="BF131" s="538">
        <f>+BF130*BF129</f>
        <v>0</v>
      </c>
      <c r="BG131" s="539">
        <f>+BG130*BG129</f>
        <v>0</v>
      </c>
      <c r="BH131" s="539">
        <f>+BH130*BH129</f>
        <v>0</v>
      </c>
      <c r="BI131" s="540"/>
      <c r="BK131" s="546" t="s">
        <v>7</v>
      </c>
      <c r="BL131" s="538">
        <f>+BL130*BL129</f>
        <v>0</v>
      </c>
      <c r="BM131" s="538">
        <f>+BM130*BM129</f>
        <v>0</v>
      </c>
      <c r="BN131" s="539">
        <f>+BN130*BN129</f>
        <v>465850.00000000006</v>
      </c>
      <c r="BO131" s="539">
        <f>+BO130*BO129</f>
        <v>0</v>
      </c>
      <c r="BP131" s="540"/>
      <c r="BR131" s="546" t="s">
        <v>7</v>
      </c>
      <c r="BS131" s="538">
        <f>+BS130*BS129</f>
        <v>0</v>
      </c>
      <c r="BT131" s="538">
        <f>+BT130*BT129</f>
        <v>0</v>
      </c>
      <c r="BU131" s="539">
        <f>+BU130*BU129</f>
        <v>232925.00000000003</v>
      </c>
      <c r="BV131" s="539">
        <f>+BV130*BV129</f>
        <v>0</v>
      </c>
      <c r="BW131" s="540"/>
      <c r="BY131" s="546" t="s">
        <v>7</v>
      </c>
      <c r="BZ131" s="538">
        <f>+BZ130*BZ129</f>
        <v>0</v>
      </c>
      <c r="CA131" s="538">
        <f>+CA130*CA129</f>
        <v>0</v>
      </c>
      <c r="CB131" s="539">
        <f>+CB130*CB129</f>
        <v>0</v>
      </c>
      <c r="CC131" s="539">
        <f>+CC130*CC129</f>
        <v>465850.00000000006</v>
      </c>
      <c r="CD131" s="540"/>
      <c r="CF131" s="546" t="s">
        <v>7</v>
      </c>
      <c r="CG131" s="538">
        <f>+CG130*CG129</f>
        <v>1197900.0000000005</v>
      </c>
      <c r="CH131" s="538">
        <f>+CH130*CH129</f>
        <v>1197900.0000000005</v>
      </c>
      <c r="CI131" s="539">
        <f>+CI130*CI129</f>
        <v>1197900.0000000005</v>
      </c>
      <c r="CJ131" s="539">
        <f>+CJ130*CJ129</f>
        <v>1197900.0000000005</v>
      </c>
      <c r="CK131" s="540"/>
      <c r="CN131" s="546" t="s">
        <v>7</v>
      </c>
      <c r="CO131" s="538">
        <f>+CO130*CO129</f>
        <v>0</v>
      </c>
      <c r="CP131" s="538">
        <f>+CP130*CP129</f>
        <v>0</v>
      </c>
      <c r="CQ131" s="539">
        <f>+CQ130*CQ129</f>
        <v>0</v>
      </c>
      <c r="CR131" s="539">
        <f>+CR130*CR129</f>
        <v>0</v>
      </c>
      <c r="CS131" s="540"/>
    </row>
    <row r="132" spans="1:97" ht="16" x14ac:dyDescent="0.2">
      <c r="A132" s="531"/>
      <c r="B132" s="531"/>
      <c r="C132" s="547" t="s">
        <v>8</v>
      </c>
      <c r="D132" s="548">
        <f>+D131</f>
        <v>0</v>
      </c>
      <c r="E132" s="548">
        <f>+D132+E131</f>
        <v>931700.00000000012</v>
      </c>
      <c r="F132" s="549">
        <f>+E132+F131</f>
        <v>931700.00000000012</v>
      </c>
      <c r="G132" s="549">
        <f>+F132+G131</f>
        <v>931700.00000000012</v>
      </c>
      <c r="H132" s="540"/>
      <c r="I132" s="531"/>
      <c r="J132" s="531"/>
      <c r="K132" s="547" t="s">
        <v>8</v>
      </c>
      <c r="L132" s="548">
        <f>+L131</f>
        <v>0</v>
      </c>
      <c r="M132" s="548">
        <f>+L132+M131</f>
        <v>465850.00000000006</v>
      </c>
      <c r="N132" s="549">
        <f>+M132+N131</f>
        <v>465850.00000000006</v>
      </c>
      <c r="O132" s="549">
        <f>+N132+O131</f>
        <v>465850.00000000006</v>
      </c>
      <c r="P132" s="540"/>
      <c r="Q132" s="531"/>
      <c r="R132" s="531"/>
      <c r="S132" s="531"/>
      <c r="T132" s="547" t="s">
        <v>8</v>
      </c>
      <c r="U132" s="548">
        <f>+U131</f>
        <v>0</v>
      </c>
      <c r="V132" s="548">
        <f>+U132+V131</f>
        <v>931700.00000000012</v>
      </c>
      <c r="W132" s="549">
        <f>+V132+W131</f>
        <v>931700.00000000012</v>
      </c>
      <c r="X132" s="549">
        <f>+W132+X131</f>
        <v>931700.00000000012</v>
      </c>
      <c r="Y132" s="540"/>
      <c r="Z132" s="531"/>
      <c r="AA132" s="531"/>
      <c r="AB132" s="547" t="s">
        <v>8</v>
      </c>
      <c r="AC132" s="548">
        <f>+AC131</f>
        <v>0</v>
      </c>
      <c r="AD132" s="548">
        <f>+AC132+AD131</f>
        <v>465850.00000000006</v>
      </c>
      <c r="AE132" s="549">
        <f>+AD132+AE131</f>
        <v>465850.00000000006</v>
      </c>
      <c r="AF132" s="549">
        <f>+AE132+AF131</f>
        <v>465850.00000000006</v>
      </c>
      <c r="AG132" s="540"/>
      <c r="AH132" s="531"/>
      <c r="AI132" s="547" t="s">
        <v>8</v>
      </c>
      <c r="AJ132" s="548">
        <f>+AJ131</f>
        <v>0</v>
      </c>
      <c r="AK132" s="548">
        <f>+AJ132+AK131</f>
        <v>0</v>
      </c>
      <c r="AL132" s="549">
        <f>+AK132+AL131</f>
        <v>0</v>
      </c>
      <c r="AM132" s="549">
        <f>+AL132+AM131</f>
        <v>232925.00000000003</v>
      </c>
      <c r="AN132" s="540"/>
      <c r="AP132" s="547" t="s">
        <v>8</v>
      </c>
      <c r="AQ132" s="548">
        <f>+AQ131</f>
        <v>0</v>
      </c>
      <c r="AR132" s="548">
        <f>+AQ132+AR131</f>
        <v>0</v>
      </c>
      <c r="AS132" s="549">
        <f>+AR132+AS131</f>
        <v>0</v>
      </c>
      <c r="AT132" s="549">
        <f>+AS132+AT131</f>
        <v>465850.00000000006</v>
      </c>
      <c r="AU132" s="540"/>
      <c r="AW132" s="547" t="s">
        <v>8</v>
      </c>
      <c r="AX132" s="548">
        <f>+AX131</f>
        <v>465850.00000000006</v>
      </c>
      <c r="AY132" s="548">
        <f>+AX132+AY131</f>
        <v>465850.00000000006</v>
      </c>
      <c r="AZ132" s="549">
        <f>+AY132+AZ131</f>
        <v>465850.00000000006</v>
      </c>
      <c r="BA132" s="549">
        <f>+AZ132+BA131</f>
        <v>465850.00000000006</v>
      </c>
      <c r="BB132" s="540"/>
      <c r="BD132" s="547" t="s">
        <v>8</v>
      </c>
      <c r="BE132" s="548">
        <f>+BE131</f>
        <v>232925.00000000003</v>
      </c>
      <c r="BF132" s="548">
        <f>+BE132+BF131</f>
        <v>232925.00000000003</v>
      </c>
      <c r="BG132" s="549">
        <f>+BF132+BG131</f>
        <v>232925.00000000003</v>
      </c>
      <c r="BH132" s="549">
        <f>+BG132+BH131</f>
        <v>232925.00000000003</v>
      </c>
      <c r="BI132" s="540"/>
      <c r="BK132" s="547" t="s">
        <v>8</v>
      </c>
      <c r="BL132" s="548">
        <f>+BL131</f>
        <v>0</v>
      </c>
      <c r="BM132" s="548">
        <f>+BL132+BM131</f>
        <v>0</v>
      </c>
      <c r="BN132" s="549">
        <f>+BM132+BN131</f>
        <v>465850.00000000006</v>
      </c>
      <c r="BO132" s="549">
        <f>+BN132+BO131</f>
        <v>465850.00000000006</v>
      </c>
      <c r="BP132" s="540"/>
      <c r="BR132" s="547" t="s">
        <v>8</v>
      </c>
      <c r="BS132" s="548">
        <f>+BS131</f>
        <v>0</v>
      </c>
      <c r="BT132" s="548">
        <f>+BS132+BT131</f>
        <v>0</v>
      </c>
      <c r="BU132" s="549">
        <f>+BT132+BU131</f>
        <v>232925.00000000003</v>
      </c>
      <c r="BV132" s="549">
        <f>+BU132+BV131</f>
        <v>232925.00000000003</v>
      </c>
      <c r="BW132" s="540"/>
      <c r="BY132" s="547" t="s">
        <v>8</v>
      </c>
      <c r="BZ132" s="548">
        <f>+BZ131</f>
        <v>0</v>
      </c>
      <c r="CA132" s="548">
        <f>+BZ132+CA131</f>
        <v>0</v>
      </c>
      <c r="CB132" s="549">
        <f>+CA132+CB131</f>
        <v>0</v>
      </c>
      <c r="CC132" s="549">
        <f>+CB132+CC131</f>
        <v>465850.00000000006</v>
      </c>
      <c r="CD132" s="540"/>
      <c r="CF132" s="547" t="s">
        <v>8</v>
      </c>
      <c r="CG132" s="548">
        <f>+CG131</f>
        <v>1197900.0000000005</v>
      </c>
      <c r="CH132" s="548">
        <f>+CG132+CH131</f>
        <v>2395800.0000000009</v>
      </c>
      <c r="CI132" s="549">
        <f>+CH132+CI131</f>
        <v>3593700.0000000014</v>
      </c>
      <c r="CJ132" s="549">
        <f>+CI132+CJ131</f>
        <v>4791600.0000000019</v>
      </c>
      <c r="CK132" s="540"/>
      <c r="CN132" s="547" t="s">
        <v>8</v>
      </c>
      <c r="CO132" s="548">
        <f>+CO131</f>
        <v>0</v>
      </c>
      <c r="CP132" s="548">
        <f>+CO132+CP131</f>
        <v>0</v>
      </c>
      <c r="CQ132" s="549">
        <f>+CP132+CQ131</f>
        <v>0</v>
      </c>
      <c r="CR132" s="549">
        <f>+CQ132+CR131</f>
        <v>0</v>
      </c>
      <c r="CS132" s="540"/>
    </row>
    <row r="133" spans="1:97" ht="16" x14ac:dyDescent="0.2">
      <c r="A133" s="531"/>
      <c r="B133" s="531"/>
      <c r="C133" s="543"/>
      <c r="D133" s="544"/>
      <c r="E133" s="544"/>
      <c r="F133" s="536"/>
      <c r="G133" s="536"/>
      <c r="H133" s="540"/>
      <c r="I133" s="531"/>
      <c r="J133" s="531"/>
      <c r="K133" s="543"/>
      <c r="L133" s="544"/>
      <c r="M133" s="544"/>
      <c r="N133" s="536"/>
      <c r="O133" s="536"/>
      <c r="P133" s="540"/>
      <c r="Q133" s="531"/>
      <c r="R133" s="531"/>
      <c r="S133" s="531"/>
      <c r="T133" s="543"/>
      <c r="U133" s="544"/>
      <c r="V133" s="544"/>
      <c r="W133" s="536"/>
      <c r="X133" s="536"/>
      <c r="Y133" s="540"/>
      <c r="Z133" s="531"/>
      <c r="AA133" s="531"/>
      <c r="AB133" s="543"/>
      <c r="AC133" s="544"/>
      <c r="AD133" s="544"/>
      <c r="AE133" s="536"/>
      <c r="AF133" s="536"/>
      <c r="AG133" s="540"/>
      <c r="AH133" s="531"/>
      <c r="AI133" s="543"/>
      <c r="AJ133" s="544"/>
      <c r="AK133" s="544"/>
      <c r="AL133" s="536"/>
      <c r="AM133" s="536"/>
      <c r="AN133" s="540"/>
      <c r="AP133" s="543"/>
      <c r="AQ133" s="544"/>
      <c r="AR133" s="544"/>
      <c r="AS133" s="536"/>
      <c r="AT133" s="536"/>
      <c r="AU133" s="540"/>
      <c r="AW133" s="543"/>
      <c r="AX133" s="544"/>
      <c r="AY133" s="544"/>
      <c r="AZ133" s="536"/>
      <c r="BA133" s="536"/>
      <c r="BB133" s="540"/>
      <c r="BD133" s="543"/>
      <c r="BE133" s="544"/>
      <c r="BF133" s="544"/>
      <c r="BG133" s="536"/>
      <c r="BH133" s="536"/>
      <c r="BI133" s="540"/>
      <c r="BK133" s="543"/>
      <c r="BL133" s="544"/>
      <c r="BM133" s="544"/>
      <c r="BN133" s="536"/>
      <c r="BO133" s="536"/>
      <c r="BP133" s="540"/>
      <c r="BR133" s="543"/>
      <c r="BS133" s="544"/>
      <c r="BT133" s="544"/>
      <c r="BU133" s="536"/>
      <c r="BV133" s="536"/>
      <c r="BW133" s="540"/>
      <c r="BY133" s="543"/>
      <c r="BZ133" s="544"/>
      <c r="CA133" s="544"/>
      <c r="CB133" s="536"/>
      <c r="CC133" s="536"/>
      <c r="CD133" s="540"/>
      <c r="CF133" s="543"/>
      <c r="CG133" s="544"/>
      <c r="CH133" s="544"/>
      <c r="CI133" s="536"/>
      <c r="CJ133" s="536"/>
      <c r="CK133" s="540"/>
      <c r="CN133" s="543"/>
      <c r="CO133" s="544"/>
      <c r="CP133" s="544"/>
      <c r="CQ133" s="536"/>
      <c r="CR133" s="536"/>
      <c r="CS133" s="540"/>
    </row>
    <row r="134" spans="1:97" ht="16" x14ac:dyDescent="0.2">
      <c r="A134" s="531"/>
      <c r="B134" s="531"/>
      <c r="C134" s="545" t="s">
        <v>501</v>
      </c>
      <c r="D134" s="566">
        <f>SUM(D110)*1.1</f>
        <v>33275.000000000007</v>
      </c>
      <c r="E134" s="566">
        <f>+D134</f>
        <v>33275.000000000007</v>
      </c>
      <c r="F134" s="566">
        <f>+E134</f>
        <v>33275.000000000007</v>
      </c>
      <c r="G134" s="566">
        <f>+F134</f>
        <v>33275.000000000007</v>
      </c>
      <c r="H134" s="540"/>
      <c r="I134" s="531"/>
      <c r="J134" s="531"/>
      <c r="K134" s="545" t="s">
        <v>501</v>
      </c>
      <c r="L134" s="566">
        <f>SUM(L110)*1.1</f>
        <v>33275.000000000007</v>
      </c>
      <c r="M134" s="566">
        <f>+L134</f>
        <v>33275.000000000007</v>
      </c>
      <c r="N134" s="566">
        <f>+M134</f>
        <v>33275.000000000007</v>
      </c>
      <c r="O134" s="566">
        <f>+N134</f>
        <v>33275.000000000007</v>
      </c>
      <c r="P134" s="540"/>
      <c r="Q134" s="531"/>
      <c r="R134" s="531"/>
      <c r="S134" s="531"/>
      <c r="T134" s="545" t="s">
        <v>501</v>
      </c>
      <c r="U134" s="566">
        <f>+D134</f>
        <v>33275.000000000007</v>
      </c>
      <c r="V134" s="566">
        <f>+U134</f>
        <v>33275.000000000007</v>
      </c>
      <c r="W134" s="566">
        <f>+V134</f>
        <v>33275.000000000007</v>
      </c>
      <c r="X134" s="566">
        <f>+W134</f>
        <v>33275.000000000007</v>
      </c>
      <c r="Y134" s="540"/>
      <c r="Z134" s="531"/>
      <c r="AA134" s="531"/>
      <c r="AB134" s="545" t="s">
        <v>501</v>
      </c>
      <c r="AC134" s="566">
        <f>+L134</f>
        <v>33275.000000000007</v>
      </c>
      <c r="AD134" s="566">
        <f>+AC134</f>
        <v>33275.000000000007</v>
      </c>
      <c r="AE134" s="566">
        <f>+AD134</f>
        <v>33275.000000000007</v>
      </c>
      <c r="AF134" s="566">
        <f>+AE134</f>
        <v>33275.000000000007</v>
      </c>
      <c r="AG134" s="540"/>
      <c r="AH134" s="531"/>
      <c r="AI134" s="545" t="s">
        <v>501</v>
      </c>
      <c r="AJ134" s="566">
        <f>SUM(AJ110)*1.1</f>
        <v>33275.000000000007</v>
      </c>
      <c r="AK134" s="566">
        <f>+AJ134</f>
        <v>33275.000000000007</v>
      </c>
      <c r="AL134" s="566">
        <f>+AK134</f>
        <v>33275.000000000007</v>
      </c>
      <c r="AM134" s="566">
        <f>+AL134</f>
        <v>33275.000000000007</v>
      </c>
      <c r="AN134" s="540"/>
      <c r="AP134" s="545" t="s">
        <v>501</v>
      </c>
      <c r="AQ134" s="566">
        <f>SUM(AQ110)*1.1</f>
        <v>33275.000000000007</v>
      </c>
      <c r="AR134" s="566">
        <f>+AQ134</f>
        <v>33275.000000000007</v>
      </c>
      <c r="AS134" s="566">
        <f>+AR134</f>
        <v>33275.000000000007</v>
      </c>
      <c r="AT134" s="566">
        <f>+AS134</f>
        <v>33275.000000000007</v>
      </c>
      <c r="AU134" s="540"/>
      <c r="AW134" s="545" t="s">
        <v>501</v>
      </c>
      <c r="AX134" s="566">
        <f>SUM(AX110)*1.1</f>
        <v>33275.000000000007</v>
      </c>
      <c r="AY134" s="566">
        <f>+AX134</f>
        <v>33275.000000000007</v>
      </c>
      <c r="AZ134" s="566">
        <f>+AY134</f>
        <v>33275.000000000007</v>
      </c>
      <c r="BA134" s="566">
        <f>+AZ134</f>
        <v>33275.000000000007</v>
      </c>
      <c r="BB134" s="540"/>
      <c r="BD134" s="545" t="s">
        <v>501</v>
      </c>
      <c r="BE134" s="566">
        <f>SUM(BE110)*1.1</f>
        <v>33275.000000000007</v>
      </c>
      <c r="BF134" s="566">
        <f>+BE134</f>
        <v>33275.000000000007</v>
      </c>
      <c r="BG134" s="566">
        <f>+BF134</f>
        <v>33275.000000000007</v>
      </c>
      <c r="BH134" s="566">
        <f>+BG134</f>
        <v>33275.000000000007</v>
      </c>
      <c r="BI134" s="540"/>
      <c r="BK134" s="545" t="s">
        <v>501</v>
      </c>
      <c r="BL134" s="566">
        <f>SUM(BL110)*1.1</f>
        <v>33275.000000000007</v>
      </c>
      <c r="BM134" s="566">
        <f>+BL134</f>
        <v>33275.000000000007</v>
      </c>
      <c r="BN134" s="566">
        <f>+BM134</f>
        <v>33275.000000000007</v>
      </c>
      <c r="BO134" s="566">
        <f>+BN134</f>
        <v>33275.000000000007</v>
      </c>
      <c r="BP134" s="540"/>
      <c r="BR134" s="545" t="s">
        <v>501</v>
      </c>
      <c r="BS134" s="566">
        <f>SUM(BS110)*1.1</f>
        <v>33275.000000000007</v>
      </c>
      <c r="BT134" s="566">
        <f>+BS134</f>
        <v>33275.000000000007</v>
      </c>
      <c r="BU134" s="566">
        <f>+BT134</f>
        <v>33275.000000000007</v>
      </c>
      <c r="BV134" s="566">
        <f>+BU134</f>
        <v>33275.000000000007</v>
      </c>
      <c r="BW134" s="540"/>
      <c r="BY134" s="545" t="s">
        <v>501</v>
      </c>
      <c r="BZ134" s="566">
        <f>SUM(BZ110)*1.1</f>
        <v>33275.000000000007</v>
      </c>
      <c r="CA134" s="566">
        <f>+BZ134</f>
        <v>33275.000000000007</v>
      </c>
      <c r="CB134" s="566">
        <f>+CA134</f>
        <v>33275.000000000007</v>
      </c>
      <c r="CC134" s="566">
        <f>+CB134</f>
        <v>33275.000000000007</v>
      </c>
      <c r="CD134" s="540"/>
      <c r="CF134" s="545" t="s">
        <v>501</v>
      </c>
      <c r="CG134" s="566">
        <f>SUM(CG110)*1.1</f>
        <v>33275.000000000007</v>
      </c>
      <c r="CH134" s="566">
        <f>+CG134</f>
        <v>33275.000000000007</v>
      </c>
      <c r="CI134" s="566">
        <f>+CH134</f>
        <v>33275.000000000007</v>
      </c>
      <c r="CJ134" s="566">
        <f>+CI134</f>
        <v>33275.000000000007</v>
      </c>
      <c r="CK134" s="540"/>
      <c r="CN134" s="545" t="s">
        <v>623</v>
      </c>
      <c r="CO134" s="566">
        <f>SUM(CO110)*1.1</f>
        <v>33275.000000000007</v>
      </c>
      <c r="CP134" s="566">
        <f>+CO134</f>
        <v>33275.000000000007</v>
      </c>
      <c r="CQ134" s="566">
        <f>+CP134</f>
        <v>33275.000000000007</v>
      </c>
      <c r="CR134" s="566">
        <f>+CQ134</f>
        <v>33275.000000000007</v>
      </c>
      <c r="CS134" s="540"/>
    </row>
    <row r="135" spans="1:97" ht="16" x14ac:dyDescent="0.2">
      <c r="A135" s="531"/>
      <c r="B135" s="531"/>
      <c r="C135" s="537" t="s">
        <v>107</v>
      </c>
      <c r="D135" s="538">
        <f>+D123*D134</f>
        <v>0</v>
      </c>
      <c r="E135" s="538">
        <f>+E123*E134</f>
        <v>665500.00000000012</v>
      </c>
      <c r="F135" s="538">
        <f>+F123*F134</f>
        <v>0</v>
      </c>
      <c r="G135" s="538">
        <f>+G123*G134</f>
        <v>0</v>
      </c>
      <c r="H135" s="536"/>
      <c r="I135" s="565"/>
      <c r="J135" s="565"/>
      <c r="K135" s="537" t="s">
        <v>107</v>
      </c>
      <c r="L135" s="538">
        <f>+L123*L134</f>
        <v>0</v>
      </c>
      <c r="M135" s="538">
        <f>+M123*M134</f>
        <v>332750.00000000006</v>
      </c>
      <c r="N135" s="538">
        <f>+N123*N134</f>
        <v>0</v>
      </c>
      <c r="O135" s="538">
        <f>+O123*O134</f>
        <v>0</v>
      </c>
      <c r="P135" s="536"/>
      <c r="Q135" s="531"/>
      <c r="R135" s="531"/>
      <c r="S135" s="531"/>
      <c r="T135" s="537" t="s">
        <v>107</v>
      </c>
      <c r="U135" s="538">
        <f>+U123*U134</f>
        <v>0</v>
      </c>
      <c r="V135" s="538">
        <f>+V123*V134</f>
        <v>665500.00000000012</v>
      </c>
      <c r="W135" s="538">
        <f>+W123*W134</f>
        <v>0</v>
      </c>
      <c r="X135" s="538">
        <f>+X123*X134</f>
        <v>0</v>
      </c>
      <c r="Y135" s="536"/>
      <c r="Z135" s="531"/>
      <c r="AA135" s="531"/>
      <c r="AB135" s="537" t="s">
        <v>107</v>
      </c>
      <c r="AC135" s="538">
        <f>+AC123*AC134</f>
        <v>0</v>
      </c>
      <c r="AD135" s="538">
        <f>+AD123*AD134</f>
        <v>332750.00000000006</v>
      </c>
      <c r="AE135" s="538">
        <f>+AE123*AE134</f>
        <v>0</v>
      </c>
      <c r="AF135" s="538">
        <f>+AF123*AF134</f>
        <v>0</v>
      </c>
      <c r="AG135" s="536"/>
      <c r="AH135" s="531"/>
      <c r="AI135" s="537" t="s">
        <v>107</v>
      </c>
      <c r="AJ135" s="538">
        <f>+AJ123*AJ134</f>
        <v>0</v>
      </c>
      <c r="AK135" s="538">
        <f>+AK123*AK134</f>
        <v>0</v>
      </c>
      <c r="AL135" s="538">
        <f>+AL123*AL134</f>
        <v>0</v>
      </c>
      <c r="AM135" s="538">
        <f>+AM123*AM134</f>
        <v>166375.00000000003</v>
      </c>
      <c r="AN135" s="536"/>
      <c r="AP135" s="537" t="s">
        <v>107</v>
      </c>
      <c r="AQ135" s="538">
        <f>+AQ123*AQ134</f>
        <v>0</v>
      </c>
      <c r="AR135" s="538">
        <f>+AR123*AR134</f>
        <v>0</v>
      </c>
      <c r="AS135" s="538">
        <f>+AS123*AS134</f>
        <v>0</v>
      </c>
      <c r="AT135" s="538">
        <f>+AT123*AT134</f>
        <v>332750.00000000006</v>
      </c>
      <c r="AU135" s="536"/>
      <c r="AW135" s="537" t="s">
        <v>107</v>
      </c>
      <c r="AX135" s="538">
        <f>+AX123*AX134</f>
        <v>332750.00000000006</v>
      </c>
      <c r="AY135" s="538">
        <f>+AY123*AY134</f>
        <v>0</v>
      </c>
      <c r="AZ135" s="538">
        <f>+AZ123*AZ134</f>
        <v>0</v>
      </c>
      <c r="BA135" s="538">
        <f>+BA123*BA134</f>
        <v>0</v>
      </c>
      <c r="BB135" s="536"/>
      <c r="BD135" s="537" t="s">
        <v>107</v>
      </c>
      <c r="BE135" s="538">
        <f>+BE123*BE134</f>
        <v>166375.00000000003</v>
      </c>
      <c r="BF135" s="538">
        <f>+BF123*BF134</f>
        <v>0</v>
      </c>
      <c r="BG135" s="538">
        <f>+BG123*BG134</f>
        <v>0</v>
      </c>
      <c r="BH135" s="538">
        <f>+BH123*BH134</f>
        <v>0</v>
      </c>
      <c r="BI135" s="536"/>
      <c r="BK135" s="537" t="s">
        <v>107</v>
      </c>
      <c r="BL135" s="538">
        <f>+BL123*BL134</f>
        <v>0</v>
      </c>
      <c r="BM135" s="538">
        <f>+BM123*BM134</f>
        <v>0</v>
      </c>
      <c r="BN135" s="538">
        <f>+BN123*BN134</f>
        <v>332750.00000000006</v>
      </c>
      <c r="BO135" s="538">
        <f>+BO123*BO134</f>
        <v>0</v>
      </c>
      <c r="BP135" s="536"/>
      <c r="BR135" s="537" t="s">
        <v>107</v>
      </c>
      <c r="BS135" s="538">
        <f>+BS123*BS134</f>
        <v>0</v>
      </c>
      <c r="BT135" s="538">
        <f>+BT123*BT134</f>
        <v>0</v>
      </c>
      <c r="BU135" s="538">
        <f>+BU123*BU134</f>
        <v>166375.00000000003</v>
      </c>
      <c r="BV135" s="538">
        <f>+BV123*BV134</f>
        <v>0</v>
      </c>
      <c r="BW135" s="536"/>
      <c r="BY135" s="537" t="s">
        <v>107</v>
      </c>
      <c r="BZ135" s="538">
        <f>+BZ123*BZ134</f>
        <v>0</v>
      </c>
      <c r="CA135" s="538">
        <f>+CA123*CA134</f>
        <v>0</v>
      </c>
      <c r="CB135" s="538">
        <f>+CB123*CB134</f>
        <v>0</v>
      </c>
      <c r="CC135" s="538">
        <f>+CC123*CC134</f>
        <v>332750.00000000006</v>
      </c>
      <c r="CD135" s="536"/>
      <c r="CF135" s="537" t="s">
        <v>107</v>
      </c>
      <c r="CG135" s="538">
        <f>+CG123*CG134</f>
        <v>0</v>
      </c>
      <c r="CH135" s="538">
        <f>+CH123*CH134</f>
        <v>0</v>
      </c>
      <c r="CI135" s="538">
        <f>+CI123*CI134</f>
        <v>0</v>
      </c>
      <c r="CJ135" s="538">
        <f>+CJ123*CJ134</f>
        <v>0</v>
      </c>
      <c r="CK135" s="536"/>
      <c r="CN135" s="537" t="s">
        <v>107</v>
      </c>
      <c r="CO135" s="538">
        <f>+CO123*CO134</f>
        <v>0</v>
      </c>
      <c r="CP135" s="538">
        <f>+CP123*CP134</f>
        <v>0</v>
      </c>
      <c r="CQ135" s="538"/>
      <c r="CR135" s="538">
        <v>600000</v>
      </c>
      <c r="CS135" s="536"/>
    </row>
    <row r="136" spans="1:97" ht="16" x14ac:dyDescent="0.2">
      <c r="A136" s="531"/>
      <c r="B136" s="531"/>
      <c r="C136" s="547" t="s">
        <v>8</v>
      </c>
      <c r="D136" s="548">
        <f>+D135</f>
        <v>0</v>
      </c>
      <c r="E136" s="548">
        <f>+D136+E135</f>
        <v>665500.00000000012</v>
      </c>
      <c r="F136" s="549">
        <f>+E136+F135</f>
        <v>665500.00000000012</v>
      </c>
      <c r="G136" s="549">
        <f>+F136+G135</f>
        <v>665500.00000000012</v>
      </c>
      <c r="H136" s="540"/>
      <c r="I136" s="531"/>
      <c r="J136" s="531"/>
      <c r="K136" s="547" t="s">
        <v>8</v>
      </c>
      <c r="L136" s="548">
        <f>+L135</f>
        <v>0</v>
      </c>
      <c r="M136" s="548">
        <f>+L136+M135</f>
        <v>332750.00000000006</v>
      </c>
      <c r="N136" s="549">
        <f>+M136+N135</f>
        <v>332750.00000000006</v>
      </c>
      <c r="O136" s="549">
        <f>+N136+O135</f>
        <v>332750.00000000006</v>
      </c>
      <c r="P136" s="540"/>
      <c r="Q136" s="531"/>
      <c r="R136" s="531"/>
      <c r="S136" s="531"/>
      <c r="T136" s="547" t="s">
        <v>8</v>
      </c>
      <c r="U136" s="548">
        <f>+U135</f>
        <v>0</v>
      </c>
      <c r="V136" s="548">
        <f>+U136+V135</f>
        <v>665500.00000000012</v>
      </c>
      <c r="W136" s="549">
        <f>+V136+W135</f>
        <v>665500.00000000012</v>
      </c>
      <c r="X136" s="549">
        <f>+W136+X135</f>
        <v>665500.00000000012</v>
      </c>
      <c r="Y136" s="540"/>
      <c r="Z136" s="531"/>
      <c r="AA136" s="531"/>
      <c r="AB136" s="547" t="s">
        <v>8</v>
      </c>
      <c r="AC136" s="548">
        <f>+AC135</f>
        <v>0</v>
      </c>
      <c r="AD136" s="548">
        <f>+AC136+AD135</f>
        <v>332750.00000000006</v>
      </c>
      <c r="AE136" s="549">
        <f>+AD136+AE135</f>
        <v>332750.00000000006</v>
      </c>
      <c r="AF136" s="549">
        <f>+AE136+AF135</f>
        <v>332750.00000000006</v>
      </c>
      <c r="AG136" s="540"/>
      <c r="AH136" s="531"/>
      <c r="AI136" s="547" t="s">
        <v>8</v>
      </c>
      <c r="AJ136" s="548">
        <f>+AJ135</f>
        <v>0</v>
      </c>
      <c r="AK136" s="548">
        <f>+AJ136+AK135</f>
        <v>0</v>
      </c>
      <c r="AL136" s="549">
        <f>+AK136+AL135</f>
        <v>0</v>
      </c>
      <c r="AM136" s="549">
        <f>+AL136+AM135</f>
        <v>166375.00000000003</v>
      </c>
      <c r="AN136" s="540"/>
      <c r="AP136" s="547" t="s">
        <v>8</v>
      </c>
      <c r="AQ136" s="548">
        <f>+AQ135</f>
        <v>0</v>
      </c>
      <c r="AR136" s="548">
        <f>+AQ136+AR135</f>
        <v>0</v>
      </c>
      <c r="AS136" s="549">
        <f>+AR136+AS135</f>
        <v>0</v>
      </c>
      <c r="AT136" s="549">
        <f>+AS136+AT135</f>
        <v>332750.00000000006</v>
      </c>
      <c r="AU136" s="540"/>
      <c r="AW136" s="547" t="s">
        <v>8</v>
      </c>
      <c r="AX136" s="548">
        <f>+AX135</f>
        <v>332750.00000000006</v>
      </c>
      <c r="AY136" s="548">
        <f>+AX136+AY135</f>
        <v>332750.00000000006</v>
      </c>
      <c r="AZ136" s="549">
        <f>+AY136+AZ135</f>
        <v>332750.00000000006</v>
      </c>
      <c r="BA136" s="549">
        <f>+AZ136+BA135</f>
        <v>332750.00000000006</v>
      </c>
      <c r="BB136" s="540"/>
      <c r="BD136" s="547" t="s">
        <v>8</v>
      </c>
      <c r="BE136" s="548">
        <f>+BE135</f>
        <v>166375.00000000003</v>
      </c>
      <c r="BF136" s="548">
        <f>+BE136+BF135</f>
        <v>166375.00000000003</v>
      </c>
      <c r="BG136" s="549">
        <f>+BF136+BG135</f>
        <v>166375.00000000003</v>
      </c>
      <c r="BH136" s="549">
        <f>+BG136+BH135</f>
        <v>166375.00000000003</v>
      </c>
      <c r="BI136" s="540"/>
      <c r="BK136" s="547" t="s">
        <v>8</v>
      </c>
      <c r="BL136" s="548">
        <f>+BL135</f>
        <v>0</v>
      </c>
      <c r="BM136" s="548">
        <f>+BL136+BM135</f>
        <v>0</v>
      </c>
      <c r="BN136" s="549">
        <f>+BM136+BN135</f>
        <v>332750.00000000006</v>
      </c>
      <c r="BO136" s="549">
        <f>+BN136+BO135</f>
        <v>332750.00000000006</v>
      </c>
      <c r="BP136" s="540"/>
      <c r="BR136" s="547" t="s">
        <v>8</v>
      </c>
      <c r="BS136" s="548">
        <f>+BS135</f>
        <v>0</v>
      </c>
      <c r="BT136" s="548">
        <f>+BS136+BT135</f>
        <v>0</v>
      </c>
      <c r="BU136" s="549">
        <f>+BT136+BU135</f>
        <v>166375.00000000003</v>
      </c>
      <c r="BV136" s="549">
        <f>+BU136+BV135</f>
        <v>166375.00000000003</v>
      </c>
      <c r="BW136" s="540"/>
      <c r="BY136" s="547" t="s">
        <v>8</v>
      </c>
      <c r="BZ136" s="548">
        <f>+BZ135</f>
        <v>0</v>
      </c>
      <c r="CA136" s="548">
        <f>+BZ136+CA135</f>
        <v>0</v>
      </c>
      <c r="CB136" s="549">
        <f>+CA136+CB135</f>
        <v>0</v>
      </c>
      <c r="CC136" s="549">
        <f>+CB136+CC135</f>
        <v>332750.00000000006</v>
      </c>
      <c r="CD136" s="540"/>
      <c r="CF136" s="547" t="s">
        <v>8</v>
      </c>
      <c r="CG136" s="548">
        <f>+CG135</f>
        <v>0</v>
      </c>
      <c r="CH136" s="548">
        <f>+CG136+CH135</f>
        <v>0</v>
      </c>
      <c r="CI136" s="549">
        <f>+CH136+CI135</f>
        <v>0</v>
      </c>
      <c r="CJ136" s="549">
        <f>+CI136+CJ135</f>
        <v>0</v>
      </c>
      <c r="CK136" s="540"/>
      <c r="CN136" s="547" t="s">
        <v>8</v>
      </c>
      <c r="CO136" s="548">
        <f>+CO135</f>
        <v>0</v>
      </c>
      <c r="CP136" s="548">
        <f>+CO136+CP135</f>
        <v>0</v>
      </c>
      <c r="CQ136" s="549">
        <f>+CP136+CQ135</f>
        <v>0</v>
      </c>
      <c r="CR136" s="549">
        <f>+CQ136+CR135</f>
        <v>600000</v>
      </c>
      <c r="CS136" s="540"/>
    </row>
    <row r="137" spans="1:97" ht="16" x14ac:dyDescent="0.2">
      <c r="A137" s="531"/>
      <c r="B137" s="531"/>
      <c r="C137" s="543"/>
      <c r="D137" s="548"/>
      <c r="E137" s="548"/>
      <c r="F137" s="549"/>
      <c r="G137" s="549"/>
      <c r="H137" s="540"/>
      <c r="I137" s="531"/>
      <c r="J137" s="531"/>
      <c r="K137" s="543"/>
      <c r="L137" s="548"/>
      <c r="M137" s="548"/>
      <c r="N137" s="549"/>
      <c r="O137" s="549"/>
      <c r="P137" s="540"/>
      <c r="Q137" s="531"/>
      <c r="R137" s="531"/>
      <c r="S137" s="531"/>
      <c r="T137" s="543"/>
      <c r="U137" s="548"/>
      <c r="V137" s="548"/>
      <c r="W137" s="549"/>
      <c r="X137" s="549"/>
      <c r="Y137" s="540"/>
      <c r="Z137" s="531"/>
      <c r="AA137" s="531"/>
      <c r="AB137" s="543"/>
      <c r="AC137" s="548"/>
      <c r="AD137" s="548"/>
      <c r="AE137" s="549"/>
      <c r="AF137" s="549"/>
      <c r="AG137" s="540"/>
      <c r="AH137" s="531"/>
      <c r="AI137" s="543"/>
      <c r="AJ137" s="548"/>
      <c r="AK137" s="548"/>
      <c r="AL137" s="549"/>
      <c r="AM137" s="549"/>
      <c r="AN137" s="540"/>
      <c r="AP137" s="543"/>
      <c r="AQ137" s="548"/>
      <c r="AR137" s="548"/>
      <c r="AS137" s="549"/>
      <c r="AT137" s="549"/>
      <c r="AU137" s="540"/>
      <c r="AW137" s="543"/>
      <c r="AX137" s="548"/>
      <c r="AY137" s="548"/>
      <c r="AZ137" s="549"/>
      <c r="BA137" s="549"/>
      <c r="BB137" s="540"/>
      <c r="BD137" s="543"/>
      <c r="BE137" s="548"/>
      <c r="BF137" s="548"/>
      <c r="BG137" s="549"/>
      <c r="BH137" s="549"/>
      <c r="BI137" s="540"/>
      <c r="BK137" s="543"/>
      <c r="BL137" s="548"/>
      <c r="BM137" s="548"/>
      <c r="BN137" s="549"/>
      <c r="BO137" s="549"/>
      <c r="BP137" s="540"/>
      <c r="BR137" s="543"/>
      <c r="BS137" s="548"/>
      <c r="BT137" s="548"/>
      <c r="BU137" s="549"/>
      <c r="BV137" s="549"/>
      <c r="BW137" s="540"/>
      <c r="BY137" s="543"/>
      <c r="BZ137" s="548"/>
      <c r="CA137" s="548"/>
      <c r="CB137" s="549"/>
      <c r="CC137" s="549"/>
      <c r="CD137" s="540"/>
      <c r="CF137" s="543"/>
      <c r="CG137" s="548"/>
      <c r="CH137" s="548"/>
      <c r="CI137" s="549"/>
      <c r="CJ137" s="549"/>
      <c r="CK137" s="540"/>
      <c r="CN137" s="543"/>
      <c r="CO137" s="548"/>
      <c r="CP137" s="548"/>
      <c r="CQ137" s="549"/>
      <c r="CR137" s="549"/>
      <c r="CS137" s="540"/>
    </row>
    <row r="138" spans="1:97" ht="16" x14ac:dyDescent="0.2">
      <c r="A138" s="531"/>
      <c r="B138" s="531"/>
      <c r="C138" s="545"/>
      <c r="D138" s="530"/>
      <c r="E138" s="530"/>
      <c r="F138" s="541"/>
      <c r="G138" s="530"/>
      <c r="H138" s="570" t="s">
        <v>500</v>
      </c>
      <c r="I138" s="531"/>
      <c r="J138" s="531"/>
      <c r="K138" s="545"/>
      <c r="L138" s="530"/>
      <c r="M138" s="530"/>
      <c r="N138" s="541"/>
      <c r="O138" s="530"/>
      <c r="P138" s="570" t="s">
        <v>500</v>
      </c>
      <c r="Q138" s="531"/>
      <c r="R138" s="531"/>
      <c r="S138" s="531"/>
      <c r="T138" s="545"/>
      <c r="U138" s="530"/>
      <c r="V138" s="530"/>
      <c r="W138" s="541"/>
      <c r="X138" s="530"/>
      <c r="Y138" s="570" t="s">
        <v>500</v>
      </c>
      <c r="Z138" s="531"/>
      <c r="AA138" s="531"/>
      <c r="AB138" s="545"/>
      <c r="AC138" s="530"/>
      <c r="AD138" s="530"/>
      <c r="AE138" s="541"/>
      <c r="AF138" s="530"/>
      <c r="AG138" s="570" t="s">
        <v>500</v>
      </c>
      <c r="AH138" s="531"/>
      <c r="AI138" s="545"/>
      <c r="AJ138" s="530"/>
      <c r="AK138" s="530"/>
      <c r="AL138" s="541"/>
      <c r="AM138" s="530"/>
      <c r="AN138" s="570" t="s">
        <v>500</v>
      </c>
      <c r="AP138" s="545"/>
      <c r="AQ138" s="530"/>
      <c r="AR138" s="530"/>
      <c r="AS138" s="541"/>
      <c r="AT138" s="530"/>
      <c r="AU138" s="570" t="s">
        <v>500</v>
      </c>
      <c r="AW138" s="545"/>
      <c r="AX138" s="530"/>
      <c r="AY138" s="530"/>
      <c r="AZ138" s="541"/>
      <c r="BA138" s="530"/>
      <c r="BB138" s="570" t="s">
        <v>500</v>
      </c>
      <c r="BD138" s="545"/>
      <c r="BE138" s="530"/>
      <c r="BF138" s="530"/>
      <c r="BG138" s="541"/>
      <c r="BH138" s="530"/>
      <c r="BI138" s="570" t="s">
        <v>500</v>
      </c>
      <c r="BK138" s="545"/>
      <c r="BL138" s="530"/>
      <c r="BM138" s="530"/>
      <c r="BN138" s="541"/>
      <c r="BO138" s="530"/>
      <c r="BP138" s="570" t="s">
        <v>500</v>
      </c>
      <c r="BR138" s="545"/>
      <c r="BS138" s="530"/>
      <c r="BT138" s="530"/>
      <c r="BU138" s="541"/>
      <c r="BV138" s="530"/>
      <c r="BW138" s="570" t="s">
        <v>500</v>
      </c>
      <c r="BY138" s="545"/>
      <c r="BZ138" s="530"/>
      <c r="CA138" s="530"/>
      <c r="CB138" s="541"/>
      <c r="CC138" s="530"/>
      <c r="CD138" s="570" t="s">
        <v>500</v>
      </c>
      <c r="CF138" s="545"/>
      <c r="CG138" s="530"/>
      <c r="CH138" s="530"/>
      <c r="CI138" s="541"/>
      <c r="CJ138" s="530"/>
      <c r="CK138" s="570" t="s">
        <v>500</v>
      </c>
      <c r="CN138" s="545"/>
      <c r="CO138" s="530"/>
      <c r="CP138" s="530"/>
      <c r="CQ138" s="541"/>
      <c r="CR138" s="530"/>
      <c r="CS138" s="570" t="s">
        <v>500</v>
      </c>
    </row>
    <row r="139" spans="1:97" ht="16" x14ac:dyDescent="0.2">
      <c r="A139" s="531"/>
      <c r="B139" s="531"/>
      <c r="C139" s="554"/>
      <c r="D139" s="555"/>
      <c r="E139" s="555"/>
      <c r="F139" s="556"/>
      <c r="G139" s="555"/>
      <c r="H139" s="571">
        <f>SUM(G141)/H123</f>
        <v>444420.08706818195</v>
      </c>
      <c r="I139" s="531"/>
      <c r="J139" s="531"/>
      <c r="K139" s="554"/>
      <c r="L139" s="555"/>
      <c r="M139" s="555"/>
      <c r="N139" s="556"/>
      <c r="O139" s="555"/>
      <c r="P139" s="571">
        <f>SUM(O141)/P123</f>
        <v>516042.04377000016</v>
      </c>
      <c r="Q139" s="531"/>
      <c r="R139" s="531"/>
      <c r="S139" s="531"/>
      <c r="T139" s="554"/>
      <c r="U139" s="555"/>
      <c r="V139" s="555"/>
      <c r="W139" s="556"/>
      <c r="X139" s="555"/>
      <c r="Y139" s="571">
        <f>SUM(X141)/Y123</f>
        <v>627168.98820000014</v>
      </c>
      <c r="Z139" s="531"/>
      <c r="AA139" s="531"/>
      <c r="AB139" s="554"/>
      <c r="AC139" s="555"/>
      <c r="AD139" s="555"/>
      <c r="AE139" s="556"/>
      <c r="AF139" s="555"/>
      <c r="AG139" s="571">
        <f>SUM(AF141)/AG123</f>
        <v>265441.68952500005</v>
      </c>
      <c r="AH139" s="531"/>
      <c r="AI139" s="554"/>
      <c r="AJ139" s="555"/>
      <c r="AK139" s="555"/>
      <c r="AL139" s="556"/>
      <c r="AM139" s="555"/>
      <c r="AN139" s="571">
        <f>SUM(AM141)/AN123</f>
        <v>1865052.1875000005</v>
      </c>
      <c r="AP139" s="554"/>
      <c r="AQ139" s="555"/>
      <c r="AR139" s="555"/>
      <c r="AS139" s="556"/>
      <c r="AT139" s="555"/>
      <c r="AU139" s="571">
        <f>SUM(AT141)/AU123</f>
        <v>326171.07389999996</v>
      </c>
      <c r="AW139" s="554"/>
      <c r="AX139" s="555"/>
      <c r="AY139" s="555"/>
      <c r="AZ139" s="556"/>
      <c r="BA139" s="555"/>
      <c r="BB139" s="571">
        <f>SUM(BA141)/BB123</f>
        <v>1164936.5625</v>
      </c>
      <c r="BD139" s="554"/>
      <c r="BE139" s="555"/>
      <c r="BF139" s="555"/>
      <c r="BG139" s="556"/>
      <c r="BH139" s="555"/>
      <c r="BI139" s="571">
        <f>SUM(BH141)/BI123</f>
        <v>3576845.1562500009</v>
      </c>
      <c r="BK139" s="554"/>
      <c r="BL139" s="555"/>
      <c r="BM139" s="555"/>
      <c r="BN139" s="556"/>
      <c r="BO139" s="555"/>
      <c r="BP139" s="571">
        <f>SUM(BO141)/BP123</f>
        <v>3836565.4687500009</v>
      </c>
      <c r="BR139" s="554"/>
      <c r="BS139" s="555"/>
      <c r="BT139" s="555"/>
      <c r="BU139" s="556"/>
      <c r="BV139" s="555"/>
      <c r="BW139" s="571">
        <f>SUM(BV141)/BW123</f>
        <v>1354985.3100000003</v>
      </c>
      <c r="BY139" s="554"/>
      <c r="BZ139" s="555"/>
      <c r="CA139" s="555"/>
      <c r="CB139" s="556"/>
      <c r="CC139" s="555"/>
      <c r="CD139" s="571">
        <f>SUM(CC141)/CD123</f>
        <v>743504.5695000001</v>
      </c>
      <c r="CF139" s="554"/>
      <c r="CG139" s="555"/>
      <c r="CH139" s="555"/>
      <c r="CI139" s="556"/>
      <c r="CJ139" s="555"/>
      <c r="CK139" s="571">
        <f>SUM(CJ141)/CJ129</f>
        <v>958320.00000000035</v>
      </c>
      <c r="CN139" s="554"/>
      <c r="CO139" s="555"/>
      <c r="CP139" s="555"/>
      <c r="CQ139" s="556"/>
      <c r="CR139" s="555"/>
      <c r="CS139" s="571" t="e">
        <f>SUM(CR141)/CR129</f>
        <v>#DIV/0!</v>
      </c>
    </row>
    <row r="140" spans="1:97" ht="16" x14ac:dyDescent="0.2">
      <c r="A140" s="531"/>
      <c r="B140" s="531"/>
      <c r="C140" s="557" t="s">
        <v>23</v>
      </c>
      <c r="D140" s="558">
        <f>+D125+D131+D135</f>
        <v>0</v>
      </c>
      <c r="E140" s="558">
        <f>+E125+E131+E135</f>
        <v>8888401.741363639</v>
      </c>
      <c r="F140" s="558">
        <f>+F125+F131+F135</f>
        <v>0</v>
      </c>
      <c r="G140" s="558">
        <f>+G125+G131+G135</f>
        <v>0</v>
      </c>
      <c r="H140" s="850">
        <f>SUM(H123:H136)</f>
        <v>20</v>
      </c>
      <c r="I140" s="572"/>
      <c r="J140" s="572"/>
      <c r="K140" s="557" t="s">
        <v>23</v>
      </c>
      <c r="L140" s="558">
        <f>+L125+L131+L135</f>
        <v>0</v>
      </c>
      <c r="M140" s="558">
        <f>+M125+M131+M135</f>
        <v>5160420.4377000015</v>
      </c>
      <c r="N140" s="558">
        <f>+N125+N131+N135</f>
        <v>0</v>
      </c>
      <c r="O140" s="558">
        <f>+O125+O131+O135</f>
        <v>0</v>
      </c>
      <c r="P140" s="850">
        <f>SUM(P123:P136)</f>
        <v>10</v>
      </c>
      <c r="Q140" s="531"/>
      <c r="R140" s="531"/>
      <c r="S140" s="531"/>
      <c r="T140" s="557" t="s">
        <v>23</v>
      </c>
      <c r="U140" s="558">
        <f>SUM(U126)+U132+U136</f>
        <v>0</v>
      </c>
      <c r="V140" s="558">
        <f>+V125+V131+V135</f>
        <v>12543379.764000002</v>
      </c>
      <c r="W140" s="558">
        <f>+W125+W131+W135</f>
        <v>0</v>
      </c>
      <c r="X140" s="558">
        <f>+X125+X131+X135</f>
        <v>0</v>
      </c>
      <c r="Y140" s="850">
        <f>SUM(Y123:Y136)</f>
        <v>20</v>
      </c>
      <c r="Z140" s="531"/>
      <c r="AA140" s="531"/>
      <c r="AB140" s="557" t="s">
        <v>23</v>
      </c>
      <c r="AC140" s="558">
        <f>SUM(AC126)+AC132+AC136</f>
        <v>0</v>
      </c>
      <c r="AD140" s="558">
        <f>+AD125+AD131+AD135</f>
        <v>2654416.8952500005</v>
      </c>
      <c r="AE140" s="558">
        <f>+AE125+AE131+AE135</f>
        <v>0</v>
      </c>
      <c r="AF140" s="558">
        <f>+AF125+AF131+AF135</f>
        <v>0</v>
      </c>
      <c r="AG140" s="850">
        <f>SUM(AG123:AG136)</f>
        <v>10</v>
      </c>
      <c r="AH140" s="531"/>
      <c r="AI140" s="557" t="s">
        <v>23</v>
      </c>
      <c r="AJ140" s="558">
        <f>SUM(AJ126)+AJ132+AJ136</f>
        <v>0</v>
      </c>
      <c r="AK140" s="558">
        <f>+AK125+AK131+AK135</f>
        <v>0</v>
      </c>
      <c r="AL140" s="558">
        <f>+AL125+AL131+AL135</f>
        <v>0</v>
      </c>
      <c r="AM140" s="558">
        <f>+AM125+AM131+AM135</f>
        <v>9325260.9375000019</v>
      </c>
      <c r="AN140" s="850">
        <f>SUM(AN123:AN136)</f>
        <v>5</v>
      </c>
      <c r="AP140" s="557" t="s">
        <v>23</v>
      </c>
      <c r="AQ140" s="558">
        <f>SUM(AQ126)+AQ132+AQ136</f>
        <v>0</v>
      </c>
      <c r="AR140" s="558">
        <f>+AR125+AR131+AR135</f>
        <v>0</v>
      </c>
      <c r="AS140" s="558">
        <f>+AS125+AS131+AS135</f>
        <v>0</v>
      </c>
      <c r="AT140" s="558">
        <f>+AT125+AT131+AT135</f>
        <v>3261710.7389999996</v>
      </c>
      <c r="AU140" s="850">
        <f>SUM(AU123:AU136)</f>
        <v>10</v>
      </c>
      <c r="AW140" s="557" t="s">
        <v>23</v>
      </c>
      <c r="AX140" s="558">
        <f>SUM(AX126)+AX132+AX136</f>
        <v>11649365.625</v>
      </c>
      <c r="AY140" s="558">
        <f>+AY125+AY131+AY135</f>
        <v>0</v>
      </c>
      <c r="AZ140" s="558">
        <f>+AZ125+AZ131+AZ135</f>
        <v>0</v>
      </c>
      <c r="BA140" s="558">
        <f>+BA125+BA131+BA135</f>
        <v>0</v>
      </c>
      <c r="BB140" s="850">
        <f>SUM(BB123:BB136)</f>
        <v>10</v>
      </c>
      <c r="BD140" s="557" t="s">
        <v>23</v>
      </c>
      <c r="BE140" s="558">
        <f>SUM(BE126)+BE132+BE136</f>
        <v>17884225.781250004</v>
      </c>
      <c r="BF140" s="558">
        <f>+BF125+BF131+BF135</f>
        <v>0</v>
      </c>
      <c r="BG140" s="558">
        <f>+BG125+BG131+BG135</f>
        <v>0</v>
      </c>
      <c r="BH140" s="558">
        <f>+BH125+BH131+BH135</f>
        <v>0</v>
      </c>
      <c r="BI140" s="850">
        <f>SUM(BI123:BI136)</f>
        <v>5</v>
      </c>
      <c r="BK140" s="557" t="s">
        <v>23</v>
      </c>
      <c r="BL140" s="558">
        <f>SUM(BL126)+BL132+BL136</f>
        <v>0</v>
      </c>
      <c r="BM140" s="558">
        <f>+BM125+BM131+BM135</f>
        <v>0</v>
      </c>
      <c r="BN140" s="558">
        <f>+BN125+BN131+BN135</f>
        <v>38365654.687500007</v>
      </c>
      <c r="BO140" s="558">
        <f>+BO125+BO131+BO135</f>
        <v>0</v>
      </c>
      <c r="BP140" s="850">
        <f>SUM(BP123:BP136)</f>
        <v>10</v>
      </c>
      <c r="BR140" s="557" t="s">
        <v>23</v>
      </c>
      <c r="BS140" s="558">
        <f>SUM(BS126)+BS132+BS136</f>
        <v>0</v>
      </c>
      <c r="BT140" s="558">
        <f>+BT125+BT131+BT135</f>
        <v>0</v>
      </c>
      <c r="BU140" s="558">
        <f>+BU125+BU131+BU135</f>
        <v>6774926.5500000017</v>
      </c>
      <c r="BV140" s="558">
        <f>+BV125+BV131+BV135</f>
        <v>0</v>
      </c>
      <c r="BW140" s="850">
        <f>SUM(BW123:BW136)</f>
        <v>5</v>
      </c>
      <c r="BY140" s="557" t="s">
        <v>23</v>
      </c>
      <c r="BZ140" s="558">
        <f>SUM(BZ126)+BZ132+BZ136</f>
        <v>0</v>
      </c>
      <c r="CA140" s="558">
        <f>+CA125+CA131+CA135</f>
        <v>0</v>
      </c>
      <c r="CB140" s="558">
        <f>+CB125+CB131+CB135</f>
        <v>0</v>
      </c>
      <c r="CC140" s="558">
        <f>+CC125+CC131+CC135</f>
        <v>7435045.6950000012</v>
      </c>
      <c r="CD140" s="850">
        <f>SUM(CD123:CD136)</f>
        <v>10</v>
      </c>
      <c r="CF140" s="557" t="s">
        <v>23</v>
      </c>
      <c r="CG140" s="558">
        <f>SUM(CG126)+CG132+CG136</f>
        <v>1197900.0000000005</v>
      </c>
      <c r="CH140" s="558">
        <f>+CH125+CH131+CH135</f>
        <v>1197900.0000000005</v>
      </c>
      <c r="CI140" s="558">
        <f>+CI125+CI131+CI135</f>
        <v>1197900.0000000005</v>
      </c>
      <c r="CJ140" s="558">
        <f>+CJ125+CJ131+CJ135</f>
        <v>1197900.0000000005</v>
      </c>
      <c r="CK140" s="850">
        <f>SUM(CK123:CK136)</f>
        <v>0</v>
      </c>
      <c r="CN140" s="557" t="s">
        <v>23</v>
      </c>
      <c r="CO140" s="558">
        <f>SUM(CO126)+CO132+CO136</f>
        <v>0</v>
      </c>
      <c r="CP140" s="558">
        <f>+CP125+CP131+CP135</f>
        <v>0</v>
      </c>
      <c r="CQ140" s="558">
        <f>+CQ125+CQ131+CQ135</f>
        <v>0</v>
      </c>
      <c r="CR140" s="558">
        <f>+CR125+CR131+CR135</f>
        <v>600000</v>
      </c>
      <c r="CS140" s="850">
        <f>SUM(CS123:CS136)</f>
        <v>0</v>
      </c>
    </row>
    <row r="141" spans="1:97" ht="16" x14ac:dyDescent="0.2">
      <c r="A141" s="531"/>
      <c r="B141" s="531"/>
      <c r="C141" s="573" t="s">
        <v>29</v>
      </c>
      <c r="D141" s="574">
        <f>+D140</f>
        <v>0</v>
      </c>
      <c r="E141" s="574">
        <f>+D141+E140</f>
        <v>8888401.741363639</v>
      </c>
      <c r="F141" s="574">
        <f>+E141+F140</f>
        <v>8888401.741363639</v>
      </c>
      <c r="G141" s="574">
        <f>+F141+G140</f>
        <v>8888401.741363639</v>
      </c>
      <c r="H141" s="851"/>
      <c r="I141" s="572"/>
      <c r="J141" s="572"/>
      <c r="K141" s="573" t="s">
        <v>29</v>
      </c>
      <c r="L141" s="574">
        <f>+L140</f>
        <v>0</v>
      </c>
      <c r="M141" s="574">
        <f>+L141+M140</f>
        <v>5160420.4377000015</v>
      </c>
      <c r="N141" s="574">
        <f>+M141+N140</f>
        <v>5160420.4377000015</v>
      </c>
      <c r="O141" s="574">
        <f>+N141+O140</f>
        <v>5160420.4377000015</v>
      </c>
      <c r="P141" s="851"/>
      <c r="Q141" s="531"/>
      <c r="R141" s="531"/>
      <c r="S141" s="531"/>
      <c r="T141" s="573" t="s">
        <v>29</v>
      </c>
      <c r="U141" s="574">
        <f>+U140</f>
        <v>0</v>
      </c>
      <c r="V141" s="574">
        <f>+U141+V140</f>
        <v>12543379.764000002</v>
      </c>
      <c r="W141" s="574">
        <f>+V141+W140</f>
        <v>12543379.764000002</v>
      </c>
      <c r="X141" s="574">
        <f>+W141+X140</f>
        <v>12543379.764000002</v>
      </c>
      <c r="Y141" s="851"/>
      <c r="Z141" s="531"/>
      <c r="AA141" s="531"/>
      <c r="AB141" s="573" t="s">
        <v>29</v>
      </c>
      <c r="AC141" s="574">
        <f>+AC140</f>
        <v>0</v>
      </c>
      <c r="AD141" s="574">
        <f>+AC141+AD140</f>
        <v>2654416.8952500005</v>
      </c>
      <c r="AE141" s="574">
        <f>+AD141+AE140</f>
        <v>2654416.8952500005</v>
      </c>
      <c r="AF141" s="574">
        <f>+AE141+AF140</f>
        <v>2654416.8952500005</v>
      </c>
      <c r="AG141" s="851"/>
      <c r="AH141" s="531"/>
      <c r="AI141" s="573" t="s">
        <v>29</v>
      </c>
      <c r="AJ141" s="574">
        <f>+AJ140</f>
        <v>0</v>
      </c>
      <c r="AK141" s="574">
        <f>+AJ141+AK140</f>
        <v>0</v>
      </c>
      <c r="AL141" s="574">
        <f>+AK141+AL140</f>
        <v>0</v>
      </c>
      <c r="AM141" s="574">
        <f>+AL141+AM140</f>
        <v>9325260.9375000019</v>
      </c>
      <c r="AN141" s="851"/>
      <c r="AP141" s="573" t="s">
        <v>29</v>
      </c>
      <c r="AQ141" s="574">
        <f>+AQ140</f>
        <v>0</v>
      </c>
      <c r="AR141" s="574">
        <f>+AQ141+AR140</f>
        <v>0</v>
      </c>
      <c r="AS141" s="574">
        <f>+AR141+AS140</f>
        <v>0</v>
      </c>
      <c r="AT141" s="574">
        <f>+AS141+AT140</f>
        <v>3261710.7389999996</v>
      </c>
      <c r="AU141" s="851"/>
      <c r="AW141" s="573" t="s">
        <v>29</v>
      </c>
      <c r="AX141" s="574">
        <f>+AX140</f>
        <v>11649365.625</v>
      </c>
      <c r="AY141" s="574">
        <f>+AX141+AY140</f>
        <v>11649365.625</v>
      </c>
      <c r="AZ141" s="574">
        <f>+AY141+AZ140</f>
        <v>11649365.625</v>
      </c>
      <c r="BA141" s="574">
        <f>+AZ141+BA140</f>
        <v>11649365.625</v>
      </c>
      <c r="BB141" s="851"/>
      <c r="BD141" s="573" t="s">
        <v>29</v>
      </c>
      <c r="BE141" s="574">
        <f>+BE140</f>
        <v>17884225.781250004</v>
      </c>
      <c r="BF141" s="574">
        <f>+BE141+BF140</f>
        <v>17884225.781250004</v>
      </c>
      <c r="BG141" s="574">
        <f>+BF141+BG140</f>
        <v>17884225.781250004</v>
      </c>
      <c r="BH141" s="574">
        <f>+BG141+BH140</f>
        <v>17884225.781250004</v>
      </c>
      <c r="BI141" s="851"/>
      <c r="BK141" s="573" t="s">
        <v>29</v>
      </c>
      <c r="BL141" s="574">
        <f>+BL140</f>
        <v>0</v>
      </c>
      <c r="BM141" s="574">
        <f>+BL141+BM140</f>
        <v>0</v>
      </c>
      <c r="BN141" s="574">
        <f>+BM141+BN140</f>
        <v>38365654.687500007</v>
      </c>
      <c r="BO141" s="574">
        <f>+BN141+BO140</f>
        <v>38365654.687500007</v>
      </c>
      <c r="BP141" s="851"/>
      <c r="BR141" s="573" t="s">
        <v>29</v>
      </c>
      <c r="BS141" s="574">
        <f>+BS140</f>
        <v>0</v>
      </c>
      <c r="BT141" s="574">
        <f>+BS141+BT140</f>
        <v>0</v>
      </c>
      <c r="BU141" s="574">
        <f>+BT141+BU140</f>
        <v>6774926.5500000017</v>
      </c>
      <c r="BV141" s="574">
        <f>+BU141+BV140</f>
        <v>6774926.5500000017</v>
      </c>
      <c r="BW141" s="851"/>
      <c r="BY141" s="573" t="s">
        <v>29</v>
      </c>
      <c r="BZ141" s="574">
        <f>+BZ140</f>
        <v>0</v>
      </c>
      <c r="CA141" s="574">
        <f>+BZ141+CA140</f>
        <v>0</v>
      </c>
      <c r="CB141" s="574">
        <f>+CA141+CB140</f>
        <v>0</v>
      </c>
      <c r="CC141" s="574">
        <f>+CB141+CC140</f>
        <v>7435045.6950000012</v>
      </c>
      <c r="CD141" s="851"/>
      <c r="CF141" s="573" t="s">
        <v>29</v>
      </c>
      <c r="CG141" s="574">
        <f>+CG140</f>
        <v>1197900.0000000005</v>
      </c>
      <c r="CH141" s="574">
        <f>+CG141+CH140</f>
        <v>2395800.0000000009</v>
      </c>
      <c r="CI141" s="574">
        <f>+CH141+CI140</f>
        <v>3593700.0000000014</v>
      </c>
      <c r="CJ141" s="574">
        <f>+CI141+CJ140</f>
        <v>4791600.0000000019</v>
      </c>
      <c r="CK141" s="851"/>
      <c r="CN141" s="573" t="s">
        <v>29</v>
      </c>
      <c r="CO141" s="574">
        <f>+CO140</f>
        <v>0</v>
      </c>
      <c r="CP141" s="574">
        <f>+CO141+CP140</f>
        <v>0</v>
      </c>
      <c r="CQ141" s="574">
        <f>+CP141+CQ140</f>
        <v>0</v>
      </c>
      <c r="CR141" s="574">
        <f>+CQ141+CR140</f>
        <v>600000</v>
      </c>
      <c r="CS141" s="851"/>
    </row>
    <row r="142" spans="1:97" ht="16" x14ac:dyDescent="0.2">
      <c r="A142" s="531"/>
      <c r="B142" s="531"/>
      <c r="C142" s="531"/>
      <c r="D142" s="531"/>
      <c r="E142" s="531"/>
      <c r="F142" s="531"/>
      <c r="G142" s="531"/>
      <c r="H142" s="531"/>
      <c r="I142" s="531"/>
      <c r="J142" s="531"/>
      <c r="K142" s="531"/>
      <c r="L142" s="531"/>
      <c r="M142" s="531"/>
      <c r="N142" s="531"/>
      <c r="O142" s="531"/>
      <c r="P142" s="531"/>
      <c r="Q142" s="531"/>
      <c r="R142" s="531"/>
      <c r="S142" s="531"/>
      <c r="T142" s="576"/>
      <c r="U142" s="577"/>
      <c r="V142" s="577"/>
      <c r="W142" s="577"/>
      <c r="X142" s="577"/>
      <c r="Y142" s="572"/>
      <c r="Z142" s="531"/>
      <c r="AA142" s="531"/>
      <c r="AB142" s="576"/>
      <c r="AC142" s="577"/>
      <c r="AD142" s="577"/>
      <c r="AE142" s="577"/>
      <c r="AF142" s="577"/>
      <c r="AG142" s="572"/>
      <c r="AH142" s="531"/>
      <c r="AI142" s="576"/>
      <c r="AJ142" s="577"/>
      <c r="AK142" s="577"/>
      <c r="AL142" s="577"/>
      <c r="AM142" s="577"/>
      <c r="AN142" s="572"/>
      <c r="AP142" s="576"/>
      <c r="AQ142" s="577"/>
      <c r="AR142" s="577"/>
      <c r="AS142" s="577"/>
      <c r="AT142" s="577"/>
      <c r="AU142" s="572"/>
      <c r="AW142" s="576"/>
      <c r="AX142" s="577"/>
      <c r="AY142" s="577"/>
      <c r="AZ142" s="577"/>
      <c r="BA142" s="577"/>
      <c r="BB142" s="572"/>
      <c r="BD142" s="576"/>
      <c r="BE142" s="577"/>
      <c r="BF142" s="577"/>
      <c r="BG142" s="577"/>
      <c r="BH142" s="577"/>
      <c r="BI142" s="572"/>
      <c r="BK142" s="576"/>
      <c r="BL142" s="577"/>
      <c r="BM142" s="577"/>
      <c r="BN142" s="577"/>
      <c r="BO142" s="577"/>
      <c r="BP142" s="572"/>
      <c r="BR142" s="576"/>
      <c r="BS142" s="577"/>
      <c r="BT142" s="577"/>
      <c r="BU142" s="577"/>
      <c r="BV142" s="577"/>
      <c r="BW142" s="572"/>
      <c r="BY142" s="576"/>
      <c r="BZ142" s="577"/>
      <c r="CA142" s="577"/>
      <c r="CB142" s="577"/>
      <c r="CC142" s="577"/>
      <c r="CD142" s="572"/>
      <c r="CF142" s="576"/>
      <c r="CG142" s="577"/>
      <c r="CH142" s="577"/>
      <c r="CI142" s="577"/>
      <c r="CJ142" s="577"/>
      <c r="CK142" s="572"/>
      <c r="CN142" s="576"/>
      <c r="CO142" s="577"/>
      <c r="CP142" s="577"/>
      <c r="CQ142" s="577"/>
      <c r="CR142" s="577"/>
      <c r="CS142" s="572"/>
    </row>
    <row r="143" spans="1:97" ht="16" x14ac:dyDescent="0.2">
      <c r="A143" s="531"/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1"/>
      <c r="N143" s="531"/>
      <c r="O143" s="531"/>
      <c r="P143" s="531"/>
      <c r="Q143" s="531"/>
      <c r="R143" s="531"/>
      <c r="S143" s="531"/>
      <c r="T143" s="531"/>
      <c r="U143" s="531"/>
      <c r="V143" s="531"/>
      <c r="W143" s="531"/>
      <c r="X143" s="531"/>
      <c r="Y143" s="531"/>
      <c r="Z143" s="531"/>
      <c r="AA143" s="531"/>
      <c r="AB143" s="531"/>
      <c r="AC143" s="531"/>
      <c r="AD143" s="531"/>
      <c r="AE143" s="531"/>
      <c r="AF143" s="531"/>
      <c r="AG143" s="531"/>
      <c r="AH143" s="531"/>
      <c r="AI143" s="531"/>
      <c r="AJ143" s="531"/>
      <c r="AK143" s="531"/>
      <c r="AL143" s="531"/>
      <c r="AM143" s="531"/>
      <c r="AN143" s="531"/>
      <c r="AP143" s="531"/>
      <c r="AQ143" s="531"/>
      <c r="AR143" s="531"/>
      <c r="AS143" s="531"/>
      <c r="AT143" s="531"/>
      <c r="AU143" s="531"/>
      <c r="AW143" s="531"/>
      <c r="AX143" s="531"/>
      <c r="AY143" s="531"/>
      <c r="AZ143" s="531"/>
      <c r="BA143" s="531"/>
      <c r="BB143" s="531"/>
      <c r="BD143" s="531"/>
      <c r="BE143" s="531"/>
      <c r="BF143" s="531"/>
      <c r="BG143" s="531"/>
      <c r="BH143" s="531"/>
      <c r="BI143" s="531"/>
      <c r="BK143" s="531"/>
      <c r="BL143" s="531"/>
      <c r="BM143" s="531"/>
      <c r="BN143" s="531"/>
      <c r="BO143" s="531"/>
      <c r="BP143" s="531"/>
      <c r="BR143" s="531"/>
      <c r="BS143" s="531"/>
      <c r="BT143" s="531"/>
      <c r="BU143" s="531"/>
      <c r="BV143" s="531"/>
      <c r="BW143" s="531"/>
      <c r="BY143" s="531"/>
      <c r="BZ143" s="531"/>
      <c r="CA143" s="531"/>
      <c r="CB143" s="531"/>
      <c r="CC143" s="531"/>
      <c r="CD143" s="531"/>
      <c r="CF143" s="531"/>
      <c r="CG143" s="531"/>
      <c r="CH143" s="531"/>
      <c r="CI143" s="531"/>
      <c r="CJ143" s="531"/>
      <c r="CK143" s="531"/>
      <c r="CN143" s="531"/>
      <c r="CO143" s="531"/>
      <c r="CP143" s="531"/>
      <c r="CQ143" s="531"/>
      <c r="CR143" s="531"/>
      <c r="CS143" s="531"/>
    </row>
    <row r="144" spans="1:97" ht="16" x14ac:dyDescent="0.2">
      <c r="A144" s="531"/>
      <c r="B144" s="531"/>
      <c r="C144" s="531"/>
      <c r="D144" s="531"/>
      <c r="E144" s="531"/>
      <c r="F144" s="531"/>
      <c r="G144" s="531"/>
      <c r="H144" s="531"/>
      <c r="I144" s="531"/>
      <c r="J144" s="531"/>
      <c r="K144" s="531"/>
      <c r="L144" s="531"/>
      <c r="M144" s="531"/>
      <c r="N144" s="531"/>
      <c r="O144" s="531"/>
      <c r="P144" s="531"/>
      <c r="Q144" s="531"/>
      <c r="R144" s="531"/>
      <c r="S144" s="531"/>
      <c r="T144" s="531"/>
      <c r="U144" s="531"/>
      <c r="V144" s="531"/>
      <c r="W144" s="531"/>
      <c r="X144" s="531"/>
      <c r="Y144" s="531"/>
      <c r="Z144" s="531"/>
      <c r="AA144" s="531"/>
      <c r="AB144" s="531"/>
      <c r="AC144" s="531"/>
      <c r="AD144" s="531"/>
      <c r="AE144" s="531"/>
      <c r="AF144" s="531"/>
      <c r="AG144" s="531"/>
      <c r="AH144" s="531"/>
      <c r="AI144" s="531"/>
      <c r="AJ144" s="531"/>
      <c r="AK144" s="531"/>
      <c r="AL144" s="531"/>
      <c r="AM144" s="531"/>
      <c r="AN144" s="531"/>
      <c r="AP144" s="531"/>
      <c r="AQ144" s="531"/>
      <c r="AR144" s="531"/>
      <c r="AS144" s="531"/>
      <c r="AT144" s="531"/>
      <c r="AU144" s="531"/>
      <c r="AW144" s="531"/>
      <c r="AX144" s="531"/>
      <c r="AY144" s="531"/>
      <c r="AZ144" s="531"/>
      <c r="BA144" s="531"/>
      <c r="BB144" s="531"/>
      <c r="BD144" s="531"/>
      <c r="BE144" s="531"/>
      <c r="BF144" s="531"/>
      <c r="BG144" s="531"/>
      <c r="BH144" s="531"/>
      <c r="BI144" s="531"/>
      <c r="BK144" s="531"/>
      <c r="BL144" s="531"/>
      <c r="BM144" s="531"/>
      <c r="BN144" s="531"/>
      <c r="BO144" s="531"/>
      <c r="BP144" s="531"/>
      <c r="BR144" s="531"/>
      <c r="BS144" s="531"/>
      <c r="BT144" s="531"/>
      <c r="BU144" s="531"/>
      <c r="BV144" s="531"/>
      <c r="BW144" s="531"/>
      <c r="BY144" s="531"/>
      <c r="BZ144" s="531"/>
      <c r="CA144" s="531"/>
      <c r="CB144" s="531"/>
      <c r="CC144" s="531"/>
      <c r="CD144" s="531"/>
      <c r="CF144" s="531"/>
      <c r="CG144" s="531"/>
      <c r="CH144" s="531"/>
      <c r="CI144" s="531"/>
      <c r="CJ144" s="531"/>
      <c r="CK144" s="531"/>
      <c r="CN144" s="531"/>
      <c r="CO144" s="531"/>
      <c r="CP144" s="531"/>
      <c r="CQ144" s="531"/>
      <c r="CR144" s="531"/>
      <c r="CS144" s="531"/>
    </row>
    <row r="145" spans="1:97" ht="16" x14ac:dyDescent="0.2">
      <c r="A145" s="531"/>
      <c r="B145" s="531"/>
      <c r="C145" s="818" t="s">
        <v>461</v>
      </c>
      <c r="D145" s="819"/>
      <c r="E145" s="819"/>
      <c r="F145" s="819"/>
      <c r="G145" s="819"/>
      <c r="H145" s="820"/>
      <c r="I145" s="77"/>
      <c r="J145" s="77"/>
      <c r="K145" s="818" t="s">
        <v>462</v>
      </c>
      <c r="L145" s="819"/>
      <c r="M145" s="819"/>
      <c r="N145" s="819"/>
      <c r="O145" s="819"/>
      <c r="P145" s="820"/>
      <c r="Q145" s="531"/>
      <c r="R145" s="531"/>
      <c r="S145" s="531"/>
      <c r="T145" s="818" t="s">
        <v>487</v>
      </c>
      <c r="U145" s="819"/>
      <c r="V145" s="819"/>
      <c r="W145" s="819"/>
      <c r="X145" s="819"/>
      <c r="Y145" s="820" t="s">
        <v>27</v>
      </c>
      <c r="Z145" s="531"/>
      <c r="AA145" s="531"/>
      <c r="AB145" s="818" t="s">
        <v>493</v>
      </c>
      <c r="AC145" s="819"/>
      <c r="AD145" s="819"/>
      <c r="AE145" s="819"/>
      <c r="AF145" s="819"/>
      <c r="AG145" s="820" t="s">
        <v>27</v>
      </c>
      <c r="AH145" s="531"/>
      <c r="AI145" s="818" t="s">
        <v>515</v>
      </c>
      <c r="AJ145" s="819"/>
      <c r="AK145" s="819"/>
      <c r="AL145" s="819"/>
      <c r="AM145" s="819"/>
      <c r="AN145" s="820" t="s">
        <v>27</v>
      </c>
      <c r="AP145" s="818" t="s">
        <v>518</v>
      </c>
      <c r="AQ145" s="819"/>
      <c r="AR145" s="819"/>
      <c r="AS145" s="819"/>
      <c r="AT145" s="819"/>
      <c r="AU145" s="820" t="s">
        <v>27</v>
      </c>
      <c r="AW145" s="818" t="s">
        <v>472</v>
      </c>
      <c r="AX145" s="819"/>
      <c r="AY145" s="819"/>
      <c r="AZ145" s="819"/>
      <c r="BA145" s="819"/>
      <c r="BB145" s="820" t="s">
        <v>27</v>
      </c>
      <c r="BD145" s="818" t="s">
        <v>553</v>
      </c>
      <c r="BE145" s="819"/>
      <c r="BF145" s="819"/>
      <c r="BG145" s="819"/>
      <c r="BH145" s="819"/>
      <c r="BI145" s="820" t="s">
        <v>27</v>
      </c>
      <c r="BK145" s="818" t="s">
        <v>557</v>
      </c>
      <c r="BL145" s="819"/>
      <c r="BM145" s="819"/>
      <c r="BN145" s="819"/>
      <c r="BO145" s="819"/>
      <c r="BP145" s="820" t="s">
        <v>27</v>
      </c>
      <c r="BR145" s="818" t="s">
        <v>560</v>
      </c>
      <c r="BS145" s="819"/>
      <c r="BT145" s="819"/>
      <c r="BU145" s="819"/>
      <c r="BV145" s="819"/>
      <c r="BW145" s="820" t="s">
        <v>27</v>
      </c>
      <c r="BY145" s="818" t="s">
        <v>575</v>
      </c>
      <c r="BZ145" s="819"/>
      <c r="CA145" s="819"/>
      <c r="CB145" s="819"/>
      <c r="CC145" s="819"/>
      <c r="CD145" s="820" t="s">
        <v>27</v>
      </c>
      <c r="CF145" s="818" t="s">
        <v>583</v>
      </c>
      <c r="CG145" s="819"/>
      <c r="CH145" s="819"/>
      <c r="CI145" s="819"/>
      <c r="CJ145" s="819"/>
      <c r="CK145" s="820" t="s">
        <v>27</v>
      </c>
      <c r="CN145" s="818" t="s">
        <v>583</v>
      </c>
      <c r="CO145" s="819"/>
      <c r="CP145" s="819"/>
      <c r="CQ145" s="819"/>
      <c r="CR145" s="819"/>
      <c r="CS145" s="820" t="s">
        <v>27</v>
      </c>
    </row>
    <row r="146" spans="1:97" ht="16" x14ac:dyDescent="0.2">
      <c r="A146" s="531"/>
      <c r="B146" s="531"/>
      <c r="C146" s="78" t="s">
        <v>26</v>
      </c>
      <c r="D146" s="42">
        <v>2026</v>
      </c>
      <c r="E146" s="41">
        <v>2027</v>
      </c>
      <c r="F146" s="53">
        <v>2028</v>
      </c>
      <c r="G146" s="41">
        <v>2029</v>
      </c>
      <c r="H146" s="41">
        <v>2030</v>
      </c>
      <c r="I146" s="578"/>
      <c r="J146" s="578"/>
      <c r="K146" s="78" t="s">
        <v>26</v>
      </c>
      <c r="L146" s="42">
        <v>2026</v>
      </c>
      <c r="M146" s="41">
        <v>2027</v>
      </c>
      <c r="N146" s="53">
        <v>2028</v>
      </c>
      <c r="O146" s="41">
        <v>2029</v>
      </c>
      <c r="P146" s="41">
        <v>2030</v>
      </c>
      <c r="Q146" s="531"/>
      <c r="R146" s="531"/>
      <c r="S146" s="531"/>
      <c r="T146" s="78" t="s">
        <v>26</v>
      </c>
      <c r="U146" s="42">
        <v>2026</v>
      </c>
      <c r="V146" s="41">
        <v>2027</v>
      </c>
      <c r="W146" s="53">
        <v>2028</v>
      </c>
      <c r="X146" s="41">
        <v>2029</v>
      </c>
      <c r="Y146" s="41">
        <v>2030</v>
      </c>
      <c r="Z146" s="531"/>
      <c r="AA146" s="531"/>
      <c r="AB146" s="78" t="s">
        <v>26</v>
      </c>
      <c r="AC146" s="42">
        <v>2026</v>
      </c>
      <c r="AD146" s="41">
        <v>2027</v>
      </c>
      <c r="AE146" s="53">
        <v>2028</v>
      </c>
      <c r="AF146" s="41">
        <v>2029</v>
      </c>
      <c r="AG146" s="41">
        <v>2030</v>
      </c>
      <c r="AH146" s="531"/>
      <c r="AI146" s="78" t="s">
        <v>26</v>
      </c>
      <c r="AJ146" s="42">
        <v>2026</v>
      </c>
      <c r="AK146" s="41">
        <v>2027</v>
      </c>
      <c r="AL146" s="53">
        <v>2028</v>
      </c>
      <c r="AM146" s="41">
        <v>2029</v>
      </c>
      <c r="AN146" s="41">
        <v>2030</v>
      </c>
      <c r="AP146" s="78" t="s">
        <v>26</v>
      </c>
      <c r="AQ146" s="42">
        <v>2026</v>
      </c>
      <c r="AR146" s="41">
        <v>2027</v>
      </c>
      <c r="AS146" s="53">
        <v>2028</v>
      </c>
      <c r="AT146" s="41">
        <v>2029</v>
      </c>
      <c r="AU146" s="41">
        <v>2030</v>
      </c>
      <c r="AW146" s="78" t="s">
        <v>26</v>
      </c>
      <c r="AX146" s="42">
        <v>2026</v>
      </c>
      <c r="AY146" s="41">
        <v>2027</v>
      </c>
      <c r="AZ146" s="53">
        <v>2028</v>
      </c>
      <c r="BA146" s="41">
        <v>2029</v>
      </c>
      <c r="BB146" s="41">
        <v>2030</v>
      </c>
      <c r="BD146" s="78" t="s">
        <v>26</v>
      </c>
      <c r="BE146" s="42">
        <v>2026</v>
      </c>
      <c r="BF146" s="41">
        <v>2027</v>
      </c>
      <c r="BG146" s="53">
        <v>2028</v>
      </c>
      <c r="BH146" s="41">
        <v>2029</v>
      </c>
      <c r="BI146" s="41">
        <v>2030</v>
      </c>
      <c r="BK146" s="78" t="s">
        <v>26</v>
      </c>
      <c r="BL146" s="42">
        <v>2026</v>
      </c>
      <c r="BM146" s="41">
        <v>2027</v>
      </c>
      <c r="BN146" s="53">
        <v>2028</v>
      </c>
      <c r="BO146" s="41">
        <v>2029</v>
      </c>
      <c r="BP146" s="41">
        <v>2030</v>
      </c>
      <c r="BR146" s="78" t="s">
        <v>26</v>
      </c>
      <c r="BS146" s="42">
        <v>2026</v>
      </c>
      <c r="BT146" s="41">
        <v>2027</v>
      </c>
      <c r="BU146" s="53">
        <v>2028</v>
      </c>
      <c r="BV146" s="41">
        <v>2029</v>
      </c>
      <c r="BW146" s="41">
        <v>2030</v>
      </c>
      <c r="BY146" s="78" t="s">
        <v>26</v>
      </c>
      <c r="BZ146" s="42">
        <v>2026</v>
      </c>
      <c r="CA146" s="41">
        <v>2027</v>
      </c>
      <c r="CB146" s="53">
        <v>2028</v>
      </c>
      <c r="CC146" s="41">
        <v>2029</v>
      </c>
      <c r="CD146" s="41">
        <v>2030</v>
      </c>
      <c r="CF146" s="78" t="s">
        <v>26</v>
      </c>
      <c r="CG146" s="42">
        <v>2026</v>
      </c>
      <c r="CH146" s="41">
        <v>2027</v>
      </c>
      <c r="CI146" s="53">
        <v>2028</v>
      </c>
      <c r="CJ146" s="41">
        <v>2029</v>
      </c>
      <c r="CK146" s="41">
        <v>2030</v>
      </c>
      <c r="CN146" s="78" t="s">
        <v>26</v>
      </c>
      <c r="CO146" s="42">
        <v>2026</v>
      </c>
      <c r="CP146" s="41">
        <v>2027</v>
      </c>
      <c r="CQ146" s="53">
        <v>2028</v>
      </c>
      <c r="CR146" s="41">
        <v>2029</v>
      </c>
      <c r="CS146" s="41">
        <v>2030</v>
      </c>
    </row>
    <row r="147" spans="1:97" ht="16" x14ac:dyDescent="0.2">
      <c r="A147" s="531"/>
      <c r="B147" s="531"/>
      <c r="C147" s="579" t="s">
        <v>502</v>
      </c>
      <c r="D147" s="580">
        <f>SUM(H46)</f>
        <v>20</v>
      </c>
      <c r="E147" s="581">
        <f>SUM(H70)</f>
        <v>20</v>
      </c>
      <c r="F147" s="582">
        <f>SUM(H93)</f>
        <v>20</v>
      </c>
      <c r="G147" s="581">
        <f>SUM(H116)</f>
        <v>20</v>
      </c>
      <c r="H147" s="581">
        <f>SUM(H140)</f>
        <v>20</v>
      </c>
      <c r="I147" s="583"/>
      <c r="J147" s="583"/>
      <c r="K147" s="579" t="s">
        <v>502</v>
      </c>
      <c r="L147" s="580">
        <f>SUM(P46)</f>
        <v>10</v>
      </c>
      <c r="M147" s="581">
        <f>SUM(P70)</f>
        <v>10</v>
      </c>
      <c r="N147" s="582">
        <f>SUM(P93)</f>
        <v>10</v>
      </c>
      <c r="O147" s="581">
        <f>SUM(P116)</f>
        <v>10</v>
      </c>
      <c r="P147" s="581">
        <f>SUM(P140)</f>
        <v>10</v>
      </c>
      <c r="Q147" s="531"/>
      <c r="R147" s="531"/>
      <c r="S147" s="531"/>
      <c r="T147" s="579" t="s">
        <v>502</v>
      </c>
      <c r="U147" s="580">
        <f>SUM(Y46)</f>
        <v>20</v>
      </c>
      <c r="V147" s="581">
        <f>SUM(Y70)</f>
        <v>20</v>
      </c>
      <c r="W147" s="582">
        <f>SUM(Y93)</f>
        <v>20</v>
      </c>
      <c r="X147" s="581">
        <f>SUM(Y116)</f>
        <v>20</v>
      </c>
      <c r="Y147" s="581">
        <f>SUM(Y140)</f>
        <v>20</v>
      </c>
      <c r="Z147" s="531"/>
      <c r="AA147" s="531"/>
      <c r="AB147" s="579" t="s">
        <v>502</v>
      </c>
      <c r="AC147" s="580">
        <f>SUM(AG46)</f>
        <v>10</v>
      </c>
      <c r="AD147" s="581">
        <f>SUM(AG70)</f>
        <v>10</v>
      </c>
      <c r="AE147" s="582">
        <f>SUM(AG93)</f>
        <v>10</v>
      </c>
      <c r="AF147" s="581">
        <f>SUM(AG116)</f>
        <v>10</v>
      </c>
      <c r="AG147" s="581">
        <f>SUM(AG140)</f>
        <v>10</v>
      </c>
      <c r="AH147" s="531"/>
      <c r="AI147" s="579" t="s">
        <v>502</v>
      </c>
      <c r="AJ147" s="580">
        <f>SUM(AN46)</f>
        <v>5</v>
      </c>
      <c r="AK147" s="581">
        <f>SUM(AN70)</f>
        <v>5</v>
      </c>
      <c r="AL147" s="582">
        <f>SUM(AN93)</f>
        <v>5</v>
      </c>
      <c r="AM147" s="581">
        <f>SUM(AN116)</f>
        <v>5</v>
      </c>
      <c r="AN147" s="581">
        <f>SUM(AN140)</f>
        <v>5</v>
      </c>
      <c r="AP147" s="579" t="s">
        <v>502</v>
      </c>
      <c r="AQ147" s="580">
        <f>SUM(AU46)</f>
        <v>10</v>
      </c>
      <c r="AR147" s="581">
        <f>SUM(AU70)</f>
        <v>10</v>
      </c>
      <c r="AS147" s="582">
        <f>SUM(AU93)</f>
        <v>10</v>
      </c>
      <c r="AT147" s="581">
        <f>SUM(AU116)</f>
        <v>10</v>
      </c>
      <c r="AU147" s="581">
        <f>SUM(AU140)</f>
        <v>10</v>
      </c>
      <c r="AW147" s="579" t="s">
        <v>502</v>
      </c>
      <c r="AX147" s="580">
        <f>SUM(BB46)</f>
        <v>10</v>
      </c>
      <c r="AY147" s="581">
        <f>SUM(BB70)</f>
        <v>10</v>
      </c>
      <c r="AZ147" s="582">
        <f>SUM(BB93)</f>
        <v>10</v>
      </c>
      <c r="BA147" s="581">
        <f>SUM(BB116)</f>
        <v>10</v>
      </c>
      <c r="BB147" s="581">
        <f>SUM(BB140)</f>
        <v>10</v>
      </c>
      <c r="BD147" s="579" t="s">
        <v>502</v>
      </c>
      <c r="BE147" s="580">
        <f>SUM(BI46)</f>
        <v>5</v>
      </c>
      <c r="BF147" s="581">
        <f>SUM(BI70)</f>
        <v>5</v>
      </c>
      <c r="BG147" s="582">
        <f>SUM(BI93)</f>
        <v>5</v>
      </c>
      <c r="BH147" s="581">
        <f>SUM(BI116)</f>
        <v>5</v>
      </c>
      <c r="BI147" s="581">
        <f>SUM(BI140)</f>
        <v>5</v>
      </c>
      <c r="BK147" s="579" t="s">
        <v>502</v>
      </c>
      <c r="BL147" s="580">
        <f>SUM(BP46)</f>
        <v>10</v>
      </c>
      <c r="BM147" s="581">
        <f>SUM(BP70)</f>
        <v>10</v>
      </c>
      <c r="BN147" s="582">
        <f>SUM(BP93)</f>
        <v>10</v>
      </c>
      <c r="BO147" s="581">
        <f>SUM(BP116)</f>
        <v>10</v>
      </c>
      <c r="BP147" s="581">
        <f>SUM(BP140)</f>
        <v>10</v>
      </c>
      <c r="BR147" s="579" t="s">
        <v>502</v>
      </c>
      <c r="BS147" s="580">
        <f>SUM(BW46)</f>
        <v>5</v>
      </c>
      <c r="BT147" s="581">
        <f>SUM(BW70)</f>
        <v>5</v>
      </c>
      <c r="BU147" s="582">
        <f>SUM(BW93)</f>
        <v>5</v>
      </c>
      <c r="BV147" s="581">
        <f>SUM(BW116)</f>
        <v>5</v>
      </c>
      <c r="BW147" s="581">
        <f>SUM(BW140)</f>
        <v>5</v>
      </c>
      <c r="BY147" s="579" t="s">
        <v>502</v>
      </c>
      <c r="BZ147" s="580">
        <f>SUM(CD46)</f>
        <v>10</v>
      </c>
      <c r="CA147" s="581">
        <f>SUM(CD70)</f>
        <v>10</v>
      </c>
      <c r="CB147" s="582">
        <f>SUM(CD93)</f>
        <v>10</v>
      </c>
      <c r="CC147" s="581">
        <f>SUM(CD116)</f>
        <v>10</v>
      </c>
      <c r="CD147" s="581">
        <f>SUM(CD140)</f>
        <v>10</v>
      </c>
      <c r="CF147" s="579" t="s">
        <v>502</v>
      </c>
      <c r="CG147" s="580">
        <f>SUM(CK46)</f>
        <v>5</v>
      </c>
      <c r="CH147" s="581">
        <f>SUM(CK70)</f>
        <v>0</v>
      </c>
      <c r="CI147" s="582">
        <f>SUM(CK93)</f>
        <v>0</v>
      </c>
      <c r="CJ147" s="581">
        <f>SUM(CK116)</f>
        <v>0</v>
      </c>
      <c r="CK147" s="581">
        <f>SUM(CK140)</f>
        <v>0</v>
      </c>
      <c r="CN147" s="579" t="s">
        <v>502</v>
      </c>
      <c r="CO147" s="580">
        <f>SUM(CS46)</f>
        <v>5</v>
      </c>
      <c r="CP147" s="581">
        <f>SUM(CS70)</f>
        <v>0</v>
      </c>
      <c r="CQ147" s="582">
        <f>SUM(CS93)</f>
        <v>0</v>
      </c>
      <c r="CR147" s="581">
        <f>SUM(CS116)</f>
        <v>0</v>
      </c>
      <c r="CS147" s="581">
        <f>SUM(CS140)</f>
        <v>0</v>
      </c>
    </row>
    <row r="148" spans="1:97" ht="16" x14ac:dyDescent="0.2">
      <c r="A148" s="531"/>
      <c r="B148" s="531"/>
      <c r="C148" s="584" t="str">
        <f>+C99</f>
        <v>Superficie cultivée en pluviale</v>
      </c>
      <c r="D148" s="585">
        <f>SUM(G32)</f>
        <v>6628365.2194214882</v>
      </c>
      <c r="E148" s="586">
        <f>SUM(G56)</f>
        <v>6628365.2194214882</v>
      </c>
      <c r="F148" s="585">
        <f>SUM(G79)</f>
        <v>6628365.2194214882</v>
      </c>
      <c r="G148" s="586">
        <f>SUM(G102)</f>
        <v>7291201.7413636381</v>
      </c>
      <c r="H148" s="586">
        <f>SUM(G126)</f>
        <v>7291201.7413636381</v>
      </c>
      <c r="I148" s="585"/>
      <c r="J148" s="585"/>
      <c r="K148" s="584" t="str">
        <f>+K99</f>
        <v>Superficie cultivée en pluviale</v>
      </c>
      <c r="L148" s="585">
        <f>SUM(O32)</f>
        <v>3277100.2537190081</v>
      </c>
      <c r="M148" s="586">
        <f>SUM(O56)</f>
        <v>3277100.2537190081</v>
      </c>
      <c r="N148" s="585">
        <f>SUM(O79)</f>
        <v>3604810.2790909093</v>
      </c>
      <c r="O148" s="586">
        <f>SUM(O102)</f>
        <v>3965291.3070000005</v>
      </c>
      <c r="P148" s="586">
        <f>SUM(O126)</f>
        <v>4361820.4377000015</v>
      </c>
      <c r="Q148" s="531"/>
      <c r="R148" s="531"/>
      <c r="S148" s="531"/>
      <c r="T148" s="543" t="str">
        <f>+T99</f>
        <v>Superficie cultivée en pluviale</v>
      </c>
      <c r="U148" s="587">
        <f>SUM(X32)</f>
        <v>9046429.5570247956</v>
      </c>
      <c r="V148" s="588">
        <f>SUM(X56)</f>
        <v>9046429.5570247956</v>
      </c>
      <c r="W148" s="587">
        <f>SUM(X79)</f>
        <v>9951072.5127272755</v>
      </c>
      <c r="X148" s="588">
        <f>SUM(X102)</f>
        <v>9951072.5127272755</v>
      </c>
      <c r="Y148" s="587">
        <f>SUM(X126)</f>
        <v>10946179.764000002</v>
      </c>
      <c r="Z148" s="531"/>
      <c r="AA148" s="531"/>
      <c r="AB148" s="543" t="str">
        <f>+AB99</f>
        <v>Superficie cultivée en pluviale</v>
      </c>
      <c r="AC148" s="587">
        <f>SUM(AF32)</f>
        <v>1533732.971280992</v>
      </c>
      <c r="AD148" s="588">
        <f>SUM(AF56)</f>
        <v>1533732.971280992</v>
      </c>
      <c r="AE148" s="587">
        <f>SUM(AF79)</f>
        <v>1687106.2684090913</v>
      </c>
      <c r="AF148" s="588">
        <f>SUM(AF102)</f>
        <v>1687106.2684090913</v>
      </c>
      <c r="AG148" s="587">
        <f>SUM(AF126)</f>
        <v>1855816.8952500005</v>
      </c>
      <c r="AH148" s="531"/>
      <c r="AI148" s="543" t="str">
        <f>+AI99</f>
        <v>Superficie cultivée en irriguation</v>
      </c>
      <c r="AJ148" s="587">
        <f>SUM(AM32)</f>
        <v>7376827.22107438</v>
      </c>
      <c r="AK148" s="588">
        <f>SUM(AM56)</f>
        <v>7376827.22107438</v>
      </c>
      <c r="AL148" s="587">
        <f>SUM(AM79)</f>
        <v>8114509.9431818184</v>
      </c>
      <c r="AM148" s="588">
        <f>SUM(AM102)</f>
        <v>8114509.9431818184</v>
      </c>
      <c r="AN148" s="587">
        <f>SUM(AM126)</f>
        <v>8925960.9375000019</v>
      </c>
      <c r="AP148" s="543" t="str">
        <f>+AP99</f>
        <v>Superficie cultivée en irriguation</v>
      </c>
      <c r="AQ148" s="587">
        <f>SUM(AT32)</f>
        <v>2035628.7099173549</v>
      </c>
      <c r="AR148" s="588">
        <f>SUM(AT56)</f>
        <v>2035628.7099173549</v>
      </c>
      <c r="AS148" s="587">
        <f>SUM(AT79)</f>
        <v>2239191.5809090906</v>
      </c>
      <c r="AT148" s="588">
        <f>SUM(AT102)</f>
        <v>2239191.5809090906</v>
      </c>
      <c r="AU148" s="587">
        <f>SUM(AT126)</f>
        <v>2463110.7389999996</v>
      </c>
      <c r="AW148" s="543" t="str">
        <f>+AW99</f>
        <v>Superficie cultivée en irriguation</v>
      </c>
      <c r="AX148" s="587">
        <f>SUM(BA32)</f>
        <v>8967574.896694215</v>
      </c>
      <c r="AY148" s="588">
        <f>SUM(BA56)</f>
        <v>8967574.896694215</v>
      </c>
      <c r="AZ148" s="587">
        <f>SUM(BA79)</f>
        <v>9864332.3863636367</v>
      </c>
      <c r="BA148" s="588">
        <f>SUM(BA102)</f>
        <v>9864332.3863636367</v>
      </c>
      <c r="BB148" s="587">
        <f>SUM(BA126)</f>
        <v>10850765.625</v>
      </c>
      <c r="BD148" s="543" t="str">
        <f>+BD99</f>
        <v>Superficie cultivée en irriguation</v>
      </c>
      <c r="BE148" s="587">
        <f>SUM(BH32)</f>
        <v>14450351.88533058</v>
      </c>
      <c r="BF148" s="588">
        <f>SUM(BH56)</f>
        <v>14450351.88533058</v>
      </c>
      <c r="BG148" s="587">
        <f>SUM(BH79)</f>
        <v>15895387.073863637</v>
      </c>
      <c r="BH148" s="588">
        <f>SUM(BH102)</f>
        <v>15895387.073863637</v>
      </c>
      <c r="BI148" s="587">
        <f>SUM(BH126)</f>
        <v>17484925.781250004</v>
      </c>
      <c r="BK148" s="543" t="str">
        <f>+BK99</f>
        <v>Superficie cultivée en irriguation</v>
      </c>
      <c r="BL148" s="587">
        <f>SUM(BO32)</f>
        <v>31047152.63429752</v>
      </c>
      <c r="BM148" s="588">
        <f>SUM(BO56)</f>
        <v>31047152.63429752</v>
      </c>
      <c r="BN148" s="587">
        <f>SUM(BO79)</f>
        <v>34151867.897727273</v>
      </c>
      <c r="BO148" s="588">
        <f>SUM(BO102)</f>
        <v>34151867.897727273</v>
      </c>
      <c r="BP148" s="587">
        <f>SUM(BO126)</f>
        <v>37567054.687500007</v>
      </c>
      <c r="BR148" s="543" t="str">
        <f>+BR99</f>
        <v>Superficie cultivée en irriguation</v>
      </c>
      <c r="BS148" s="587">
        <f>SUM(BV32)</f>
        <v>5269112.8512396701</v>
      </c>
      <c r="BT148" s="588">
        <f>SUM(BV56)</f>
        <v>5269112.8512396701</v>
      </c>
      <c r="BU148" s="587">
        <f>SUM(BV79)</f>
        <v>5796024.1363636367</v>
      </c>
      <c r="BV148" s="588">
        <f>SUM(BV102)</f>
        <v>5796024.1363636367</v>
      </c>
      <c r="BW148" s="587">
        <f>SUM(BV126)</f>
        <v>6375626.5500000017</v>
      </c>
      <c r="BY148" s="543" t="str">
        <f>+BY99</f>
        <v>Superficie cultivée en irriguation</v>
      </c>
      <c r="BZ148" s="587">
        <f>SUM(CC32)</f>
        <v>5484665.8636363633</v>
      </c>
      <c r="CA148" s="588">
        <f>SUM(CC56)</f>
        <v>5484665.8636363633</v>
      </c>
      <c r="CB148" s="587">
        <f>SUM(CC79)</f>
        <v>6033132.4500000002</v>
      </c>
      <c r="CC148" s="588">
        <f>SUM(CC102)</f>
        <v>6033132.4500000002</v>
      </c>
      <c r="CD148" s="587">
        <f>SUM(CC126)</f>
        <v>6636445.6950000012</v>
      </c>
      <c r="CF148" s="543" t="str">
        <f>+CF99</f>
        <v>Superficie cultivée en irriguation</v>
      </c>
      <c r="CG148" s="587">
        <f>SUM(CJ32)</f>
        <v>6250000</v>
      </c>
      <c r="CH148" s="588">
        <f>SUM(CJ56)</f>
        <v>0</v>
      </c>
      <c r="CI148" s="587">
        <f>SUM(CJ79)</f>
        <v>0</v>
      </c>
      <c r="CJ148" s="588">
        <f>SUM(CJ102)</f>
        <v>0</v>
      </c>
      <c r="CK148" s="587">
        <f>SUM(CJ126)</f>
        <v>0</v>
      </c>
      <c r="CN148" s="543" t="str">
        <f>+CN99</f>
        <v>Superficie cultivée en irriguation</v>
      </c>
      <c r="CO148" s="587">
        <f>SUM(CR32)</f>
        <v>3000000</v>
      </c>
      <c r="CP148" s="588">
        <f>SUM(CR56)</f>
        <v>0</v>
      </c>
      <c r="CQ148" s="587">
        <f>SUM(CR79)</f>
        <v>0</v>
      </c>
      <c r="CR148" s="588">
        <f>SUM(CR102)</f>
        <v>0</v>
      </c>
      <c r="CS148" s="587">
        <f>SUM(CR126)</f>
        <v>0</v>
      </c>
    </row>
    <row r="149" spans="1:97" ht="16" x14ac:dyDescent="0.2">
      <c r="A149" s="531"/>
      <c r="B149" s="531"/>
      <c r="C149" s="540" t="str">
        <f>+C104</f>
        <v>Ensachage et autres fournitures</v>
      </c>
      <c r="D149" s="588">
        <f>SUM(G38)</f>
        <v>700000</v>
      </c>
      <c r="E149" s="587">
        <f>SUM(G62)</f>
        <v>700000</v>
      </c>
      <c r="F149" s="588">
        <f>SUM(G85)</f>
        <v>770000</v>
      </c>
      <c r="G149" s="587">
        <f>SUM(G108)</f>
        <v>847000</v>
      </c>
      <c r="H149" s="587">
        <f>SUM(G132)</f>
        <v>931700.00000000012</v>
      </c>
      <c r="I149" s="588"/>
      <c r="J149" s="588"/>
      <c r="K149" s="540" t="str">
        <f>+K104</f>
        <v>Ensachage et autres fournitures</v>
      </c>
      <c r="L149" s="588">
        <f>SUM(O38)</f>
        <v>350000</v>
      </c>
      <c r="M149" s="587">
        <f>SUM(O62)</f>
        <v>350000</v>
      </c>
      <c r="N149" s="588">
        <f>SUM(O85)</f>
        <v>385000</v>
      </c>
      <c r="O149" s="587">
        <f>SUM(O108)</f>
        <v>423500</v>
      </c>
      <c r="P149" s="587">
        <f>SUM(O132)</f>
        <v>465850.00000000006</v>
      </c>
      <c r="Q149" s="531"/>
      <c r="R149" s="531"/>
      <c r="S149" s="531"/>
      <c r="T149" s="589" t="s">
        <v>417</v>
      </c>
      <c r="U149" s="588">
        <f>SUM(X38)</f>
        <v>700000</v>
      </c>
      <c r="V149" s="587">
        <f>SUM(X62)</f>
        <v>700000</v>
      </c>
      <c r="W149" s="588">
        <f>SUM(X85)</f>
        <v>770000</v>
      </c>
      <c r="X149" s="587">
        <f>SUM(X108)</f>
        <v>847000</v>
      </c>
      <c r="Y149" s="587">
        <f>SUM(X132)</f>
        <v>931700.00000000012</v>
      </c>
      <c r="Z149" s="531"/>
      <c r="AA149" s="531"/>
      <c r="AB149" s="589" t="s">
        <v>417</v>
      </c>
      <c r="AC149" s="588">
        <f>SUM(AF38)</f>
        <v>350000</v>
      </c>
      <c r="AD149" s="587">
        <f>SUM(AF62)</f>
        <v>350000</v>
      </c>
      <c r="AE149" s="588">
        <f>SUM(AF85)</f>
        <v>385000</v>
      </c>
      <c r="AF149" s="587">
        <f>SUM(AF108)</f>
        <v>423500</v>
      </c>
      <c r="AG149" s="587">
        <f>SUM(AF132)</f>
        <v>465850.00000000006</v>
      </c>
      <c r="AH149" s="531"/>
      <c r="AI149" s="589" t="s">
        <v>417</v>
      </c>
      <c r="AJ149" s="588">
        <f>SUM(AM38)</f>
        <v>175000</v>
      </c>
      <c r="AK149" s="587">
        <f>SUM(AM62)</f>
        <v>175000</v>
      </c>
      <c r="AL149" s="588">
        <f>SUM(AM85)</f>
        <v>192500</v>
      </c>
      <c r="AM149" s="587">
        <f>SUM(AM108)</f>
        <v>211750</v>
      </c>
      <c r="AN149" s="587">
        <f>SUM(AM132)</f>
        <v>232925.00000000003</v>
      </c>
      <c r="AP149" s="589" t="s">
        <v>417</v>
      </c>
      <c r="AQ149" s="588">
        <f>SUM(AT38)</f>
        <v>350000</v>
      </c>
      <c r="AR149" s="587">
        <f>SUM(AT62)</f>
        <v>350000</v>
      </c>
      <c r="AS149" s="588">
        <f>SUM(AT85)</f>
        <v>385000</v>
      </c>
      <c r="AT149" s="587">
        <f>SUM(AT108)</f>
        <v>423500</v>
      </c>
      <c r="AU149" s="587">
        <f>SUM(AT132)</f>
        <v>465850.00000000006</v>
      </c>
      <c r="AW149" s="589" t="s">
        <v>417</v>
      </c>
      <c r="AX149" s="588">
        <f>SUM(BA38)</f>
        <v>350000</v>
      </c>
      <c r="AY149" s="587">
        <f>SUM(BA62)</f>
        <v>350000</v>
      </c>
      <c r="AZ149" s="588">
        <f>SUM(BA85)</f>
        <v>385000</v>
      </c>
      <c r="BA149" s="587">
        <f>SUM(BA108)</f>
        <v>423500</v>
      </c>
      <c r="BB149" s="587">
        <f>SUM(BA132)</f>
        <v>465850.00000000006</v>
      </c>
      <c r="BD149" s="589" t="s">
        <v>417</v>
      </c>
      <c r="BE149" s="588">
        <f>SUM(BH38)</f>
        <v>175000</v>
      </c>
      <c r="BF149" s="587">
        <f>SUM(BH62)</f>
        <v>175000</v>
      </c>
      <c r="BG149" s="588">
        <f>SUM(BH85)</f>
        <v>192500</v>
      </c>
      <c r="BH149" s="587">
        <f>SUM(BH108)</f>
        <v>211750</v>
      </c>
      <c r="BI149" s="587">
        <f>SUM(BH132)</f>
        <v>232925.00000000003</v>
      </c>
      <c r="BK149" s="589" t="s">
        <v>417</v>
      </c>
      <c r="BL149" s="588">
        <f>SUM(BO38)</f>
        <v>350000</v>
      </c>
      <c r="BM149" s="587">
        <f>SUM(BO62)</f>
        <v>350000</v>
      </c>
      <c r="BN149" s="588">
        <f>SUM(BO85)</f>
        <v>385000</v>
      </c>
      <c r="BO149" s="587">
        <f>SUM(BO108)</f>
        <v>423500</v>
      </c>
      <c r="BP149" s="587">
        <f>SUM(BO132)</f>
        <v>465850.00000000006</v>
      </c>
      <c r="BR149" s="589" t="s">
        <v>417</v>
      </c>
      <c r="BS149" s="588">
        <f>SUM(BV38)</f>
        <v>175000</v>
      </c>
      <c r="BT149" s="587">
        <f>SUM(BV62)</f>
        <v>175000</v>
      </c>
      <c r="BU149" s="588">
        <f>SUM(BV85)</f>
        <v>192500</v>
      </c>
      <c r="BV149" s="587">
        <f>SUM(BV108)</f>
        <v>211750</v>
      </c>
      <c r="BW149" s="587">
        <f>SUM(BV132)</f>
        <v>232925.00000000003</v>
      </c>
      <c r="BY149" s="589" t="s">
        <v>417</v>
      </c>
      <c r="BZ149" s="588">
        <f>SUM(CC38)</f>
        <v>350000</v>
      </c>
      <c r="CA149" s="587">
        <f>SUM(CC62)</f>
        <v>350000</v>
      </c>
      <c r="CB149" s="588">
        <f>SUM(CC85)</f>
        <v>385000</v>
      </c>
      <c r="CC149" s="587">
        <f>SUM(CC108)</f>
        <v>423500</v>
      </c>
      <c r="CD149" s="587">
        <f>SUM(CC132)</f>
        <v>465850.00000000006</v>
      </c>
      <c r="CF149" s="547" t="s">
        <v>616</v>
      </c>
      <c r="CG149" s="588">
        <f>SUM(CJ38)</f>
        <v>3600000</v>
      </c>
      <c r="CH149" s="587">
        <f>SUM(CJ62)</f>
        <v>3600000</v>
      </c>
      <c r="CI149" s="588">
        <f>SUM(CJ85)</f>
        <v>3960000.0000000005</v>
      </c>
      <c r="CJ149" s="587">
        <f>SUM(CJ108)</f>
        <v>4356000.0000000009</v>
      </c>
      <c r="CK149" s="587">
        <f>SUM(CJ132)</f>
        <v>4791600.0000000019</v>
      </c>
      <c r="CN149" s="547" t="s">
        <v>616</v>
      </c>
      <c r="CO149" s="588">
        <f>SUM(CR38)</f>
        <v>1800000</v>
      </c>
      <c r="CP149" s="587">
        <f>SUM(CR62)</f>
        <v>900000</v>
      </c>
      <c r="CQ149" s="588">
        <f>SUM(CR85)</f>
        <v>990000.00000000012</v>
      </c>
      <c r="CR149" s="587">
        <f>SUM(CR108)</f>
        <v>0</v>
      </c>
      <c r="CS149" s="587">
        <f>SUM(CR132)</f>
        <v>0</v>
      </c>
    </row>
    <row r="150" spans="1:97" ht="16" x14ac:dyDescent="0.2">
      <c r="A150" s="531"/>
      <c r="B150" s="531"/>
      <c r="C150" s="590" t="str">
        <f>+C110</f>
        <v>Transports, manutention, stock des intrants (coût /hectare)</v>
      </c>
      <c r="D150" s="585">
        <f>SUM(G42)</f>
        <v>500000</v>
      </c>
      <c r="E150" s="591">
        <f>SUM(G66)</f>
        <v>500000</v>
      </c>
      <c r="F150" s="585">
        <f>SUM(G89)</f>
        <v>550000.00000000012</v>
      </c>
      <c r="G150" s="591">
        <f>SUM(G112)</f>
        <v>605000.00000000012</v>
      </c>
      <c r="H150" s="591">
        <f>SUM(G136)</f>
        <v>665500.00000000012</v>
      </c>
      <c r="I150" s="585"/>
      <c r="J150" s="585"/>
      <c r="K150" s="590" t="str">
        <f>+K110</f>
        <v>Transports, manutention, stock des intrants (coût /hectare)</v>
      </c>
      <c r="L150" s="585">
        <f>SUM(O42)</f>
        <v>250000</v>
      </c>
      <c r="M150" s="591">
        <f>SUM(O66)</f>
        <v>250000</v>
      </c>
      <c r="N150" s="585">
        <f>SUM(O89)</f>
        <v>275000.00000000006</v>
      </c>
      <c r="O150" s="591">
        <f>SUM(O112)</f>
        <v>302500.00000000006</v>
      </c>
      <c r="P150" s="591">
        <f>SUM(O136)</f>
        <v>332750.00000000006</v>
      </c>
      <c r="Q150" s="531"/>
      <c r="R150" s="531"/>
      <c r="S150" s="531"/>
      <c r="T150" s="590" t="str">
        <f>+T110</f>
        <v>Transports, manutention, stock des intrants (coût /hectare)</v>
      </c>
      <c r="U150" s="585">
        <f>SUM(X42)</f>
        <v>500000</v>
      </c>
      <c r="V150" s="591">
        <f>SUM(X66)</f>
        <v>500000</v>
      </c>
      <c r="W150" s="585">
        <f>SUM(X89)</f>
        <v>550000.00000000012</v>
      </c>
      <c r="X150" s="591">
        <f>SUM(X112)</f>
        <v>605000.00000000012</v>
      </c>
      <c r="Y150" s="591">
        <f>SUM(X136)</f>
        <v>665500.00000000012</v>
      </c>
      <c r="Z150" s="531"/>
      <c r="AA150" s="531"/>
      <c r="AB150" s="590" t="str">
        <f>+AB110</f>
        <v>Transports, manutention, stock des intrants (coût /hectare)</v>
      </c>
      <c r="AC150" s="585">
        <f>SUM(AF42)</f>
        <v>250000</v>
      </c>
      <c r="AD150" s="591">
        <f>SUM(AF66)</f>
        <v>250000</v>
      </c>
      <c r="AE150" s="585">
        <f>SUM(AF89)</f>
        <v>275000.00000000006</v>
      </c>
      <c r="AF150" s="591">
        <f>SUM(AF112)</f>
        <v>302500.00000000006</v>
      </c>
      <c r="AG150" s="591">
        <f>SUM(AF136)</f>
        <v>332750.00000000006</v>
      </c>
      <c r="AH150" s="531"/>
      <c r="AI150" s="590" t="str">
        <f>+AI110</f>
        <v>Transports, manutention, stock des intrants (coût /hectare)</v>
      </c>
      <c r="AJ150" s="585">
        <f>SUM(AM42)</f>
        <v>125000</v>
      </c>
      <c r="AK150" s="591">
        <f>SUM(AM66)</f>
        <v>125000</v>
      </c>
      <c r="AL150" s="585">
        <f>SUM(AM89)</f>
        <v>137500.00000000003</v>
      </c>
      <c r="AM150" s="591">
        <f>SUM(AM112)</f>
        <v>151250.00000000003</v>
      </c>
      <c r="AN150" s="591">
        <f>SUM(AM136)</f>
        <v>166375.00000000003</v>
      </c>
      <c r="AP150" s="590" t="str">
        <f>+AP110</f>
        <v>Transports, manutention, stock des intrants (coût /hectare)</v>
      </c>
      <c r="AQ150" s="585">
        <f>SUM(AT42)</f>
        <v>250000</v>
      </c>
      <c r="AR150" s="591">
        <f>SUM(AT66)</f>
        <v>250000</v>
      </c>
      <c r="AS150" s="585">
        <f>SUM(AT89)</f>
        <v>275000.00000000006</v>
      </c>
      <c r="AT150" s="591">
        <f>SUM(AT112)</f>
        <v>302500.00000000006</v>
      </c>
      <c r="AU150" s="591">
        <f>SUM(AT136)</f>
        <v>332750.00000000006</v>
      </c>
      <c r="AW150" s="590" t="str">
        <f>+AW110</f>
        <v>Transports, manutention, stock des intrants (coût /hectare)</v>
      </c>
      <c r="AX150" s="585">
        <f>SUM(BA42)</f>
        <v>250000</v>
      </c>
      <c r="AY150" s="591">
        <f>SUM(BA66)</f>
        <v>250000</v>
      </c>
      <c r="AZ150" s="585">
        <f>SUM(BA89)</f>
        <v>275000.00000000006</v>
      </c>
      <c r="BA150" s="591">
        <f>SUM(BA112)</f>
        <v>302500.00000000006</v>
      </c>
      <c r="BB150" s="591">
        <f>SUM(BA136)</f>
        <v>332750.00000000006</v>
      </c>
      <c r="BD150" s="590" t="str">
        <f>+BD110</f>
        <v>Transports, manutention, stock des intrants (coût /hectare)</v>
      </c>
      <c r="BE150" s="585">
        <f>SUM(BH42)</f>
        <v>125000</v>
      </c>
      <c r="BF150" s="591">
        <f>SUM(BH66)</f>
        <v>125000</v>
      </c>
      <c r="BG150" s="585">
        <f>SUM(BH89)</f>
        <v>137500.00000000003</v>
      </c>
      <c r="BH150" s="591">
        <f>SUM(BH112)</f>
        <v>151250.00000000003</v>
      </c>
      <c r="BI150" s="591">
        <f>SUM(BH136)</f>
        <v>166375.00000000003</v>
      </c>
      <c r="BK150" s="590" t="str">
        <f>+BK110</f>
        <v>Transports, manutention, stock des intrants (coût /hectare)</v>
      </c>
      <c r="BL150" s="585">
        <f>SUM(BO42)</f>
        <v>250000</v>
      </c>
      <c r="BM150" s="591">
        <f>SUM(BO66)</f>
        <v>250000</v>
      </c>
      <c r="BN150" s="585">
        <f>SUM(BO89)</f>
        <v>275000.00000000006</v>
      </c>
      <c r="BO150" s="591">
        <f>SUM(BO112)</f>
        <v>302500.00000000006</v>
      </c>
      <c r="BP150" s="591">
        <f>SUM(BO136)</f>
        <v>332750.00000000006</v>
      </c>
      <c r="BR150" s="590" t="str">
        <f>+BR110</f>
        <v>Transports, manutention, stock des intrants (coût /hectare)</v>
      </c>
      <c r="BS150" s="585">
        <f>SUM(BV42)</f>
        <v>125000</v>
      </c>
      <c r="BT150" s="591">
        <f>SUM(BV66)</f>
        <v>125000</v>
      </c>
      <c r="BU150" s="585">
        <f>SUM(BV89)</f>
        <v>137500.00000000003</v>
      </c>
      <c r="BV150" s="591">
        <f>SUM(BV112)</f>
        <v>151250.00000000003</v>
      </c>
      <c r="BW150" s="591">
        <f>SUM(BV136)</f>
        <v>166375.00000000003</v>
      </c>
      <c r="BY150" s="590" t="str">
        <f>+BY110</f>
        <v>Transports, manutention, stock des intrants (coût /hectare)</v>
      </c>
      <c r="BZ150" s="585">
        <f>SUM(CC42)</f>
        <v>250000</v>
      </c>
      <c r="CA150" s="591">
        <f>SUM(CC66)</f>
        <v>250000</v>
      </c>
      <c r="CB150" s="585">
        <f>SUM(CC89)</f>
        <v>275000.00000000006</v>
      </c>
      <c r="CC150" s="591">
        <f>SUM(CC112)</f>
        <v>302500.00000000006</v>
      </c>
      <c r="CD150" s="591">
        <f>SUM(CC136)</f>
        <v>332750.00000000006</v>
      </c>
      <c r="CF150" s="590" t="str">
        <f>+CF110</f>
        <v>Transports, manutention, stock des intrants (coût /hectare)</v>
      </c>
      <c r="CG150" s="585">
        <f>SUM(CJ42)</f>
        <v>125000</v>
      </c>
      <c r="CH150" s="591">
        <f>SUM(CJ66)</f>
        <v>0</v>
      </c>
      <c r="CI150" s="585">
        <f>SUM(CJ89)</f>
        <v>0</v>
      </c>
      <c r="CJ150" s="591">
        <f>SUM(CJ112)</f>
        <v>0</v>
      </c>
      <c r="CK150" s="591">
        <f>SUM(CJ136)</f>
        <v>0</v>
      </c>
      <c r="CN150" s="547" t="s">
        <v>623</v>
      </c>
      <c r="CO150" s="585">
        <f>SUM(CR42)</f>
        <v>0</v>
      </c>
      <c r="CP150" s="591">
        <f>SUM(CR66)</f>
        <v>0</v>
      </c>
      <c r="CQ150" s="585">
        <f>SUM(CR89)</f>
        <v>0</v>
      </c>
      <c r="CR150" s="591">
        <f>SUM(CR112)</f>
        <v>600000</v>
      </c>
      <c r="CS150" s="591">
        <f>SUM(CR136)</f>
        <v>600000</v>
      </c>
    </row>
    <row r="151" spans="1:97" ht="16" x14ac:dyDescent="0.2">
      <c r="A151" s="531"/>
      <c r="B151" s="531"/>
      <c r="C151" s="592" t="s">
        <v>32</v>
      </c>
      <c r="D151" s="531"/>
      <c r="E151" s="592"/>
      <c r="F151" s="531"/>
      <c r="G151" s="592"/>
      <c r="H151" s="592"/>
      <c r="I151" s="531"/>
      <c r="J151" s="531"/>
      <c r="K151" s="592" t="s">
        <v>32</v>
      </c>
      <c r="L151" s="531"/>
      <c r="M151" s="592"/>
      <c r="N151" s="531"/>
      <c r="O151" s="592"/>
      <c r="P151" s="592"/>
      <c r="Q151" s="531"/>
      <c r="R151" s="531"/>
      <c r="S151" s="531"/>
      <c r="T151" s="592" t="s">
        <v>32</v>
      </c>
      <c r="U151" s="531"/>
      <c r="V151" s="592"/>
      <c r="W151" s="531"/>
      <c r="X151" s="592"/>
      <c r="Y151" s="592"/>
      <c r="Z151" s="531"/>
      <c r="AA151" s="531"/>
      <c r="AB151" s="592" t="s">
        <v>32</v>
      </c>
      <c r="AC151" s="531"/>
      <c r="AD151" s="592"/>
      <c r="AE151" s="531"/>
      <c r="AF151" s="592"/>
      <c r="AG151" s="592"/>
      <c r="AH151" s="531"/>
      <c r="AI151" s="592" t="s">
        <v>32</v>
      </c>
      <c r="AJ151" s="531"/>
      <c r="AK151" s="592"/>
      <c r="AL151" s="531"/>
      <c r="AM151" s="592"/>
      <c r="AN151" s="592"/>
      <c r="AP151" s="592" t="s">
        <v>32</v>
      </c>
      <c r="AQ151" s="531"/>
      <c r="AR151" s="592"/>
      <c r="AS151" s="531"/>
      <c r="AT151" s="592"/>
      <c r="AU151" s="592"/>
      <c r="AW151" s="592" t="s">
        <v>32</v>
      </c>
      <c r="AX151" s="531"/>
      <c r="AY151" s="592"/>
      <c r="AZ151" s="531"/>
      <c r="BA151" s="592"/>
      <c r="BB151" s="592"/>
      <c r="BD151" s="592" t="s">
        <v>32</v>
      </c>
      <c r="BE151" s="531"/>
      <c r="BF151" s="592"/>
      <c r="BG151" s="531"/>
      <c r="BH151" s="592"/>
      <c r="BI151" s="592"/>
      <c r="BK151" s="592" t="s">
        <v>32</v>
      </c>
      <c r="BL151" s="531"/>
      <c r="BM151" s="592"/>
      <c r="BN151" s="531"/>
      <c r="BO151" s="592"/>
      <c r="BP151" s="592"/>
      <c r="BR151" s="592" t="s">
        <v>32</v>
      </c>
      <c r="BS151" s="531"/>
      <c r="BT151" s="592"/>
      <c r="BU151" s="531"/>
      <c r="BV151" s="592"/>
      <c r="BW151" s="592"/>
      <c r="BY151" s="592" t="s">
        <v>32</v>
      </c>
      <c r="BZ151" s="531"/>
      <c r="CA151" s="592"/>
      <c r="CB151" s="531"/>
      <c r="CC151" s="592"/>
      <c r="CD151" s="592"/>
      <c r="CF151" s="592" t="s">
        <v>32</v>
      </c>
      <c r="CG151" s="531"/>
      <c r="CH151" s="592"/>
      <c r="CI151" s="531"/>
      <c r="CJ151" s="592"/>
      <c r="CK151" s="592"/>
      <c r="CN151" s="592" t="s">
        <v>32</v>
      </c>
      <c r="CO151" s="531"/>
      <c r="CP151" s="592"/>
      <c r="CQ151" s="531"/>
      <c r="CR151" s="592"/>
      <c r="CS151" s="592"/>
    </row>
    <row r="152" spans="1:97" ht="16" x14ac:dyDescent="0.2">
      <c r="A152" s="531"/>
      <c r="B152" s="531"/>
      <c r="C152" s="89" t="s">
        <v>31</v>
      </c>
      <c r="D152" s="395">
        <f>+SUM(D148:D150)</f>
        <v>7828365.2194214882</v>
      </c>
      <c r="E152" s="395">
        <f>+SUM(E148:E151)</f>
        <v>7828365.2194214882</v>
      </c>
      <c r="F152" s="395">
        <f>+SUM(F148:F151)</f>
        <v>7948365.2194214882</v>
      </c>
      <c r="G152" s="395">
        <f>+SUM(G148:G151)</f>
        <v>8743201.741363639</v>
      </c>
      <c r="H152" s="395">
        <f>+SUM(H148:H151)</f>
        <v>8888401.741363639</v>
      </c>
      <c r="I152" s="88"/>
      <c r="J152" s="88"/>
      <c r="K152" s="89" t="s">
        <v>31</v>
      </c>
      <c r="L152" s="395">
        <f>+SUM(L148:L150)</f>
        <v>3877100.2537190081</v>
      </c>
      <c r="M152" s="395">
        <f>+SUM(M148:M151)</f>
        <v>3877100.2537190081</v>
      </c>
      <c r="N152" s="395">
        <f>+SUM(N148:N151)</f>
        <v>4264810.2790909093</v>
      </c>
      <c r="O152" s="395">
        <f>+SUM(O148:O151)</f>
        <v>4691291.307</v>
      </c>
      <c r="P152" s="395">
        <f>+SUM(P148:P151)</f>
        <v>5160420.4377000015</v>
      </c>
      <c r="Q152" s="531"/>
      <c r="R152" s="531"/>
      <c r="S152" s="531"/>
      <c r="T152" s="89" t="s">
        <v>31</v>
      </c>
      <c r="U152" s="395">
        <f>+SUM(U148:U150)</f>
        <v>10246429.557024796</v>
      </c>
      <c r="V152" s="395">
        <f>+SUM(V148:V150)</f>
        <v>10246429.557024796</v>
      </c>
      <c r="W152" s="395">
        <f>+SUM(W148:W150)</f>
        <v>11271072.512727275</v>
      </c>
      <c r="X152" s="395">
        <f>+SUM(X148:X150)</f>
        <v>11403072.512727275</v>
      </c>
      <c r="Y152" s="395">
        <f>+SUM(Y148:Y150)</f>
        <v>12543379.764000002</v>
      </c>
      <c r="Z152" s="531"/>
      <c r="AA152" s="531"/>
      <c r="AB152" s="89" t="s">
        <v>31</v>
      </c>
      <c r="AC152" s="395">
        <f>+SUM(AC148:AC150)</f>
        <v>2133732.971280992</v>
      </c>
      <c r="AD152" s="395">
        <f>+SUM(AD148:AD150)</f>
        <v>2133732.971280992</v>
      </c>
      <c r="AE152" s="395">
        <f>+SUM(AE148:AE150)</f>
        <v>2347106.2684090915</v>
      </c>
      <c r="AF152" s="395">
        <f>+SUM(AF148:AF150)</f>
        <v>2413106.268409091</v>
      </c>
      <c r="AG152" s="395">
        <f>+SUM(AG148:AG150)</f>
        <v>2654416.8952500005</v>
      </c>
      <c r="AH152" s="531"/>
      <c r="AI152" s="89" t="s">
        <v>31</v>
      </c>
      <c r="AJ152" s="395">
        <f>+SUM(AJ148:AJ150)</f>
        <v>7676827.22107438</v>
      </c>
      <c r="AK152" s="395">
        <f>+SUM(AK148:AK150)</f>
        <v>7676827.22107438</v>
      </c>
      <c r="AL152" s="395">
        <f>+SUM(AL148:AL150)</f>
        <v>8444509.9431818184</v>
      </c>
      <c r="AM152" s="395">
        <f>+SUM(AM148:AM150)</f>
        <v>8477509.9431818184</v>
      </c>
      <c r="AN152" s="395">
        <f>+SUM(AN148:AN150)</f>
        <v>9325260.9375000019</v>
      </c>
      <c r="AP152" s="89" t="s">
        <v>31</v>
      </c>
      <c r="AQ152" s="395">
        <f>+SUM(AQ148:AQ150)</f>
        <v>2635628.7099173549</v>
      </c>
      <c r="AR152" s="395">
        <f>+SUM(AR148:AR150)</f>
        <v>2635628.7099173549</v>
      </c>
      <c r="AS152" s="395">
        <f>+SUM(AS148:AS150)</f>
        <v>2899191.5809090906</v>
      </c>
      <c r="AT152" s="395">
        <f>+SUM(AT148:AT150)</f>
        <v>2965191.5809090906</v>
      </c>
      <c r="AU152" s="395">
        <f>+SUM(AU148:AU150)</f>
        <v>3261710.7389999996</v>
      </c>
      <c r="AW152" s="89" t="s">
        <v>31</v>
      </c>
      <c r="AX152" s="395">
        <f>+SUM(AX148:AX150)</f>
        <v>9567574.896694215</v>
      </c>
      <c r="AY152" s="395">
        <f>+SUM(AY148:AY150)</f>
        <v>9567574.896694215</v>
      </c>
      <c r="AZ152" s="395">
        <f>+SUM(AZ148:AZ150)</f>
        <v>10524332.386363637</v>
      </c>
      <c r="BA152" s="395">
        <f>+SUM(BA148:BA150)</f>
        <v>10590332.386363637</v>
      </c>
      <c r="BB152" s="395">
        <f>+SUM(BB148:BB150)</f>
        <v>11649365.625</v>
      </c>
      <c r="BD152" s="89" t="s">
        <v>31</v>
      </c>
      <c r="BE152" s="395">
        <f>+SUM(BE148:BE150)</f>
        <v>14750351.88533058</v>
      </c>
      <c r="BF152" s="395">
        <f>+SUM(BF148:BF150)</f>
        <v>14750351.88533058</v>
      </c>
      <c r="BG152" s="395">
        <f>+SUM(BG148:BG150)</f>
        <v>16225387.073863637</v>
      </c>
      <c r="BH152" s="395">
        <f>+SUM(BH148:BH150)</f>
        <v>16258387.073863637</v>
      </c>
      <c r="BI152" s="395">
        <f>+SUM(BI148:BI150)</f>
        <v>17884225.781250004</v>
      </c>
      <c r="BK152" s="89" t="s">
        <v>31</v>
      </c>
      <c r="BL152" s="395">
        <f>+SUM(BL148:BL150)</f>
        <v>31647152.63429752</v>
      </c>
      <c r="BM152" s="395">
        <f>+SUM(BM148:BM150)</f>
        <v>31647152.63429752</v>
      </c>
      <c r="BN152" s="395">
        <f>+SUM(BN148:BN150)</f>
        <v>34811867.897727273</v>
      </c>
      <c r="BO152" s="395">
        <f>+SUM(BO148:BO150)</f>
        <v>34877867.897727273</v>
      </c>
      <c r="BP152" s="395">
        <f>+SUM(BP148:BP150)</f>
        <v>38365654.687500007</v>
      </c>
      <c r="BR152" s="89" t="s">
        <v>31</v>
      </c>
      <c r="BS152" s="395">
        <f>+SUM(BS148:BS150)</f>
        <v>5569112.8512396701</v>
      </c>
      <c r="BT152" s="395">
        <f>+SUM(BT148:BT150)</f>
        <v>5569112.8512396701</v>
      </c>
      <c r="BU152" s="395">
        <f>+SUM(BU148:BU150)</f>
        <v>6126024.1363636367</v>
      </c>
      <c r="BV152" s="395">
        <f>+SUM(BV148:BV150)</f>
        <v>6159024.1363636367</v>
      </c>
      <c r="BW152" s="395">
        <f>+SUM(BW148:BW150)</f>
        <v>6774926.5500000017</v>
      </c>
      <c r="BY152" s="89" t="s">
        <v>31</v>
      </c>
      <c r="BZ152" s="395">
        <f>+SUM(BZ148:BZ150)</f>
        <v>6084665.8636363633</v>
      </c>
      <c r="CA152" s="395">
        <f>+SUM(CA148:CA150)</f>
        <v>6084665.8636363633</v>
      </c>
      <c r="CB152" s="395">
        <f>+SUM(CB148:CB150)</f>
        <v>6693132.4500000002</v>
      </c>
      <c r="CC152" s="395">
        <f>+SUM(CC148:CC150)</f>
        <v>6759132.4500000002</v>
      </c>
      <c r="CD152" s="395">
        <f>+SUM(CD148:CD150)</f>
        <v>7435045.6950000012</v>
      </c>
      <c r="CF152" s="89" t="s">
        <v>31</v>
      </c>
      <c r="CG152" s="395">
        <f>+SUM(CG148:CG150)</f>
        <v>9975000</v>
      </c>
      <c r="CH152" s="395">
        <f>+SUM(CH148:CH150)</f>
        <v>3600000</v>
      </c>
      <c r="CI152" s="395">
        <f>+SUM(CI148:CI150)</f>
        <v>3960000.0000000005</v>
      </c>
      <c r="CJ152" s="395">
        <f>+SUM(CJ148:CJ150)</f>
        <v>4356000.0000000009</v>
      </c>
      <c r="CK152" s="395">
        <f>+SUM(CK148:CK150)</f>
        <v>4791600.0000000019</v>
      </c>
      <c r="CN152" s="89" t="s">
        <v>31</v>
      </c>
      <c r="CO152" s="395">
        <f>+SUM(CO148:CO150)</f>
        <v>4800000</v>
      </c>
      <c r="CP152" s="395">
        <f>+SUM(CP148:CP150)</f>
        <v>900000</v>
      </c>
      <c r="CQ152" s="395">
        <f>+SUM(CQ148:CQ150)</f>
        <v>990000.00000000012</v>
      </c>
      <c r="CR152" s="395">
        <f>+SUM(CR148:CR150)</f>
        <v>600000</v>
      </c>
      <c r="CS152" s="395">
        <f>+SUM(CS148:CS150)</f>
        <v>600000</v>
      </c>
    </row>
    <row r="153" spans="1:97" ht="16" x14ac:dyDescent="0.2">
      <c r="A153" s="531"/>
      <c r="B153" s="531"/>
      <c r="C153" s="531"/>
      <c r="D153" s="531"/>
      <c r="E153" s="531"/>
      <c r="F153" s="531"/>
      <c r="G153" s="531"/>
      <c r="H153" s="531"/>
      <c r="I153" s="531"/>
      <c r="J153" s="531"/>
      <c r="K153" s="531"/>
      <c r="L153" s="531"/>
      <c r="M153" s="531"/>
      <c r="N153" s="531"/>
      <c r="O153" s="531"/>
      <c r="P153" s="531"/>
      <c r="Q153" s="531"/>
      <c r="R153" s="531"/>
      <c r="S153" s="531"/>
      <c r="T153" s="531"/>
      <c r="U153" s="531"/>
      <c r="V153" s="531"/>
      <c r="W153" s="531"/>
      <c r="X153" s="531"/>
      <c r="Y153" s="531"/>
      <c r="Z153" s="531"/>
      <c r="AA153" s="531"/>
      <c r="AB153" s="531"/>
      <c r="AC153" s="531"/>
      <c r="AD153" s="531"/>
      <c r="AE153" s="531"/>
      <c r="AF153" s="531"/>
      <c r="AG153" s="531"/>
      <c r="AH153" s="531"/>
      <c r="AI153" s="531"/>
      <c r="AJ153" s="531"/>
      <c r="AK153" s="531"/>
      <c r="AL153" s="531"/>
      <c r="AM153" s="531"/>
      <c r="AN153" s="531"/>
      <c r="AP153" s="531"/>
      <c r="AQ153" s="531"/>
      <c r="AR153" s="531"/>
      <c r="AS153" s="531"/>
      <c r="AT153" s="531"/>
      <c r="AU153" s="531"/>
      <c r="AW153" s="531"/>
      <c r="AX153" s="531"/>
      <c r="AY153" s="531"/>
      <c r="AZ153" s="531"/>
      <c r="BA153" s="531"/>
      <c r="BB153" s="531"/>
      <c r="BD153" s="531"/>
      <c r="BE153" s="531"/>
      <c r="BF153" s="531"/>
      <c r="BG153" s="531"/>
      <c r="BH153" s="531"/>
      <c r="BI153" s="531"/>
      <c r="BK153" s="531"/>
      <c r="BL153" s="531"/>
      <c r="BM153" s="531"/>
      <c r="BN153" s="531"/>
      <c r="BO153" s="531"/>
      <c r="BP153" s="531"/>
      <c r="BR153" s="531"/>
      <c r="BS153" s="531"/>
      <c r="BT153" s="531"/>
      <c r="BU153" s="531"/>
      <c r="BV153" s="531"/>
      <c r="BW153" s="531"/>
      <c r="BY153" s="531"/>
      <c r="BZ153" s="531"/>
      <c r="CA153" s="531"/>
      <c r="CB153" s="531"/>
      <c r="CC153" s="531"/>
      <c r="CD153" s="531"/>
      <c r="CF153" s="531"/>
      <c r="CG153" s="531"/>
      <c r="CH153" s="531"/>
      <c r="CI153" s="531"/>
      <c r="CJ153" s="531"/>
      <c r="CK153" s="531"/>
      <c r="CN153" s="531"/>
      <c r="CO153" s="531"/>
      <c r="CP153" s="531"/>
      <c r="CQ153" s="531"/>
      <c r="CR153" s="531"/>
      <c r="CS153" s="531"/>
    </row>
    <row r="154" spans="1:97" ht="16" x14ac:dyDescent="0.2">
      <c r="A154" s="531"/>
      <c r="B154" s="531"/>
      <c r="C154" s="531"/>
      <c r="D154" s="565"/>
      <c r="E154" s="531"/>
      <c r="F154" s="531"/>
      <c r="G154" s="531"/>
      <c r="H154" s="531"/>
      <c r="I154" s="531"/>
      <c r="J154" s="531"/>
      <c r="K154" s="531"/>
      <c r="L154" s="531"/>
      <c r="M154" s="531"/>
      <c r="N154" s="531"/>
      <c r="O154" s="531"/>
      <c r="P154" s="531"/>
      <c r="Q154" s="531"/>
      <c r="R154" s="531"/>
      <c r="S154" s="531"/>
      <c r="T154" s="531"/>
      <c r="U154" s="531"/>
      <c r="V154" s="531"/>
      <c r="W154" s="531"/>
      <c r="X154" s="531"/>
      <c r="Y154" s="531"/>
      <c r="Z154" s="531"/>
      <c r="AA154" s="531"/>
      <c r="AB154" s="531"/>
      <c r="AC154" s="531"/>
      <c r="AD154" s="531"/>
      <c r="AE154" s="531"/>
      <c r="AF154" s="531"/>
      <c r="AG154" s="531"/>
      <c r="AH154" s="531"/>
      <c r="AI154" s="531"/>
      <c r="AJ154" s="531"/>
      <c r="AK154" s="531"/>
      <c r="AL154" s="531"/>
      <c r="AM154" s="531"/>
      <c r="AN154" s="531"/>
      <c r="AP154" s="531"/>
      <c r="AQ154" s="531"/>
      <c r="AR154" s="531"/>
      <c r="AS154" s="531"/>
      <c r="AT154" s="531"/>
      <c r="AU154" s="531"/>
      <c r="AW154" s="531"/>
      <c r="AX154" s="531"/>
      <c r="AY154" s="531"/>
      <c r="AZ154" s="531"/>
      <c r="BA154" s="531"/>
      <c r="BB154" s="531"/>
      <c r="BD154" s="531"/>
      <c r="BE154" s="531"/>
      <c r="BF154" s="531"/>
      <c r="BG154" s="531"/>
      <c r="BH154" s="531"/>
      <c r="BI154" s="531"/>
      <c r="BK154" s="531"/>
      <c r="BL154" s="531"/>
      <c r="BM154" s="531"/>
      <c r="BN154" s="531"/>
      <c r="BO154" s="531"/>
      <c r="BP154" s="531"/>
      <c r="BR154" s="531"/>
      <c r="BS154" s="531"/>
      <c r="BT154" s="531"/>
      <c r="BU154" s="531"/>
      <c r="BV154" s="531"/>
      <c r="BW154" s="531"/>
      <c r="BY154" s="531"/>
      <c r="BZ154" s="531"/>
      <c r="CA154" s="531"/>
      <c r="CB154" s="531"/>
      <c r="CC154" s="531"/>
      <c r="CD154" s="531"/>
      <c r="CF154" s="531"/>
      <c r="CG154" s="531"/>
      <c r="CH154" s="531"/>
      <c r="CI154" s="531"/>
      <c r="CJ154" s="531"/>
      <c r="CK154" s="531"/>
      <c r="CN154" s="531"/>
      <c r="CO154" s="531"/>
      <c r="CP154" s="531"/>
      <c r="CQ154" s="531"/>
      <c r="CR154" s="531"/>
      <c r="CS154" s="531"/>
    </row>
    <row r="155" spans="1:97" ht="17" thickBot="1" x14ac:dyDescent="0.25">
      <c r="A155" s="531"/>
      <c r="B155" s="531"/>
      <c r="C155" s="531"/>
      <c r="D155" s="531"/>
      <c r="E155" s="531"/>
      <c r="F155" s="531"/>
      <c r="G155" s="531"/>
      <c r="H155" s="531"/>
      <c r="I155" s="531"/>
      <c r="J155" s="531"/>
      <c r="K155" s="531"/>
      <c r="L155" s="531"/>
      <c r="M155" s="531"/>
      <c r="N155" s="531"/>
      <c r="O155" s="531"/>
      <c r="P155" s="531"/>
      <c r="Q155" s="531"/>
      <c r="R155" s="531"/>
      <c r="S155" s="531"/>
      <c r="T155" s="531"/>
      <c r="U155" s="531"/>
      <c r="V155" s="531"/>
      <c r="W155" s="531"/>
      <c r="X155" s="531"/>
      <c r="Y155" s="531"/>
      <c r="Z155" s="531"/>
      <c r="AA155" s="531"/>
      <c r="AB155" s="531"/>
      <c r="AC155" s="531"/>
      <c r="AD155" s="531"/>
      <c r="AE155" s="531"/>
      <c r="AF155" s="531"/>
      <c r="AG155" s="531"/>
      <c r="AH155" s="531"/>
      <c r="AI155" s="531"/>
      <c r="AJ155" s="531"/>
      <c r="AK155" s="531"/>
      <c r="AL155" s="531"/>
      <c r="AM155" s="531"/>
      <c r="AN155" s="531"/>
      <c r="AP155" s="531"/>
      <c r="AQ155" s="531"/>
      <c r="AR155" s="531"/>
      <c r="AS155" s="531"/>
      <c r="AT155" s="531"/>
      <c r="AU155" s="531"/>
      <c r="AW155" s="531"/>
      <c r="AX155" s="531"/>
      <c r="AY155" s="531"/>
      <c r="AZ155" s="531"/>
      <c r="BA155" s="531"/>
      <c r="BB155" s="531"/>
      <c r="BD155" s="531"/>
      <c r="BE155" s="531"/>
      <c r="BF155" s="531"/>
      <c r="BG155" s="531"/>
      <c r="BH155" s="531"/>
      <c r="BI155" s="531"/>
      <c r="BK155" s="531"/>
      <c r="BL155" s="531"/>
      <c r="BM155" s="531"/>
      <c r="BN155" s="531"/>
      <c r="BO155" s="531"/>
      <c r="BP155" s="531"/>
      <c r="BR155" s="531"/>
      <c r="BS155" s="531"/>
      <c r="BT155" s="531"/>
      <c r="BU155" s="531"/>
      <c r="BV155" s="531"/>
      <c r="BW155" s="531"/>
      <c r="BY155" s="531"/>
      <c r="BZ155" s="531"/>
      <c r="CA155" s="531"/>
      <c r="CB155" s="531"/>
      <c r="CC155" s="531"/>
      <c r="CD155" s="531"/>
      <c r="CF155" s="531"/>
      <c r="CG155" s="531"/>
      <c r="CH155" s="531"/>
      <c r="CI155" s="531"/>
      <c r="CJ155" s="531"/>
      <c r="CK155" s="531"/>
      <c r="CN155" s="531"/>
      <c r="CO155" s="531"/>
      <c r="CP155" s="531"/>
      <c r="CQ155" s="531"/>
      <c r="CR155" s="531"/>
      <c r="CS155" s="531"/>
    </row>
    <row r="156" spans="1:97" ht="16" x14ac:dyDescent="0.2">
      <c r="A156" s="531"/>
      <c r="B156" s="602"/>
      <c r="C156" s="821" t="s">
        <v>480</v>
      </c>
      <c r="D156" s="822"/>
      <c r="E156" s="822"/>
      <c r="F156" s="822"/>
      <c r="G156" s="822"/>
      <c r="H156" s="823"/>
      <c r="I156" s="77"/>
      <c r="J156" s="77"/>
      <c r="K156" s="77"/>
      <c r="L156" s="77"/>
      <c r="M156" s="77"/>
      <c r="N156" s="77"/>
      <c r="O156" s="531"/>
      <c r="P156" s="531"/>
      <c r="Q156" s="531"/>
      <c r="R156" s="531"/>
      <c r="S156" s="531"/>
      <c r="T156" s="531"/>
      <c r="U156" s="531"/>
      <c r="V156" s="531"/>
      <c r="W156" s="531"/>
      <c r="X156" s="531"/>
      <c r="Y156" s="531"/>
      <c r="Z156" s="531"/>
      <c r="AA156" s="531"/>
      <c r="AB156" s="531"/>
      <c r="AC156" s="531"/>
      <c r="AD156" s="531"/>
      <c r="AE156" s="531"/>
      <c r="AF156" s="531"/>
      <c r="AG156" s="531"/>
      <c r="AH156" s="531"/>
      <c r="AI156" s="531"/>
      <c r="AJ156" s="531"/>
      <c r="AK156" s="531"/>
      <c r="AL156" s="531"/>
      <c r="AM156" s="531"/>
      <c r="AN156" s="531"/>
      <c r="AP156" s="531"/>
      <c r="AQ156" s="531"/>
      <c r="AR156" s="531"/>
      <c r="AS156" s="531"/>
      <c r="AT156" s="531"/>
      <c r="AU156" s="531"/>
      <c r="AW156" s="531"/>
      <c r="AX156" s="531"/>
      <c r="AY156" s="531"/>
      <c r="AZ156" s="531"/>
      <c r="BA156" s="531"/>
      <c r="BB156" s="531"/>
      <c r="BD156" s="531"/>
      <c r="BE156" s="531"/>
      <c r="BF156" s="531"/>
      <c r="BG156" s="531"/>
      <c r="BH156" s="531"/>
      <c r="BI156" s="531"/>
      <c r="BK156" s="531"/>
      <c r="BL156" s="531"/>
      <c r="BM156" s="531"/>
      <c r="BN156" s="531"/>
      <c r="BO156" s="531"/>
      <c r="BP156" s="531"/>
      <c r="BR156" s="531"/>
      <c r="BS156" s="531"/>
      <c r="BT156" s="531"/>
      <c r="BU156" s="531"/>
      <c r="BV156" s="531"/>
      <c r="BW156" s="531"/>
      <c r="BY156" s="531"/>
      <c r="BZ156" s="531"/>
      <c r="CA156" s="531"/>
      <c r="CB156" s="531"/>
      <c r="CC156" s="531"/>
      <c r="CD156" s="531"/>
      <c r="CF156" s="531"/>
      <c r="CG156" s="531"/>
      <c r="CH156" s="531"/>
      <c r="CI156" s="531"/>
      <c r="CJ156" s="531"/>
      <c r="CK156" s="531"/>
      <c r="CN156" s="531"/>
      <c r="CO156" s="531"/>
      <c r="CP156" s="531"/>
      <c r="CQ156" s="531"/>
      <c r="CR156" s="531"/>
      <c r="CS156" s="531"/>
    </row>
    <row r="157" spans="1:97" s="600" customFormat="1" ht="17" thickBot="1" x14ac:dyDescent="0.25">
      <c r="B157" s="603"/>
      <c r="C157" s="608" t="s">
        <v>135</v>
      </c>
      <c r="D157" s="609">
        <v>2026</v>
      </c>
      <c r="E157" s="646">
        <v>2027</v>
      </c>
      <c r="F157" s="647">
        <v>2028</v>
      </c>
      <c r="G157" s="646">
        <v>2029</v>
      </c>
      <c r="H157" s="648">
        <v>2030</v>
      </c>
      <c r="I157" s="578"/>
      <c r="J157" s="578"/>
      <c r="K157" s="578"/>
      <c r="L157" s="578"/>
      <c r="M157" s="578"/>
      <c r="N157" s="578"/>
    </row>
    <row r="158" spans="1:97" ht="16" x14ac:dyDescent="0.2">
      <c r="A158" s="531"/>
      <c r="B158" s="602">
        <v>1</v>
      </c>
      <c r="C158" s="649" t="s">
        <v>510</v>
      </c>
      <c r="D158" s="650">
        <f>SUM(D152)</f>
        <v>7828365.2194214882</v>
      </c>
      <c r="E158" s="650">
        <f>+E152</f>
        <v>7828365.2194214882</v>
      </c>
      <c r="F158" s="650">
        <f>+F152</f>
        <v>7948365.2194214882</v>
      </c>
      <c r="G158" s="650">
        <f>+G152</f>
        <v>8743201.741363639</v>
      </c>
      <c r="H158" s="651">
        <f>+H152</f>
        <v>8888401.741363639</v>
      </c>
      <c r="I158" s="565"/>
      <c r="J158" s="565"/>
      <c r="K158" s="565"/>
      <c r="L158" s="565"/>
      <c r="M158" s="565"/>
      <c r="N158" s="565"/>
      <c r="O158" s="531"/>
      <c r="P158" s="531"/>
      <c r="Q158" s="531"/>
      <c r="R158" s="531"/>
      <c r="S158" s="531"/>
      <c r="T158" s="531"/>
      <c r="U158" s="531"/>
      <c r="V158" s="531"/>
      <c r="W158" s="531"/>
      <c r="X158" s="531"/>
      <c r="Y158" s="531"/>
      <c r="Z158" s="531"/>
      <c r="AA158" s="531"/>
      <c r="AB158" s="531"/>
      <c r="AC158" s="531"/>
      <c r="AD158" s="531"/>
      <c r="AI158" s="531"/>
      <c r="AJ158" s="531"/>
      <c r="AK158" s="531"/>
      <c r="AP158" s="531"/>
      <c r="AQ158" s="531"/>
      <c r="AR158" s="531"/>
      <c r="AW158" s="531"/>
      <c r="AX158" s="531"/>
      <c r="AY158" s="531"/>
      <c r="BD158" s="531"/>
      <c r="BE158" s="531"/>
      <c r="BF158" s="531"/>
      <c r="BK158" s="531"/>
      <c r="BL158" s="531"/>
      <c r="BM158" s="531"/>
      <c r="BR158" s="531"/>
      <c r="BS158" s="531"/>
      <c r="BT158" s="531"/>
      <c r="BY158" s="531"/>
      <c r="BZ158" s="531"/>
      <c r="CA158" s="531"/>
      <c r="CF158" s="531"/>
      <c r="CG158" s="531"/>
      <c r="CH158" s="531"/>
      <c r="CN158" s="531"/>
      <c r="CO158" s="531"/>
      <c r="CP158" s="531"/>
    </row>
    <row r="159" spans="1:97" ht="16" x14ac:dyDescent="0.2">
      <c r="A159" s="531"/>
      <c r="B159" s="604">
        <v>2</v>
      </c>
      <c r="C159" s="597" t="s">
        <v>511</v>
      </c>
      <c r="D159" s="565">
        <f>SUM(L152)</f>
        <v>3877100.2537190081</v>
      </c>
      <c r="E159" s="565">
        <f>SUM(M152)</f>
        <v>3877100.2537190081</v>
      </c>
      <c r="F159" s="565">
        <f>SUM(N152)</f>
        <v>4264810.2790909093</v>
      </c>
      <c r="G159" s="565">
        <f>SUM(O152)</f>
        <v>4691291.307</v>
      </c>
      <c r="H159" s="593">
        <f>SUM(P152)</f>
        <v>5160420.4377000015</v>
      </c>
      <c r="I159" s="565"/>
      <c r="J159" s="565"/>
      <c r="K159" s="565"/>
      <c r="L159" s="565"/>
      <c r="M159" s="565"/>
      <c r="N159" s="565"/>
      <c r="O159" s="531"/>
      <c r="P159" s="531"/>
      <c r="Q159" s="531"/>
      <c r="R159" s="531"/>
      <c r="S159" s="531"/>
      <c r="T159" s="531"/>
      <c r="U159" s="531"/>
      <c r="V159" s="531"/>
      <c r="W159" s="531"/>
      <c r="X159" s="531"/>
      <c r="Y159" s="531"/>
      <c r="Z159" s="531"/>
      <c r="AA159" s="531"/>
      <c r="AB159" s="531"/>
      <c r="AC159" s="531"/>
      <c r="AD159" s="531"/>
      <c r="AI159" s="531"/>
      <c r="AJ159" s="531"/>
      <c r="AK159" s="531"/>
      <c r="AP159" s="531"/>
      <c r="AQ159" s="531"/>
      <c r="AR159" s="531"/>
      <c r="AW159" s="531"/>
      <c r="AX159" s="531"/>
      <c r="AY159" s="531"/>
      <c r="BD159" s="531"/>
      <c r="BE159" s="531"/>
      <c r="BF159" s="531"/>
      <c r="BK159" s="531"/>
      <c r="BL159" s="531"/>
      <c r="BM159" s="531"/>
      <c r="BR159" s="531"/>
      <c r="BS159" s="531"/>
      <c r="BT159" s="531"/>
      <c r="BY159" s="531"/>
      <c r="BZ159" s="531"/>
      <c r="CA159" s="531"/>
      <c r="CF159" s="531"/>
      <c r="CG159" s="531"/>
      <c r="CH159" s="531"/>
      <c r="CN159" s="531"/>
      <c r="CO159" s="531"/>
      <c r="CP159" s="531"/>
    </row>
    <row r="160" spans="1:97" ht="16" x14ac:dyDescent="0.2">
      <c r="A160" s="531"/>
      <c r="B160" s="604">
        <v>3</v>
      </c>
      <c r="C160" s="598" t="s">
        <v>512</v>
      </c>
      <c r="D160" s="594">
        <f>+U152</f>
        <v>10246429.557024796</v>
      </c>
      <c r="E160" s="594">
        <f>+V152</f>
        <v>10246429.557024796</v>
      </c>
      <c r="F160" s="594">
        <f>+W152</f>
        <v>11271072.512727275</v>
      </c>
      <c r="G160" s="594">
        <f>+X152</f>
        <v>11403072.512727275</v>
      </c>
      <c r="H160" s="595">
        <f>+Y152</f>
        <v>12543379.764000002</v>
      </c>
      <c r="I160" s="594"/>
      <c r="J160" s="594"/>
      <c r="K160" s="594"/>
      <c r="L160" s="594"/>
      <c r="M160" s="594"/>
      <c r="N160" s="594"/>
      <c r="O160" s="531"/>
      <c r="P160" s="531"/>
      <c r="Q160" s="531"/>
      <c r="R160" s="531"/>
      <c r="S160" s="531"/>
      <c r="T160" s="531"/>
      <c r="U160" s="531"/>
      <c r="V160" s="531"/>
      <c r="W160" s="531"/>
      <c r="X160" s="531"/>
      <c r="Y160" s="531"/>
      <c r="Z160" s="531"/>
      <c r="AA160" s="531"/>
      <c r="AB160" s="531"/>
      <c r="AC160" s="531"/>
      <c r="AD160" s="531"/>
      <c r="AI160" s="531"/>
      <c r="AJ160" s="531"/>
      <c r="AK160" s="531"/>
      <c r="AP160" s="531"/>
      <c r="AQ160" s="531"/>
      <c r="AR160" s="531"/>
      <c r="AW160" s="531"/>
      <c r="AX160" s="531"/>
      <c r="AY160" s="531"/>
      <c r="BD160" s="531"/>
      <c r="BE160" s="531"/>
      <c r="BF160" s="531"/>
      <c r="BK160" s="531"/>
      <c r="BL160" s="531"/>
      <c r="BM160" s="531"/>
      <c r="BR160" s="531"/>
      <c r="BS160" s="531"/>
      <c r="BT160" s="531"/>
      <c r="BY160" s="531"/>
      <c r="BZ160" s="531"/>
      <c r="CA160" s="531"/>
      <c r="CF160" s="531"/>
      <c r="CG160" s="531"/>
      <c r="CH160" s="531"/>
      <c r="CN160" s="531"/>
      <c r="CO160" s="531"/>
      <c r="CP160" s="531"/>
    </row>
    <row r="161" spans="1:94" ht="16" x14ac:dyDescent="0.2">
      <c r="A161" s="531"/>
      <c r="B161" s="604">
        <v>4</v>
      </c>
      <c r="C161" s="598" t="s">
        <v>513</v>
      </c>
      <c r="D161" s="594">
        <f>SUM(AC152)</f>
        <v>2133732.971280992</v>
      </c>
      <c r="E161" s="594">
        <f>SUM(AD152)</f>
        <v>2133732.971280992</v>
      </c>
      <c r="F161" s="594">
        <f>SUM(AE152)</f>
        <v>2347106.2684090915</v>
      </c>
      <c r="G161" s="594">
        <f>SUM(AF152)</f>
        <v>2413106.268409091</v>
      </c>
      <c r="H161" s="595">
        <f>SUM(AG152)</f>
        <v>2654416.8952500005</v>
      </c>
      <c r="I161" s="531"/>
      <c r="J161" s="531"/>
      <c r="K161" s="531"/>
      <c r="L161" s="531"/>
      <c r="M161" s="531"/>
      <c r="N161" s="531"/>
      <c r="O161" s="531"/>
      <c r="P161" s="531"/>
      <c r="Q161" s="531"/>
      <c r="R161" s="531"/>
      <c r="S161" s="531"/>
      <c r="T161" s="531"/>
      <c r="U161" s="531"/>
      <c r="V161" s="531"/>
      <c r="W161" s="531"/>
      <c r="X161" s="531"/>
      <c r="Y161" s="531"/>
      <c r="Z161" s="531"/>
      <c r="AA161" s="531"/>
      <c r="AB161" s="531"/>
      <c r="AC161" s="531"/>
      <c r="AD161" s="531"/>
      <c r="AI161" s="531"/>
      <c r="AJ161" s="531"/>
      <c r="AK161" s="531"/>
      <c r="AP161" s="531"/>
      <c r="AQ161" s="531"/>
      <c r="AR161" s="531"/>
      <c r="AW161" s="531"/>
      <c r="AX161" s="531"/>
      <c r="AY161" s="531"/>
      <c r="BD161" s="531"/>
      <c r="BE161" s="531"/>
      <c r="BF161" s="531"/>
      <c r="BK161" s="531"/>
      <c r="BL161" s="531"/>
      <c r="BM161" s="531"/>
      <c r="BR161" s="531"/>
      <c r="BS161" s="531"/>
      <c r="BT161" s="531"/>
      <c r="BY161" s="531"/>
      <c r="BZ161" s="531"/>
      <c r="CA161" s="531"/>
      <c r="CF161" s="531"/>
      <c r="CG161" s="531"/>
      <c r="CH161" s="531"/>
      <c r="CN161" s="531"/>
      <c r="CO161" s="531"/>
      <c r="CP161" s="531"/>
    </row>
    <row r="162" spans="1:94" ht="16" x14ac:dyDescent="0.2">
      <c r="A162" s="531"/>
      <c r="B162" s="604">
        <v>5</v>
      </c>
      <c r="C162" s="598" t="s">
        <v>591</v>
      </c>
      <c r="D162" s="594">
        <f>SUM(AJ152)</f>
        <v>7676827.22107438</v>
      </c>
      <c r="E162" s="594">
        <f>SUM(AK152)</f>
        <v>7676827.22107438</v>
      </c>
      <c r="F162" s="594">
        <f t="shared" ref="F162:H162" si="0">SUM(AL152)</f>
        <v>8444509.9431818184</v>
      </c>
      <c r="G162" s="594">
        <f t="shared" si="0"/>
        <v>8477509.9431818184</v>
      </c>
      <c r="H162" s="595">
        <f t="shared" si="0"/>
        <v>9325260.9375000019</v>
      </c>
      <c r="I162" s="531"/>
      <c r="J162" s="531"/>
      <c r="K162" s="531"/>
      <c r="L162" s="531"/>
      <c r="M162" s="531"/>
      <c r="N162" s="531"/>
      <c r="O162" s="531"/>
      <c r="P162" s="531"/>
      <c r="Q162" s="531"/>
      <c r="R162" s="531"/>
      <c r="S162" s="531"/>
      <c r="T162" s="531"/>
      <c r="U162" s="531"/>
      <c r="V162" s="531"/>
      <c r="W162" s="531"/>
      <c r="X162" s="531"/>
      <c r="Y162" s="531"/>
      <c r="Z162" s="531"/>
      <c r="AA162" s="531"/>
      <c r="AB162" s="531"/>
      <c r="AC162" s="531"/>
      <c r="AD162" s="531"/>
      <c r="AI162" s="531"/>
      <c r="AJ162" s="531"/>
      <c r="AK162" s="531"/>
      <c r="AP162" s="531"/>
      <c r="AQ162" s="531"/>
      <c r="AR162" s="531"/>
      <c r="AW162" s="531"/>
      <c r="AX162" s="531"/>
      <c r="AY162" s="531"/>
      <c r="BD162" s="531"/>
      <c r="BE162" s="531"/>
      <c r="BF162" s="531"/>
      <c r="BK162" s="531"/>
      <c r="BL162" s="531"/>
      <c r="BM162" s="531"/>
      <c r="BR162" s="531"/>
      <c r="BS162" s="531"/>
      <c r="BT162" s="531"/>
      <c r="BY162" s="531"/>
      <c r="BZ162" s="531"/>
      <c r="CA162" s="531"/>
      <c r="CF162" s="531"/>
      <c r="CG162" s="531"/>
      <c r="CH162" s="531"/>
      <c r="CN162" s="531"/>
      <c r="CO162" s="531"/>
      <c r="CP162" s="531"/>
    </row>
    <row r="163" spans="1:94" ht="16" x14ac:dyDescent="0.2">
      <c r="A163" s="531"/>
      <c r="B163" s="604">
        <v>6</v>
      </c>
      <c r="C163" s="598" t="s">
        <v>590</v>
      </c>
      <c r="D163" s="594">
        <f>SUM(AQ152)</f>
        <v>2635628.7099173549</v>
      </c>
      <c r="E163" s="594">
        <f>SUM(AR152)</f>
        <v>2635628.7099173549</v>
      </c>
      <c r="F163" s="594">
        <f t="shared" ref="F163:H163" si="1">SUM(AS152)</f>
        <v>2899191.5809090906</v>
      </c>
      <c r="G163" s="594">
        <f t="shared" si="1"/>
        <v>2965191.5809090906</v>
      </c>
      <c r="H163" s="595">
        <f t="shared" si="1"/>
        <v>3261710.7389999996</v>
      </c>
      <c r="I163" s="531"/>
      <c r="J163" s="531"/>
      <c r="K163" s="531"/>
      <c r="L163" s="531"/>
      <c r="M163" s="531"/>
      <c r="N163" s="531"/>
      <c r="O163" s="531"/>
      <c r="P163" s="531"/>
      <c r="Q163" s="531"/>
      <c r="R163" s="531"/>
      <c r="S163" s="531"/>
      <c r="T163" s="531"/>
      <c r="U163" s="531"/>
      <c r="V163" s="531"/>
      <c r="W163" s="531"/>
      <c r="X163" s="531"/>
      <c r="Y163" s="531"/>
      <c r="Z163" s="531"/>
      <c r="AA163" s="531"/>
      <c r="AB163" s="531"/>
      <c r="AC163" s="531"/>
      <c r="AD163" s="531"/>
      <c r="AI163" s="531"/>
      <c r="AJ163" s="531"/>
      <c r="AK163" s="531"/>
      <c r="AP163" s="531"/>
      <c r="AQ163" s="531"/>
      <c r="AR163" s="531"/>
      <c r="AW163" s="531"/>
      <c r="AX163" s="531"/>
      <c r="AY163" s="531"/>
      <c r="BD163" s="531"/>
      <c r="BE163" s="531"/>
      <c r="BF163" s="531"/>
      <c r="BK163" s="531"/>
      <c r="BL163" s="531"/>
      <c r="BM163" s="531"/>
      <c r="BR163" s="531"/>
      <c r="BS163" s="531"/>
      <c r="BT163" s="531"/>
      <c r="BY163" s="531"/>
      <c r="BZ163" s="531"/>
      <c r="CA163" s="531"/>
      <c r="CF163" s="531"/>
      <c r="CG163" s="531"/>
      <c r="CH163" s="531"/>
      <c r="CN163" s="531"/>
      <c r="CO163" s="531"/>
      <c r="CP163" s="531"/>
    </row>
    <row r="164" spans="1:94" ht="16" x14ac:dyDescent="0.2">
      <c r="A164" s="531"/>
      <c r="B164" s="604">
        <v>7</v>
      </c>
      <c r="C164" s="598" t="s">
        <v>589</v>
      </c>
      <c r="D164" s="594">
        <f>SUM(AX152)</f>
        <v>9567574.896694215</v>
      </c>
      <c r="E164" s="594">
        <f>SUM(AY152)</f>
        <v>9567574.896694215</v>
      </c>
      <c r="F164" s="594">
        <f t="shared" ref="F164:H164" si="2">SUM(AZ152)</f>
        <v>10524332.386363637</v>
      </c>
      <c r="G164" s="594">
        <f t="shared" si="2"/>
        <v>10590332.386363637</v>
      </c>
      <c r="H164" s="595">
        <f t="shared" si="2"/>
        <v>11649365.625</v>
      </c>
      <c r="I164" s="531"/>
      <c r="J164" s="531"/>
      <c r="K164" s="531"/>
      <c r="L164" s="531"/>
      <c r="M164" s="531"/>
      <c r="N164" s="531"/>
      <c r="O164" s="531"/>
      <c r="P164" s="531"/>
      <c r="Q164" s="531"/>
      <c r="R164" s="531"/>
      <c r="S164" s="531"/>
      <c r="T164" s="531"/>
      <c r="U164" s="531"/>
      <c r="V164" s="531"/>
      <c r="W164" s="531"/>
      <c r="X164" s="531"/>
      <c r="Y164" s="531"/>
      <c r="Z164" s="531"/>
      <c r="AA164" s="531"/>
      <c r="AB164" s="531"/>
      <c r="AC164" s="531"/>
      <c r="AD164" s="531"/>
      <c r="AI164" s="531"/>
      <c r="AJ164" s="531"/>
      <c r="AK164" s="531"/>
      <c r="AP164" s="531"/>
      <c r="AQ164" s="531"/>
      <c r="AR164" s="531"/>
      <c r="AW164" s="531"/>
      <c r="AX164" s="531"/>
      <c r="AY164" s="531"/>
      <c r="BD164" s="531"/>
      <c r="BE164" s="531"/>
      <c r="BF164" s="531"/>
      <c r="BK164" s="531"/>
      <c r="BL164" s="531"/>
      <c r="BM164" s="531"/>
      <c r="BR164" s="531"/>
      <c r="BS164" s="531"/>
      <c r="BT164" s="531"/>
      <c r="BY164" s="531"/>
      <c r="BZ164" s="531"/>
      <c r="CA164" s="531"/>
      <c r="CF164" s="531"/>
      <c r="CG164" s="531"/>
      <c r="CH164" s="531"/>
      <c r="CN164" s="531"/>
      <c r="CO164" s="531"/>
      <c r="CP164" s="531"/>
    </row>
    <row r="165" spans="1:94" ht="16" x14ac:dyDescent="0.2">
      <c r="A165" s="531"/>
      <c r="B165" s="604">
        <v>8</v>
      </c>
      <c r="C165" s="598" t="s">
        <v>588</v>
      </c>
      <c r="D165" s="594">
        <f>SUM(BE152)</f>
        <v>14750351.88533058</v>
      </c>
      <c r="E165" s="594">
        <f>SUM(BF152)</f>
        <v>14750351.88533058</v>
      </c>
      <c r="F165" s="594">
        <f t="shared" ref="F165:H165" si="3">SUM(BG152)</f>
        <v>16225387.073863637</v>
      </c>
      <c r="G165" s="594">
        <f t="shared" si="3"/>
        <v>16258387.073863637</v>
      </c>
      <c r="H165" s="595">
        <f t="shared" si="3"/>
        <v>17884225.781250004</v>
      </c>
      <c r="I165" s="531"/>
      <c r="J165" s="531"/>
      <c r="K165" s="531"/>
      <c r="L165" s="531"/>
      <c r="M165" s="531"/>
      <c r="N165" s="531"/>
      <c r="O165" s="531"/>
      <c r="P165" s="531"/>
      <c r="Q165" s="531"/>
      <c r="R165" s="531"/>
      <c r="S165" s="531"/>
      <c r="T165" s="531"/>
      <c r="U165" s="531"/>
      <c r="V165" s="531"/>
      <c r="W165" s="531"/>
      <c r="X165" s="531"/>
      <c r="Y165" s="531"/>
      <c r="Z165" s="531"/>
      <c r="AA165" s="531"/>
      <c r="AB165" s="531"/>
      <c r="AC165" s="531"/>
      <c r="AD165" s="531"/>
      <c r="AI165" s="531"/>
      <c r="AJ165" s="531"/>
      <c r="AK165" s="531"/>
      <c r="AP165" s="531"/>
      <c r="AQ165" s="531"/>
      <c r="AR165" s="531"/>
      <c r="AW165" s="531"/>
      <c r="AX165" s="531"/>
      <c r="AY165" s="531"/>
      <c r="BD165" s="531"/>
      <c r="BE165" s="531"/>
      <c r="BF165" s="531"/>
      <c r="BK165" s="531"/>
      <c r="BL165" s="531"/>
      <c r="BM165" s="531"/>
      <c r="BR165" s="531"/>
      <c r="BS165" s="531"/>
      <c r="BT165" s="531"/>
      <c r="BY165" s="531"/>
      <c r="BZ165" s="531"/>
      <c r="CA165" s="531"/>
      <c r="CF165" s="531"/>
      <c r="CG165" s="531"/>
      <c r="CH165" s="531"/>
      <c r="CN165" s="531"/>
      <c r="CO165" s="531"/>
      <c r="CP165" s="531"/>
    </row>
    <row r="166" spans="1:94" ht="16" x14ac:dyDescent="0.2">
      <c r="A166" s="531"/>
      <c r="B166" s="604">
        <v>9</v>
      </c>
      <c r="C166" s="598" t="s">
        <v>587</v>
      </c>
      <c r="D166" s="594">
        <f>SUM(BL152)</f>
        <v>31647152.63429752</v>
      </c>
      <c r="E166" s="594">
        <f>SUM(BM152)</f>
        <v>31647152.63429752</v>
      </c>
      <c r="F166" s="594">
        <f t="shared" ref="F166:H166" si="4">SUM(BN152)</f>
        <v>34811867.897727273</v>
      </c>
      <c r="G166" s="594">
        <f t="shared" si="4"/>
        <v>34877867.897727273</v>
      </c>
      <c r="H166" s="595">
        <f t="shared" si="4"/>
        <v>38365654.687500007</v>
      </c>
      <c r="I166" s="531"/>
      <c r="J166" s="531"/>
      <c r="K166" s="531"/>
      <c r="L166" s="531"/>
      <c r="M166" s="531"/>
      <c r="N166" s="531"/>
      <c r="O166" s="531"/>
      <c r="P166" s="531"/>
      <c r="Q166" s="531"/>
      <c r="R166" s="531"/>
      <c r="S166" s="531"/>
      <c r="T166" s="531"/>
      <c r="U166" s="531"/>
      <c r="V166" s="531"/>
      <c r="W166" s="531"/>
      <c r="X166" s="531"/>
      <c r="Y166" s="531"/>
      <c r="Z166" s="531"/>
      <c r="AA166" s="531"/>
      <c r="AB166" s="531"/>
      <c r="AC166" s="531"/>
      <c r="AD166" s="531"/>
      <c r="AI166" s="531"/>
      <c r="AJ166" s="531"/>
      <c r="AK166" s="531"/>
      <c r="AP166" s="531"/>
      <c r="AQ166" s="531"/>
      <c r="AR166" s="531"/>
      <c r="AW166" s="531"/>
      <c r="AX166" s="531"/>
      <c r="AY166" s="531"/>
      <c r="BD166" s="531"/>
      <c r="BE166" s="531"/>
      <c r="BF166" s="531"/>
      <c r="BK166" s="531"/>
      <c r="BL166" s="531"/>
      <c r="BM166" s="531"/>
      <c r="BR166" s="531"/>
      <c r="BS166" s="531"/>
      <c r="BT166" s="531"/>
      <c r="BY166" s="531"/>
      <c r="BZ166" s="531"/>
      <c r="CA166" s="531"/>
      <c r="CF166" s="531"/>
      <c r="CG166" s="531"/>
      <c r="CH166" s="531"/>
      <c r="CN166" s="531"/>
      <c r="CO166" s="531"/>
      <c r="CP166" s="531"/>
    </row>
    <row r="167" spans="1:94" ht="16" x14ac:dyDescent="0.2">
      <c r="A167" s="531"/>
      <c r="B167" s="604">
        <v>10</v>
      </c>
      <c r="C167" s="598" t="s">
        <v>586</v>
      </c>
      <c r="D167" s="594">
        <f>SUM(BS152)</f>
        <v>5569112.8512396701</v>
      </c>
      <c r="E167" s="594">
        <f>SUM(BT152)</f>
        <v>5569112.8512396701</v>
      </c>
      <c r="F167" s="594">
        <f t="shared" ref="F167:H167" si="5">SUM(BU152)</f>
        <v>6126024.1363636367</v>
      </c>
      <c r="G167" s="594">
        <f t="shared" si="5"/>
        <v>6159024.1363636367</v>
      </c>
      <c r="H167" s="595">
        <f t="shared" si="5"/>
        <v>6774926.5500000017</v>
      </c>
      <c r="I167" s="531"/>
      <c r="J167" s="531"/>
      <c r="K167" s="531"/>
      <c r="L167" s="531"/>
      <c r="M167" s="531"/>
      <c r="N167" s="531"/>
      <c r="O167" s="531"/>
      <c r="P167" s="531"/>
      <c r="Q167" s="531"/>
      <c r="R167" s="531"/>
      <c r="S167" s="531"/>
      <c r="T167" s="531"/>
      <c r="U167" s="531"/>
      <c r="V167" s="531"/>
      <c r="W167" s="531"/>
      <c r="X167" s="531"/>
      <c r="Y167" s="531"/>
      <c r="Z167" s="531"/>
      <c r="AA167" s="531"/>
      <c r="AB167" s="531"/>
      <c r="AC167" s="531"/>
      <c r="AD167" s="531"/>
      <c r="AI167" s="531"/>
      <c r="AJ167" s="531"/>
      <c r="AK167" s="531"/>
      <c r="AP167" s="531"/>
      <c r="AQ167" s="531"/>
      <c r="AR167" s="531"/>
      <c r="AW167" s="531"/>
      <c r="AX167" s="531"/>
      <c r="AY167" s="531"/>
      <c r="BD167" s="531"/>
      <c r="BE167" s="531"/>
      <c r="BF167" s="531"/>
      <c r="BK167" s="531"/>
      <c r="BL167" s="531"/>
      <c r="BM167" s="531"/>
      <c r="BR167" s="531"/>
      <c r="BS167" s="531"/>
      <c r="BT167" s="531"/>
      <c r="BY167" s="531"/>
      <c r="BZ167" s="531"/>
      <c r="CA167" s="531"/>
      <c r="CF167" s="531"/>
      <c r="CG167" s="531"/>
      <c r="CH167" s="531"/>
      <c r="CN167" s="531"/>
      <c r="CO167" s="531"/>
      <c r="CP167" s="531"/>
    </row>
    <row r="168" spans="1:94" ht="16" x14ac:dyDescent="0.2">
      <c r="A168" s="531"/>
      <c r="B168" s="604">
        <v>11</v>
      </c>
      <c r="C168" s="598" t="s">
        <v>585</v>
      </c>
      <c r="D168" s="594">
        <f>SUM(BZ152)</f>
        <v>6084665.8636363633</v>
      </c>
      <c r="E168" s="594">
        <f>SUM(CA152)</f>
        <v>6084665.8636363633</v>
      </c>
      <c r="F168" s="594">
        <f t="shared" ref="F168:H168" si="6">SUM(CB152)</f>
        <v>6693132.4500000002</v>
      </c>
      <c r="G168" s="594">
        <f t="shared" si="6"/>
        <v>6759132.4500000002</v>
      </c>
      <c r="H168" s="595">
        <f t="shared" si="6"/>
        <v>7435045.6950000012</v>
      </c>
      <c r="I168" s="531"/>
      <c r="J168" s="531"/>
      <c r="K168" s="531"/>
      <c r="L168" s="531"/>
      <c r="M168" s="531"/>
      <c r="N168" s="531"/>
      <c r="O168" s="531"/>
      <c r="P168" s="531"/>
      <c r="Q168" s="531"/>
      <c r="R168" s="531"/>
      <c r="S168" s="531"/>
      <c r="T168" s="531"/>
      <c r="U168" s="531"/>
      <c r="V168" s="531"/>
      <c r="W168" s="531"/>
      <c r="X168" s="531"/>
      <c r="Y168" s="531"/>
      <c r="Z168" s="531"/>
      <c r="AA168" s="531"/>
      <c r="AB168" s="531"/>
      <c r="AC168" s="531"/>
      <c r="AD168" s="531"/>
      <c r="AI168" s="531"/>
      <c r="AJ168" s="531"/>
      <c r="AK168" s="531"/>
      <c r="AP168" s="531"/>
      <c r="AQ168" s="531"/>
      <c r="AR168" s="531"/>
      <c r="AW168" s="531"/>
      <c r="AX168" s="531"/>
      <c r="AY168" s="531"/>
      <c r="BD168" s="531"/>
      <c r="BE168" s="531"/>
      <c r="BF168" s="531"/>
      <c r="BK168" s="531"/>
      <c r="BL168" s="531"/>
      <c r="BM168" s="531"/>
      <c r="BR168" s="531"/>
      <c r="BS168" s="531"/>
      <c r="BT168" s="531"/>
      <c r="BY168" s="531"/>
      <c r="BZ168" s="531"/>
      <c r="CA168" s="531"/>
      <c r="CF168" s="531"/>
      <c r="CG168" s="531"/>
      <c r="CH168" s="531"/>
      <c r="CN168" s="531"/>
      <c r="CO168" s="531"/>
      <c r="CP168" s="531"/>
    </row>
    <row r="169" spans="1:94" ht="16" x14ac:dyDescent="0.2">
      <c r="A169" s="531"/>
      <c r="B169" s="604">
        <v>12</v>
      </c>
      <c r="C169" s="693" t="s">
        <v>584</v>
      </c>
      <c r="D169" s="594">
        <f>SUM(CG152)</f>
        <v>9975000</v>
      </c>
      <c r="E169" s="594">
        <f>SUM(CH152)</f>
        <v>3600000</v>
      </c>
      <c r="F169" s="594">
        <f t="shared" ref="F169:H169" si="7">SUM(CI152)</f>
        <v>3960000.0000000005</v>
      </c>
      <c r="G169" s="594">
        <f t="shared" si="7"/>
        <v>4356000.0000000009</v>
      </c>
      <c r="H169" s="595">
        <f t="shared" si="7"/>
        <v>4791600.0000000019</v>
      </c>
      <c r="I169" s="531"/>
      <c r="J169" s="531"/>
      <c r="K169" s="531"/>
      <c r="L169" s="531"/>
      <c r="M169" s="531"/>
      <c r="N169" s="531"/>
      <c r="O169" s="531"/>
      <c r="P169" s="531"/>
      <c r="Q169" s="531"/>
      <c r="R169" s="531"/>
      <c r="S169" s="531"/>
      <c r="T169" s="531"/>
      <c r="U169" s="531"/>
      <c r="V169" s="531"/>
      <c r="W169" s="531"/>
      <c r="X169" s="531"/>
      <c r="Y169" s="531"/>
      <c r="Z169" s="531"/>
      <c r="AA169" s="531"/>
      <c r="AB169" s="531"/>
      <c r="AC169" s="531"/>
      <c r="AD169" s="531"/>
      <c r="AI169" s="531"/>
      <c r="AJ169" s="531"/>
      <c r="AK169" s="531"/>
      <c r="AP169" s="531"/>
      <c r="AQ169" s="531"/>
      <c r="AR169" s="531"/>
      <c r="AW169" s="531"/>
      <c r="AX169" s="531"/>
      <c r="AY169" s="531"/>
      <c r="BD169" s="531"/>
      <c r="BE169" s="531"/>
      <c r="BF169" s="531"/>
      <c r="BK169" s="531"/>
      <c r="BL169" s="531"/>
      <c r="BM169" s="531"/>
      <c r="BR169" s="531"/>
      <c r="BS169" s="531"/>
      <c r="BT169" s="531"/>
      <c r="BY169" s="531"/>
      <c r="BZ169" s="531"/>
      <c r="CA169" s="531"/>
      <c r="CF169" s="531"/>
      <c r="CG169" s="531"/>
      <c r="CH169" s="531"/>
      <c r="CN169" s="531"/>
      <c r="CO169" s="531"/>
      <c r="CP169" s="531"/>
    </row>
    <row r="170" spans="1:94" ht="17" thickBot="1" x14ac:dyDescent="0.25">
      <c r="A170" s="531"/>
      <c r="B170" s="605">
        <v>13</v>
      </c>
      <c r="C170" s="694" t="s">
        <v>610</v>
      </c>
      <c r="D170" s="645">
        <f>SUM(CO152)</f>
        <v>4800000</v>
      </c>
      <c r="E170" s="645">
        <f>SUM(CP152)</f>
        <v>900000</v>
      </c>
      <c r="F170" s="645">
        <f t="shared" ref="F170:H170" si="8">SUM(CQ152)</f>
        <v>990000.00000000012</v>
      </c>
      <c r="G170" s="645">
        <f t="shared" si="8"/>
        <v>600000</v>
      </c>
      <c r="H170" s="652">
        <f t="shared" si="8"/>
        <v>600000</v>
      </c>
      <c r="I170" s="88"/>
      <c r="J170" s="88"/>
      <c r="K170" s="88"/>
      <c r="L170" s="88"/>
      <c r="M170" s="88"/>
      <c r="N170" s="88"/>
      <c r="O170" s="531"/>
      <c r="P170" s="531"/>
      <c r="Q170" s="531"/>
      <c r="R170" s="531"/>
      <c r="S170" s="531"/>
      <c r="T170" s="531"/>
      <c r="U170" s="531"/>
      <c r="V170" s="531"/>
      <c r="W170" s="531"/>
      <c r="X170" s="531"/>
      <c r="Y170" s="531"/>
      <c r="Z170" s="531"/>
      <c r="AA170" s="531"/>
      <c r="AB170" s="531"/>
      <c r="AC170" s="531"/>
      <c r="AD170" s="531"/>
      <c r="AI170" s="531"/>
      <c r="AJ170" s="531"/>
      <c r="AK170" s="531"/>
      <c r="AP170" s="531"/>
      <c r="AQ170" s="531"/>
      <c r="AR170" s="531"/>
      <c r="AW170" s="531"/>
      <c r="AX170" s="531"/>
      <c r="AY170" s="531"/>
      <c r="BD170" s="531"/>
      <c r="BE170" s="531"/>
      <c r="BF170" s="531"/>
      <c r="BK170" s="531"/>
      <c r="BL170" s="531"/>
      <c r="BM170" s="531"/>
      <c r="BR170" s="531"/>
      <c r="BS170" s="531"/>
      <c r="BT170" s="531"/>
      <c r="BY170" s="531"/>
      <c r="BZ170" s="531"/>
      <c r="CA170" s="531"/>
      <c r="CF170" s="531"/>
      <c r="CG170" s="531"/>
      <c r="CH170" s="531"/>
      <c r="CN170" s="531"/>
      <c r="CO170" s="531"/>
      <c r="CP170" s="531"/>
    </row>
    <row r="171" spans="1:94" ht="17" thickBot="1" x14ac:dyDescent="0.25">
      <c r="A171" s="531"/>
      <c r="B171" s="605"/>
      <c r="C171" s="606" t="s">
        <v>31</v>
      </c>
      <c r="D171" s="607">
        <f>SUM(D158:D170)</f>
        <v>116791942.06363636</v>
      </c>
      <c r="E171" s="607">
        <f>SUM(E158:E170)</f>
        <v>106516942.06363636</v>
      </c>
      <c r="F171" s="607">
        <f t="shared" ref="F171:H171" si="9">SUM(F158:F170)</f>
        <v>116505799.74805787</v>
      </c>
      <c r="G171" s="607">
        <f t="shared" si="9"/>
        <v>118294117.29790911</v>
      </c>
      <c r="H171" s="615">
        <f t="shared" si="9"/>
        <v>129334408.85356367</v>
      </c>
      <c r="I171" s="531"/>
      <c r="J171" s="531"/>
      <c r="K171" s="531"/>
      <c r="L171" s="531"/>
      <c r="M171" s="531"/>
      <c r="N171" s="531"/>
      <c r="O171" s="531"/>
      <c r="P171" s="531"/>
      <c r="Q171" s="531"/>
      <c r="R171" s="531"/>
      <c r="S171" s="531"/>
      <c r="T171" s="531"/>
      <c r="U171" s="531"/>
      <c r="V171" s="531"/>
      <c r="W171" s="531"/>
      <c r="X171" s="531"/>
      <c r="Y171" s="531"/>
      <c r="Z171" s="531"/>
      <c r="AA171" s="531"/>
      <c r="AB171" s="531"/>
      <c r="AC171" s="531"/>
      <c r="AD171" s="531"/>
      <c r="AI171" s="531"/>
      <c r="AJ171" s="531"/>
      <c r="AK171" s="531"/>
      <c r="AP171" s="531"/>
      <c r="AQ171" s="531"/>
      <c r="AR171" s="531"/>
      <c r="AW171" s="531"/>
      <c r="AX171" s="531"/>
      <c r="AY171" s="531"/>
      <c r="BD171" s="531"/>
      <c r="BE171" s="531"/>
      <c r="BF171" s="531"/>
      <c r="BK171" s="531"/>
      <c r="BL171" s="531"/>
      <c r="BM171" s="531"/>
      <c r="BR171" s="531"/>
      <c r="BS171" s="531"/>
      <c r="BT171" s="531"/>
      <c r="BY171" s="531"/>
      <c r="BZ171" s="531"/>
      <c r="CA171" s="531"/>
      <c r="CF171" s="531"/>
      <c r="CG171" s="531"/>
      <c r="CH171" s="531"/>
      <c r="CN171" s="531"/>
      <c r="CO171" s="531"/>
      <c r="CP171" s="531"/>
    </row>
    <row r="172" spans="1:94" ht="16" x14ac:dyDescent="0.2">
      <c r="A172" s="531"/>
      <c r="B172" s="531"/>
      <c r="C172" s="531"/>
      <c r="D172" s="531"/>
      <c r="E172" s="531"/>
      <c r="F172" s="531"/>
      <c r="G172" s="531"/>
      <c r="H172" s="531"/>
      <c r="I172" s="596"/>
      <c r="J172" s="596"/>
      <c r="K172" s="596"/>
      <c r="L172" s="596"/>
      <c r="M172" s="596"/>
      <c r="N172" s="596"/>
      <c r="O172" s="531"/>
      <c r="P172" s="531"/>
      <c r="Q172" s="531"/>
      <c r="R172" s="531"/>
      <c r="S172" s="531"/>
      <c r="T172" s="531"/>
      <c r="U172" s="531"/>
      <c r="V172" s="531"/>
      <c r="W172" s="531"/>
      <c r="X172" s="531"/>
      <c r="Y172" s="531"/>
      <c r="Z172" s="531"/>
      <c r="AA172" s="531"/>
      <c r="AB172" s="531"/>
      <c r="AC172" s="531"/>
      <c r="AD172" s="531"/>
      <c r="AI172" s="531"/>
      <c r="AJ172" s="531"/>
      <c r="AK172" s="531"/>
      <c r="AP172" s="531"/>
      <c r="AQ172" s="531"/>
      <c r="AR172" s="531"/>
      <c r="AW172" s="531"/>
      <c r="AX172" s="531"/>
      <c r="AY172" s="531"/>
      <c r="BD172" s="531"/>
      <c r="BE172" s="531"/>
      <c r="BF172" s="531"/>
      <c r="BK172" s="531"/>
      <c r="BL172" s="531"/>
      <c r="BM172" s="531"/>
      <c r="BR172" s="531"/>
      <c r="BS172" s="531"/>
      <c r="BT172" s="531"/>
      <c r="BY172" s="531"/>
      <c r="BZ172" s="531"/>
      <c r="CA172" s="531"/>
      <c r="CF172" s="531"/>
      <c r="CG172" s="531"/>
      <c r="CH172" s="531"/>
      <c r="CN172" s="531"/>
      <c r="CO172" s="531"/>
      <c r="CP172" s="531"/>
    </row>
    <row r="173" spans="1:94" ht="16" thickBot="1" x14ac:dyDescent="0.25"/>
    <row r="174" spans="1:94" ht="16" x14ac:dyDescent="0.2">
      <c r="B174" s="602"/>
      <c r="C174" s="821" t="s">
        <v>609</v>
      </c>
      <c r="D174" s="822"/>
      <c r="E174" s="822"/>
      <c r="F174" s="822"/>
      <c r="G174" s="822"/>
      <c r="H174" s="823"/>
    </row>
    <row r="175" spans="1:94" ht="17" thickBot="1" x14ac:dyDescent="0.25">
      <c r="B175" s="603"/>
      <c r="C175" s="608" t="s">
        <v>135</v>
      </c>
      <c r="D175" s="633" t="s">
        <v>608</v>
      </c>
      <c r="E175" s="77" t="s">
        <v>9</v>
      </c>
      <c r="F175" s="610" t="s">
        <v>594</v>
      </c>
      <c r="G175" s="610" t="s">
        <v>595</v>
      </c>
      <c r="H175" s="611" t="s">
        <v>596</v>
      </c>
    </row>
    <row r="176" spans="1:94" ht="16" x14ac:dyDescent="0.2">
      <c r="B176" s="616">
        <v>1</v>
      </c>
      <c r="C176" s="618" t="s">
        <v>597</v>
      </c>
      <c r="D176" s="636">
        <v>20</v>
      </c>
      <c r="E176" s="619">
        <f>+E170</f>
        <v>900000</v>
      </c>
      <c r="F176" s="623" t="s">
        <v>592</v>
      </c>
      <c r="G176" s="619">
        <f>+G170</f>
        <v>600000</v>
      </c>
      <c r="H176" s="620">
        <f>+H170</f>
        <v>600000</v>
      </c>
    </row>
    <row r="177" spans="2:8" ht="16" x14ac:dyDescent="0.2">
      <c r="B177" s="616">
        <v>2</v>
      </c>
      <c r="C177" s="621" t="s">
        <v>598</v>
      </c>
      <c r="D177" s="637">
        <v>10</v>
      </c>
      <c r="E177" s="558">
        <f>SUM(M170)</f>
        <v>0</v>
      </c>
      <c r="F177" s="624" t="s">
        <v>592</v>
      </c>
      <c r="G177" s="558">
        <f>SUM(O170)</f>
        <v>0</v>
      </c>
      <c r="H177" s="613">
        <f>SUM(P170)</f>
        <v>0</v>
      </c>
    </row>
    <row r="178" spans="2:8" ht="16" x14ac:dyDescent="0.2">
      <c r="B178" s="616">
        <v>3</v>
      </c>
      <c r="C178" s="622" t="s">
        <v>599</v>
      </c>
      <c r="D178" s="637">
        <v>20</v>
      </c>
      <c r="E178" s="612">
        <f>+V170</f>
        <v>0</v>
      </c>
      <c r="F178" s="624" t="s">
        <v>592</v>
      </c>
      <c r="G178" s="612">
        <f>+X170</f>
        <v>0</v>
      </c>
      <c r="H178" s="614">
        <f>+Y170</f>
        <v>0</v>
      </c>
    </row>
    <row r="179" spans="2:8" ht="16" x14ac:dyDescent="0.2">
      <c r="B179" s="616">
        <v>4</v>
      </c>
      <c r="C179" s="622" t="s">
        <v>600</v>
      </c>
      <c r="D179" s="637">
        <v>10</v>
      </c>
      <c r="E179" s="612">
        <f>SUM(AD170)</f>
        <v>0</v>
      </c>
      <c r="F179" s="624" t="s">
        <v>592</v>
      </c>
      <c r="G179" s="612">
        <f>SUM(AF170)</f>
        <v>0</v>
      </c>
      <c r="H179" s="614">
        <f>SUM(AG170)</f>
        <v>0</v>
      </c>
    </row>
    <row r="180" spans="2:8" ht="16" x14ac:dyDescent="0.2">
      <c r="B180" s="616">
        <v>5</v>
      </c>
      <c r="C180" s="622" t="s">
        <v>601</v>
      </c>
      <c r="D180" s="638">
        <v>5</v>
      </c>
      <c r="E180" s="612">
        <f>SUM(AK170)</f>
        <v>0</v>
      </c>
      <c r="F180" s="612">
        <f t="shared" ref="F180" si="10">SUM(AL170)</f>
        <v>0</v>
      </c>
      <c r="G180" s="612">
        <f t="shared" ref="G180" si="11">SUM(AM170)</f>
        <v>0</v>
      </c>
      <c r="H180" s="626" t="s">
        <v>603</v>
      </c>
    </row>
    <row r="181" spans="2:8" ht="16" x14ac:dyDescent="0.2">
      <c r="B181" s="616">
        <v>6</v>
      </c>
      <c r="C181" s="622" t="s">
        <v>590</v>
      </c>
      <c r="D181" s="638">
        <v>10</v>
      </c>
      <c r="E181" s="612">
        <f>SUM(AR170)</f>
        <v>0</v>
      </c>
      <c r="F181" s="612">
        <f t="shared" ref="F181" si="12">SUM(AS170)</f>
        <v>0</v>
      </c>
      <c r="G181" s="612">
        <f t="shared" ref="G181" si="13">SUM(AT170)</f>
        <v>0</v>
      </c>
      <c r="H181" s="626" t="s">
        <v>603</v>
      </c>
    </row>
    <row r="182" spans="2:8" ht="16" x14ac:dyDescent="0.2">
      <c r="B182" s="616">
        <v>7</v>
      </c>
      <c r="C182" s="622" t="s">
        <v>602</v>
      </c>
      <c r="D182" s="639">
        <v>10</v>
      </c>
      <c r="E182" s="625" t="s">
        <v>603</v>
      </c>
      <c r="F182" s="612">
        <f t="shared" ref="F182" si="14">SUM(AZ170)</f>
        <v>0</v>
      </c>
      <c r="G182" s="612">
        <f t="shared" ref="G182" si="15">SUM(BA170)</f>
        <v>0</v>
      </c>
      <c r="H182" s="614">
        <f t="shared" ref="H182" si="16">SUM(BB170)</f>
        <v>0</v>
      </c>
    </row>
    <row r="183" spans="2:8" ht="16" x14ac:dyDescent="0.2">
      <c r="B183" s="616">
        <v>8</v>
      </c>
      <c r="C183" s="622" t="s">
        <v>588</v>
      </c>
      <c r="D183" s="639">
        <v>5</v>
      </c>
      <c r="E183" s="625" t="s">
        <v>603</v>
      </c>
      <c r="F183" s="612">
        <f t="shared" ref="F183" si="17">SUM(BG170)</f>
        <v>0</v>
      </c>
      <c r="G183" s="612">
        <f t="shared" ref="G183" si="18">SUM(BH170)</f>
        <v>0</v>
      </c>
      <c r="H183" s="614">
        <f t="shared" ref="H183" si="19">SUM(BI170)</f>
        <v>0</v>
      </c>
    </row>
    <row r="184" spans="2:8" ht="16" x14ac:dyDescent="0.2">
      <c r="B184" s="616">
        <v>9</v>
      </c>
      <c r="C184" s="622" t="s">
        <v>587</v>
      </c>
      <c r="D184" s="640">
        <v>10</v>
      </c>
      <c r="E184" s="612">
        <f>SUM(BM170)</f>
        <v>0</v>
      </c>
      <c r="F184" s="612">
        <f t="shared" ref="F184" si="20">SUM(BN170)</f>
        <v>0</v>
      </c>
      <c r="G184" s="627" t="s">
        <v>603</v>
      </c>
      <c r="H184" s="614">
        <f t="shared" ref="H184" si="21">SUM(BP170)</f>
        <v>0</v>
      </c>
    </row>
    <row r="185" spans="2:8" ht="16" x14ac:dyDescent="0.2">
      <c r="B185" s="616">
        <v>10</v>
      </c>
      <c r="C185" s="622" t="s">
        <v>586</v>
      </c>
      <c r="D185" s="640">
        <v>5</v>
      </c>
      <c r="E185" s="612">
        <f>SUM(BT170)</f>
        <v>0</v>
      </c>
      <c r="F185" s="612">
        <f t="shared" ref="F185" si="22">SUM(BU170)</f>
        <v>0</v>
      </c>
      <c r="G185" s="627" t="s">
        <v>603</v>
      </c>
      <c r="H185" s="614">
        <f t="shared" ref="H185" si="23">SUM(BW170)</f>
        <v>0</v>
      </c>
    </row>
    <row r="186" spans="2:8" ht="16" x14ac:dyDescent="0.2">
      <c r="B186" s="616">
        <v>11</v>
      </c>
      <c r="C186" s="622" t="s">
        <v>585</v>
      </c>
      <c r="D186" s="641">
        <v>10</v>
      </c>
      <c r="E186" s="630" t="s">
        <v>604</v>
      </c>
      <c r="F186" s="630" t="s">
        <v>593</v>
      </c>
      <c r="G186" s="630" t="s">
        <v>604</v>
      </c>
      <c r="H186" s="630" t="s">
        <v>604</v>
      </c>
    </row>
    <row r="187" spans="2:8" ht="16" x14ac:dyDescent="0.2">
      <c r="B187" s="616">
        <v>12</v>
      </c>
      <c r="C187" s="622" t="s">
        <v>605</v>
      </c>
      <c r="D187" s="642">
        <v>5</v>
      </c>
      <c r="E187" s="631" t="s">
        <v>607</v>
      </c>
      <c r="F187" s="631" t="s">
        <v>607</v>
      </c>
      <c r="G187" s="631" t="s">
        <v>607</v>
      </c>
      <c r="H187" s="631" t="s">
        <v>607</v>
      </c>
    </row>
    <row r="188" spans="2:8" ht="17" thickBot="1" x14ac:dyDescent="0.25">
      <c r="B188" s="617">
        <v>13</v>
      </c>
      <c r="C188" s="643" t="s">
        <v>610</v>
      </c>
      <c r="D188" s="634">
        <v>5</v>
      </c>
      <c r="E188" s="632"/>
      <c r="F188" s="628" t="s">
        <v>606</v>
      </c>
      <c r="G188" s="628" t="s">
        <v>606</v>
      </c>
      <c r="H188" s="629"/>
    </row>
    <row r="189" spans="2:8" ht="17" thickBot="1" x14ac:dyDescent="0.25">
      <c r="B189" s="605"/>
      <c r="C189" s="606"/>
      <c r="D189" s="635"/>
      <c r="E189" s="607">
        <f>SUM(E176:E188)</f>
        <v>900000</v>
      </c>
      <c r="F189" s="607">
        <f>SUM(F176:F188)</f>
        <v>0</v>
      </c>
      <c r="G189" s="607">
        <f t="shared" ref="G189" si="24">SUM(G176:G188)</f>
        <v>600000</v>
      </c>
      <c r="H189" s="615">
        <f t="shared" ref="H189" si="25">SUM(H176:H188)</f>
        <v>600000</v>
      </c>
    </row>
    <row r="190" spans="2:8" x14ac:dyDescent="0.2">
      <c r="D190" s="69"/>
    </row>
    <row r="191" spans="2:8" x14ac:dyDescent="0.2">
      <c r="D191" s="69"/>
    </row>
    <row r="192" spans="2:8" x14ac:dyDescent="0.2">
      <c r="D192" s="69"/>
    </row>
  </sheetData>
  <mergeCells count="171">
    <mergeCell ref="C27:H27"/>
    <mergeCell ref="K27:P27"/>
    <mergeCell ref="T27:Y27"/>
    <mergeCell ref="AB27:AG27"/>
    <mergeCell ref="H46:H47"/>
    <mergeCell ref="P46:P47"/>
    <mergeCell ref="Y46:Y47"/>
    <mergeCell ref="AG46:AG47"/>
    <mergeCell ref="C4:G4"/>
    <mergeCell ref="K4:O4"/>
    <mergeCell ref="T4:X4"/>
    <mergeCell ref="AB4:AF4"/>
    <mergeCell ref="G23:G24"/>
    <mergeCell ref="O23:O24"/>
    <mergeCell ref="X23:X24"/>
    <mergeCell ref="AF23:AF24"/>
    <mergeCell ref="C74:H74"/>
    <mergeCell ref="K74:P74"/>
    <mergeCell ref="T74:Y74"/>
    <mergeCell ref="AB74:AG74"/>
    <mergeCell ref="H93:H94"/>
    <mergeCell ref="P93:P94"/>
    <mergeCell ref="Y93:Y94"/>
    <mergeCell ref="AG93:AG94"/>
    <mergeCell ref="C51:H51"/>
    <mergeCell ref="K51:P51"/>
    <mergeCell ref="T51:Y51"/>
    <mergeCell ref="AB51:AG51"/>
    <mergeCell ref="H70:H71"/>
    <mergeCell ref="P70:P71"/>
    <mergeCell ref="Y70:Y71"/>
    <mergeCell ref="AG70:AG71"/>
    <mergeCell ref="C156:H156"/>
    <mergeCell ref="C97:H97"/>
    <mergeCell ref="K97:P97"/>
    <mergeCell ref="T97:Y97"/>
    <mergeCell ref="AB97:AG97"/>
    <mergeCell ref="H116:H117"/>
    <mergeCell ref="P116:P117"/>
    <mergeCell ref="Y116:Y117"/>
    <mergeCell ref="AG116:AG117"/>
    <mergeCell ref="AN116:AN117"/>
    <mergeCell ref="AI121:AN121"/>
    <mergeCell ref="AN140:AN141"/>
    <mergeCell ref="AI145:AN145"/>
    <mergeCell ref="C121:H121"/>
    <mergeCell ref="K121:P121"/>
    <mergeCell ref="T121:Y121"/>
    <mergeCell ref="AB121:AG121"/>
    <mergeCell ref="H140:H141"/>
    <mergeCell ref="P140:P141"/>
    <mergeCell ref="Y140:Y141"/>
    <mergeCell ref="AG140:AG141"/>
    <mergeCell ref="C145:H145"/>
    <mergeCell ref="K145:P145"/>
    <mergeCell ref="T145:Y145"/>
    <mergeCell ref="AB145:AG145"/>
    <mergeCell ref="AI4:AM4"/>
    <mergeCell ref="AM23:AM24"/>
    <mergeCell ref="AI27:AN27"/>
    <mergeCell ref="AN46:AN47"/>
    <mergeCell ref="AI51:AN51"/>
    <mergeCell ref="AN70:AN71"/>
    <mergeCell ref="AI74:AN74"/>
    <mergeCell ref="AN93:AN94"/>
    <mergeCell ref="AI97:AN97"/>
    <mergeCell ref="AP145:AU145"/>
    <mergeCell ref="AW4:BA4"/>
    <mergeCell ref="BA23:BA24"/>
    <mergeCell ref="AW27:BB27"/>
    <mergeCell ref="BB46:BB47"/>
    <mergeCell ref="AW51:BB51"/>
    <mergeCell ref="BB70:BB71"/>
    <mergeCell ref="AW74:BB74"/>
    <mergeCell ref="BB93:BB94"/>
    <mergeCell ref="AW97:BB97"/>
    <mergeCell ref="BB116:BB117"/>
    <mergeCell ref="AW121:BB121"/>
    <mergeCell ref="BB140:BB141"/>
    <mergeCell ref="AW145:BB145"/>
    <mergeCell ref="AU70:AU71"/>
    <mergeCell ref="AP74:AU74"/>
    <mergeCell ref="AU93:AU94"/>
    <mergeCell ref="AP97:AU97"/>
    <mergeCell ref="AU116:AU117"/>
    <mergeCell ref="AP4:AT4"/>
    <mergeCell ref="AT23:AT24"/>
    <mergeCell ref="AP27:AU27"/>
    <mergeCell ref="AU46:AU47"/>
    <mergeCell ref="AP51:AU51"/>
    <mergeCell ref="BD97:BI97"/>
    <mergeCell ref="BI116:BI117"/>
    <mergeCell ref="BD4:BH4"/>
    <mergeCell ref="BH23:BH24"/>
    <mergeCell ref="BD27:BI27"/>
    <mergeCell ref="BI46:BI47"/>
    <mergeCell ref="BD51:BI51"/>
    <mergeCell ref="AP121:AU121"/>
    <mergeCell ref="AU140:AU141"/>
    <mergeCell ref="BR4:BV4"/>
    <mergeCell ref="BV23:BV24"/>
    <mergeCell ref="BR27:BW27"/>
    <mergeCell ref="BW46:BW47"/>
    <mergeCell ref="BR51:BW51"/>
    <mergeCell ref="BD121:BI121"/>
    <mergeCell ref="BI140:BI141"/>
    <mergeCell ref="BD145:BI145"/>
    <mergeCell ref="BK4:BO4"/>
    <mergeCell ref="BO23:BO24"/>
    <mergeCell ref="BK27:BP27"/>
    <mergeCell ref="BP46:BP47"/>
    <mergeCell ref="BK51:BP51"/>
    <mergeCell ref="BP70:BP71"/>
    <mergeCell ref="BK74:BP74"/>
    <mergeCell ref="BP93:BP94"/>
    <mergeCell ref="BK97:BP97"/>
    <mergeCell ref="BP116:BP117"/>
    <mergeCell ref="BK121:BP121"/>
    <mergeCell ref="BP140:BP141"/>
    <mergeCell ref="BK145:BP145"/>
    <mergeCell ref="BI70:BI71"/>
    <mergeCell ref="BD74:BI74"/>
    <mergeCell ref="BI93:BI94"/>
    <mergeCell ref="CF27:CK27"/>
    <mergeCell ref="CK46:CK47"/>
    <mergeCell ref="CF51:CK51"/>
    <mergeCell ref="BR121:BW121"/>
    <mergeCell ref="BW140:BW141"/>
    <mergeCell ref="BR145:BW145"/>
    <mergeCell ref="BY4:CC4"/>
    <mergeCell ref="CC23:CC24"/>
    <mergeCell ref="BY27:CD27"/>
    <mergeCell ref="CD46:CD47"/>
    <mergeCell ref="BY51:CD51"/>
    <mergeCell ref="CD70:CD71"/>
    <mergeCell ref="BY74:CD74"/>
    <mergeCell ref="CD93:CD94"/>
    <mergeCell ref="BY97:CD97"/>
    <mergeCell ref="CD116:CD117"/>
    <mergeCell ref="BY121:CD121"/>
    <mergeCell ref="CD140:CD141"/>
    <mergeCell ref="BY145:CD145"/>
    <mergeCell ref="BW70:BW71"/>
    <mergeCell ref="BR74:BW74"/>
    <mergeCell ref="BW93:BW94"/>
    <mergeCell ref="BR97:BW97"/>
    <mergeCell ref="BW116:BW117"/>
    <mergeCell ref="CN145:CS145"/>
    <mergeCell ref="CF121:CK121"/>
    <mergeCell ref="CK140:CK141"/>
    <mergeCell ref="CF145:CK145"/>
    <mergeCell ref="C174:H174"/>
    <mergeCell ref="CN4:CR4"/>
    <mergeCell ref="CR23:CR24"/>
    <mergeCell ref="CN27:CS27"/>
    <mergeCell ref="CS46:CS47"/>
    <mergeCell ref="CN51:CS51"/>
    <mergeCell ref="CS70:CS71"/>
    <mergeCell ref="CN74:CS74"/>
    <mergeCell ref="CS93:CS94"/>
    <mergeCell ref="CN97:CS97"/>
    <mergeCell ref="CS116:CS117"/>
    <mergeCell ref="CN121:CS121"/>
    <mergeCell ref="CS140:CS141"/>
    <mergeCell ref="CK70:CK71"/>
    <mergeCell ref="CF74:CK74"/>
    <mergeCell ref="CK93:CK94"/>
    <mergeCell ref="CF97:CK97"/>
    <mergeCell ref="CK116:CK117"/>
    <mergeCell ref="CF4:CJ4"/>
    <mergeCell ref="CJ23:CJ24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9A29-F75E-0848-985F-574C9868EE92}">
  <dimension ref="B1:CN241"/>
  <sheetViews>
    <sheetView showGridLines="0" topLeftCell="C124" zoomScale="125" zoomScaleNormal="125" zoomScalePageLayoutView="105" workbookViewId="0">
      <selection activeCell="A132" sqref="A132:XFD132"/>
    </sheetView>
  </sheetViews>
  <sheetFormatPr baseColWidth="10" defaultRowHeight="15" x14ac:dyDescent="0.2"/>
  <cols>
    <col min="1" max="1" width="5" customWidth="1"/>
    <col min="2" max="2" width="3.83203125" customWidth="1"/>
    <col min="3" max="3" width="40.83203125" customWidth="1"/>
    <col min="4" max="4" width="17.83203125" style="1" customWidth="1"/>
    <col min="5" max="8" width="17.83203125" customWidth="1"/>
    <col min="9" max="9" width="10" customWidth="1"/>
    <col min="10" max="10" width="40.83203125" customWidth="1"/>
    <col min="11" max="11" width="17.83203125" style="1" customWidth="1"/>
    <col min="12" max="15" width="17.83203125" customWidth="1"/>
    <col min="16" max="16" width="10.1640625" customWidth="1"/>
    <col min="17" max="17" width="40.83203125" customWidth="1"/>
    <col min="18" max="18" width="17.83203125" style="1" customWidth="1"/>
    <col min="19" max="22" width="17.83203125" customWidth="1"/>
    <col min="24" max="24" width="40.83203125" customWidth="1"/>
    <col min="25" max="25" width="17.83203125" style="1" customWidth="1"/>
    <col min="26" max="29" width="17.83203125" customWidth="1"/>
    <col min="31" max="31" width="40.83203125" customWidth="1"/>
    <col min="32" max="32" width="17.83203125" style="1" customWidth="1"/>
    <col min="33" max="36" width="17.83203125" customWidth="1"/>
    <col min="38" max="38" width="40.83203125" customWidth="1"/>
    <col min="39" max="39" width="17.83203125" style="1" customWidth="1"/>
    <col min="40" max="43" width="17.83203125" customWidth="1"/>
    <col min="45" max="45" width="40.83203125" customWidth="1"/>
    <col min="46" max="46" width="17.83203125" style="1" customWidth="1"/>
    <col min="47" max="50" width="17.83203125" customWidth="1"/>
    <col min="52" max="52" width="40.83203125" customWidth="1"/>
    <col min="53" max="53" width="17.83203125" style="1" customWidth="1"/>
    <col min="54" max="57" width="17.83203125" customWidth="1"/>
    <col min="59" max="59" width="40.83203125" customWidth="1"/>
    <col min="60" max="60" width="17.83203125" style="1" customWidth="1"/>
    <col min="61" max="64" width="17.83203125" customWidth="1"/>
    <col min="66" max="66" width="40.83203125" customWidth="1"/>
    <col min="67" max="67" width="17.83203125" style="1" customWidth="1"/>
    <col min="68" max="71" width="17.83203125" customWidth="1"/>
    <col min="73" max="73" width="40.83203125" customWidth="1"/>
    <col min="74" max="74" width="17.83203125" style="1" customWidth="1"/>
    <col min="75" max="78" width="17.83203125" customWidth="1"/>
    <col min="80" max="80" width="40.83203125" customWidth="1"/>
    <col min="81" max="81" width="17.83203125" style="1" customWidth="1"/>
    <col min="82" max="85" width="17.83203125" customWidth="1"/>
    <col min="87" max="87" width="40.83203125" customWidth="1"/>
    <col min="88" max="88" width="17.83203125" style="1" customWidth="1"/>
    <col min="89" max="92" width="17.83203125" customWidth="1"/>
  </cols>
  <sheetData>
    <row r="1" spans="3:91" ht="16" x14ac:dyDescent="0.2">
      <c r="C1" s="673"/>
      <c r="D1" s="673"/>
      <c r="E1" s="673"/>
      <c r="F1" s="673"/>
      <c r="G1" s="673"/>
      <c r="J1" s="673"/>
      <c r="K1" s="673"/>
      <c r="L1" s="673"/>
      <c r="M1" s="673"/>
      <c r="N1" s="673"/>
      <c r="Q1" s="673"/>
      <c r="R1" s="673"/>
      <c r="S1" s="673"/>
      <c r="T1" s="673"/>
      <c r="U1" s="673"/>
      <c r="X1" s="673"/>
      <c r="Y1" s="673"/>
      <c r="Z1" s="673"/>
      <c r="AA1" s="673"/>
      <c r="AB1" s="673"/>
      <c r="AE1" s="673"/>
      <c r="AF1" s="673"/>
      <c r="AG1" s="673"/>
      <c r="AH1" s="673"/>
      <c r="AI1" s="673"/>
      <c r="AL1" s="673"/>
      <c r="AM1" s="673"/>
      <c r="AN1" s="673"/>
      <c r="AO1" s="673"/>
      <c r="AP1" s="673"/>
      <c r="AS1" s="673"/>
      <c r="AT1" s="673"/>
      <c r="AU1" s="673"/>
      <c r="AV1" s="673"/>
      <c r="AW1" s="673"/>
      <c r="AZ1" s="673"/>
      <c r="BA1" s="673"/>
      <c r="BB1" s="673"/>
      <c r="BC1" s="673"/>
      <c r="BD1" s="673"/>
      <c r="BG1" s="673"/>
      <c r="BH1" s="673"/>
      <c r="BI1" s="673"/>
      <c r="BJ1" s="673"/>
      <c r="BK1" s="673"/>
      <c r="BN1" s="673"/>
      <c r="BO1" s="673"/>
      <c r="BP1" s="673"/>
      <c r="BQ1" s="673"/>
      <c r="BR1" s="673"/>
      <c r="BU1" s="673"/>
      <c r="BV1" s="673"/>
      <c r="BW1" s="673"/>
      <c r="BX1" s="673"/>
      <c r="BY1" s="673"/>
      <c r="CB1" s="673"/>
      <c r="CC1" s="673"/>
      <c r="CD1" s="673"/>
      <c r="CE1" s="673"/>
      <c r="CF1" s="673"/>
      <c r="CI1" s="673"/>
      <c r="CJ1" s="673"/>
      <c r="CK1" s="673"/>
      <c r="CL1" s="673"/>
      <c r="CM1" s="673"/>
    </row>
    <row r="2" spans="3:91" ht="16" thickBot="1" x14ac:dyDescent="0.25"/>
    <row r="3" spans="3:91" ht="48" thickBot="1" x14ac:dyDescent="0.6">
      <c r="C3" s="861" t="s">
        <v>638</v>
      </c>
      <c r="D3" s="862"/>
      <c r="E3" s="862"/>
      <c r="F3" s="862"/>
      <c r="G3" s="863"/>
      <c r="J3" s="861" t="s">
        <v>639</v>
      </c>
      <c r="K3" s="862"/>
      <c r="L3" s="862"/>
      <c r="M3" s="862"/>
      <c r="N3" s="863"/>
      <c r="Q3" s="861" t="s">
        <v>712</v>
      </c>
      <c r="R3" s="862"/>
      <c r="S3" s="862"/>
      <c r="T3" s="862"/>
      <c r="U3" s="863"/>
      <c r="X3" s="861" t="s">
        <v>651</v>
      </c>
      <c r="Y3" s="862"/>
      <c r="Z3" s="862"/>
      <c r="AA3" s="862"/>
      <c r="AB3" s="863"/>
      <c r="AE3" s="861" t="s">
        <v>656</v>
      </c>
      <c r="AF3" s="862"/>
      <c r="AG3" s="862"/>
      <c r="AH3" s="862"/>
      <c r="AI3" s="863"/>
      <c r="AL3" s="861" t="s">
        <v>664</v>
      </c>
      <c r="AM3" s="862"/>
      <c r="AN3" s="862"/>
      <c r="AO3" s="862"/>
      <c r="AP3" s="863"/>
      <c r="AS3" s="861" t="s">
        <v>671</v>
      </c>
      <c r="AT3" s="862"/>
      <c r="AU3" s="862"/>
      <c r="AV3" s="862"/>
      <c r="AW3" s="863"/>
      <c r="AZ3" s="861" t="s">
        <v>679</v>
      </c>
      <c r="BA3" s="862"/>
      <c r="BB3" s="862"/>
      <c r="BC3" s="862"/>
      <c r="BD3" s="863"/>
      <c r="BG3" s="861" t="s">
        <v>687</v>
      </c>
      <c r="BH3" s="862"/>
      <c r="BI3" s="862"/>
      <c r="BJ3" s="862"/>
      <c r="BK3" s="863"/>
      <c r="BN3" s="861" t="s">
        <v>695</v>
      </c>
      <c r="BO3" s="862"/>
      <c r="BP3" s="862"/>
      <c r="BQ3" s="862"/>
      <c r="BR3" s="863"/>
      <c r="BU3" s="861" t="s">
        <v>704</v>
      </c>
      <c r="BV3" s="862"/>
      <c r="BW3" s="862"/>
      <c r="BX3" s="862"/>
      <c r="BY3" s="863"/>
      <c r="CB3" s="861" t="s">
        <v>719</v>
      </c>
      <c r="CC3" s="862"/>
      <c r="CD3" s="862"/>
      <c r="CE3" s="862"/>
      <c r="CF3" s="863"/>
      <c r="CI3" s="861" t="s">
        <v>746</v>
      </c>
      <c r="CJ3" s="862"/>
      <c r="CK3" s="862"/>
      <c r="CL3" s="862"/>
      <c r="CM3" s="863"/>
    </row>
    <row r="6" spans="3:91" x14ac:dyDescent="0.2">
      <c r="C6" s="858" t="s">
        <v>635</v>
      </c>
      <c r="D6" s="859"/>
      <c r="E6" s="859"/>
      <c r="F6" s="859"/>
      <c r="G6" s="860"/>
      <c r="J6" s="858" t="s">
        <v>640</v>
      </c>
      <c r="K6" s="859"/>
      <c r="L6" s="859"/>
      <c r="M6" s="859"/>
      <c r="N6" s="860"/>
      <c r="Q6" s="858" t="s">
        <v>713</v>
      </c>
      <c r="R6" s="859"/>
      <c r="S6" s="859"/>
      <c r="T6" s="859"/>
      <c r="U6" s="860"/>
      <c r="X6" s="858" t="s">
        <v>492</v>
      </c>
      <c r="Y6" s="859"/>
      <c r="Z6" s="859"/>
      <c r="AA6" s="859"/>
      <c r="AB6" s="860"/>
      <c r="AE6" s="858" t="s">
        <v>657</v>
      </c>
      <c r="AF6" s="859"/>
      <c r="AG6" s="859"/>
      <c r="AH6" s="859"/>
      <c r="AI6" s="860"/>
      <c r="AL6" s="858" t="s">
        <v>665</v>
      </c>
      <c r="AM6" s="859"/>
      <c r="AN6" s="859"/>
      <c r="AO6" s="859"/>
      <c r="AP6" s="860"/>
      <c r="AS6" s="858" t="s">
        <v>672</v>
      </c>
      <c r="AT6" s="859"/>
      <c r="AU6" s="859"/>
      <c r="AV6" s="859"/>
      <c r="AW6" s="860"/>
      <c r="AZ6" s="858" t="s">
        <v>681</v>
      </c>
      <c r="BA6" s="859"/>
      <c r="BB6" s="859"/>
      <c r="BC6" s="859"/>
      <c r="BD6" s="860"/>
      <c r="BG6" s="858" t="s">
        <v>696</v>
      </c>
      <c r="BH6" s="859"/>
      <c r="BI6" s="859"/>
      <c r="BJ6" s="859"/>
      <c r="BK6" s="860"/>
      <c r="BN6" s="858" t="s">
        <v>697</v>
      </c>
      <c r="BO6" s="859"/>
      <c r="BP6" s="859"/>
      <c r="BQ6" s="859"/>
      <c r="BR6" s="860"/>
      <c r="BU6" s="858" t="s">
        <v>705</v>
      </c>
      <c r="BV6" s="859"/>
      <c r="BW6" s="859"/>
      <c r="BX6" s="859"/>
      <c r="BY6" s="860"/>
      <c r="CB6" s="858" t="s">
        <v>721</v>
      </c>
      <c r="CC6" s="859"/>
      <c r="CD6" s="859"/>
      <c r="CE6" s="859"/>
      <c r="CF6" s="860"/>
      <c r="CI6" s="858" t="s">
        <v>747</v>
      </c>
      <c r="CJ6" s="859"/>
      <c r="CK6" s="859"/>
      <c r="CL6" s="859"/>
      <c r="CM6" s="860"/>
    </row>
    <row r="7" spans="3:91" x14ac:dyDescent="0.2">
      <c r="C7" s="9" t="s">
        <v>6</v>
      </c>
      <c r="D7" s="653" t="s">
        <v>3</v>
      </c>
      <c r="E7" s="5" t="s">
        <v>4</v>
      </c>
      <c r="F7" s="10" t="s">
        <v>5</v>
      </c>
      <c r="G7" s="39" t="s">
        <v>16</v>
      </c>
      <c r="J7" s="9" t="s">
        <v>6</v>
      </c>
      <c r="K7" s="653" t="s">
        <v>3</v>
      </c>
      <c r="L7" s="5" t="s">
        <v>4</v>
      </c>
      <c r="M7" s="10" t="s">
        <v>5</v>
      </c>
      <c r="N7" s="39" t="s">
        <v>16</v>
      </c>
      <c r="Q7" s="9" t="s">
        <v>6</v>
      </c>
      <c r="R7" s="653" t="s">
        <v>3</v>
      </c>
      <c r="S7" s="5" t="s">
        <v>4</v>
      </c>
      <c r="T7" s="10" t="s">
        <v>5</v>
      </c>
      <c r="U7" s="39" t="s">
        <v>16</v>
      </c>
      <c r="X7" s="9" t="s">
        <v>6</v>
      </c>
      <c r="Y7" s="653" t="s">
        <v>3</v>
      </c>
      <c r="Z7" s="5" t="s">
        <v>4</v>
      </c>
      <c r="AA7" s="10" t="s">
        <v>5</v>
      </c>
      <c r="AB7" s="39" t="s">
        <v>16</v>
      </c>
      <c r="AE7" s="9" t="s">
        <v>6</v>
      </c>
      <c r="AF7" s="653" t="s">
        <v>3</v>
      </c>
      <c r="AG7" s="5" t="s">
        <v>4</v>
      </c>
      <c r="AH7" s="10" t="s">
        <v>5</v>
      </c>
      <c r="AI7" s="39" t="s">
        <v>16</v>
      </c>
      <c r="AL7" s="9" t="s">
        <v>6</v>
      </c>
      <c r="AM7" s="653" t="s">
        <v>3</v>
      </c>
      <c r="AN7" s="5" t="s">
        <v>4</v>
      </c>
      <c r="AO7" s="10" t="s">
        <v>5</v>
      </c>
      <c r="AP7" s="39" t="s">
        <v>16</v>
      </c>
      <c r="AS7" s="9" t="s">
        <v>6</v>
      </c>
      <c r="AT7" s="653" t="s">
        <v>3</v>
      </c>
      <c r="AU7" s="5" t="s">
        <v>4</v>
      </c>
      <c r="AV7" s="10" t="s">
        <v>5</v>
      </c>
      <c r="AW7" s="39" t="s">
        <v>16</v>
      </c>
      <c r="AZ7" s="9" t="s">
        <v>6</v>
      </c>
      <c r="BA7" s="653" t="s">
        <v>3</v>
      </c>
      <c r="BB7" s="5" t="s">
        <v>4</v>
      </c>
      <c r="BC7" s="10" t="s">
        <v>5</v>
      </c>
      <c r="BD7" s="39" t="s">
        <v>16</v>
      </c>
      <c r="BG7" s="9" t="s">
        <v>6</v>
      </c>
      <c r="BH7" s="653" t="s">
        <v>3</v>
      </c>
      <c r="BI7" s="5" t="s">
        <v>4</v>
      </c>
      <c r="BJ7" s="10" t="s">
        <v>5</v>
      </c>
      <c r="BK7" s="39" t="s">
        <v>16</v>
      </c>
      <c r="BN7" s="9" t="s">
        <v>6</v>
      </c>
      <c r="BO7" s="653" t="s">
        <v>3</v>
      </c>
      <c r="BP7" s="5" t="s">
        <v>4</v>
      </c>
      <c r="BQ7" s="10" t="s">
        <v>5</v>
      </c>
      <c r="BR7" s="39" t="s">
        <v>16</v>
      </c>
      <c r="BU7" s="9" t="s">
        <v>6</v>
      </c>
      <c r="BV7" s="653" t="s">
        <v>3</v>
      </c>
      <c r="BW7" s="5" t="s">
        <v>4</v>
      </c>
      <c r="BX7" s="10" t="s">
        <v>5</v>
      </c>
      <c r="BY7" s="39" t="s">
        <v>16</v>
      </c>
      <c r="CB7" s="9" t="s">
        <v>6</v>
      </c>
      <c r="CC7" s="653" t="s">
        <v>3</v>
      </c>
      <c r="CD7" s="5" t="s">
        <v>4</v>
      </c>
      <c r="CE7" s="10" t="s">
        <v>5</v>
      </c>
      <c r="CF7" s="39" t="s">
        <v>16</v>
      </c>
      <c r="CI7" s="9" t="s">
        <v>6</v>
      </c>
      <c r="CJ7" s="653" t="s">
        <v>3</v>
      </c>
      <c r="CK7" s="5" t="s">
        <v>4</v>
      </c>
      <c r="CL7" s="10" t="s">
        <v>5</v>
      </c>
      <c r="CM7" s="39" t="s">
        <v>16</v>
      </c>
    </row>
    <row r="8" spans="3:91" x14ac:dyDescent="0.2">
      <c r="C8" s="18" t="s">
        <v>636</v>
      </c>
      <c r="D8" s="654">
        <f>SUM(D13)*D14</f>
        <v>52.5</v>
      </c>
      <c r="E8" s="20"/>
      <c r="F8" s="20"/>
      <c r="G8" s="38">
        <f>+SUM(C8:F8)</f>
        <v>52.5</v>
      </c>
      <c r="J8" s="18" t="s">
        <v>636</v>
      </c>
      <c r="K8" s="654">
        <f>SUM(K13)*K14</f>
        <v>9</v>
      </c>
      <c r="L8" s="20"/>
      <c r="M8" s="20"/>
      <c r="N8" s="38">
        <f>+SUM(J8:M8)</f>
        <v>9</v>
      </c>
      <c r="Q8" s="18" t="s">
        <v>636</v>
      </c>
      <c r="R8" s="654">
        <f>SUM(R13)*R14</f>
        <v>75</v>
      </c>
      <c r="S8" s="20"/>
      <c r="T8" s="20"/>
      <c r="U8" s="38">
        <f>+SUM(Q8:T8)</f>
        <v>75</v>
      </c>
      <c r="X8" s="18" t="s">
        <v>636</v>
      </c>
      <c r="Y8" s="654">
        <f>SUM(Y13)*Y14</f>
        <v>8</v>
      </c>
      <c r="Z8" s="20"/>
      <c r="AA8" s="20"/>
      <c r="AB8" s="38">
        <f>+SUM(X8:AA8)</f>
        <v>8</v>
      </c>
      <c r="AE8" s="18" t="s">
        <v>636</v>
      </c>
      <c r="AF8" s="654">
        <f>SUM(AF13)*AF14</f>
        <v>40</v>
      </c>
      <c r="AG8" s="20"/>
      <c r="AH8" s="20"/>
      <c r="AI8" s="38">
        <f>+SUM(AE8:AH8)</f>
        <v>40</v>
      </c>
      <c r="AL8" s="18" t="s">
        <v>636</v>
      </c>
      <c r="AM8" s="654">
        <f>SUM(AM13)*AM14</f>
        <v>20</v>
      </c>
      <c r="AN8" s="20"/>
      <c r="AO8" s="20"/>
      <c r="AP8" s="38">
        <f>+SUM(AL8:AO8)</f>
        <v>20</v>
      </c>
      <c r="AS8" s="18" t="s">
        <v>636</v>
      </c>
      <c r="AT8" s="654">
        <f>SUM(AT13)*AT14</f>
        <v>200</v>
      </c>
      <c r="AU8" s="20"/>
      <c r="AV8" s="20"/>
      <c r="AW8" s="38">
        <f>+SUM(AS8:AV8)</f>
        <v>200</v>
      </c>
      <c r="AZ8" s="18" t="s">
        <v>636</v>
      </c>
      <c r="BA8" s="654">
        <f>SUM(BA13)*BA14</f>
        <v>75</v>
      </c>
      <c r="BB8" s="20"/>
      <c r="BC8" s="20"/>
      <c r="BD8" s="38">
        <f>+SUM(AZ8:BC8)</f>
        <v>75</v>
      </c>
      <c r="BG8" s="18" t="s">
        <v>636</v>
      </c>
      <c r="BH8" s="654">
        <f>SUM(BH13)*BH14</f>
        <v>250</v>
      </c>
      <c r="BI8" s="20"/>
      <c r="BJ8" s="20"/>
      <c r="BK8" s="38">
        <f>+SUM(BG8:BJ8)</f>
        <v>250</v>
      </c>
      <c r="BN8" s="18" t="s">
        <v>636</v>
      </c>
      <c r="BO8" s="654">
        <f>SUM(BO13)*BO14</f>
        <v>100</v>
      </c>
      <c r="BP8" s="20"/>
      <c r="BQ8" s="20"/>
      <c r="BR8" s="38">
        <f>+SUM(BN8:BQ8)</f>
        <v>100</v>
      </c>
      <c r="BU8" s="18" t="s">
        <v>636</v>
      </c>
      <c r="BV8" s="654">
        <f>SUM(BV13)*BV14</f>
        <v>200</v>
      </c>
      <c r="BW8" s="20"/>
      <c r="BX8" s="20"/>
      <c r="BY8" s="38">
        <f>+SUM(BU8:BX8)</f>
        <v>200</v>
      </c>
      <c r="CB8" s="18" t="s">
        <v>741</v>
      </c>
      <c r="CC8" s="654">
        <f>SUM(CC13)*CC14</f>
        <v>2500</v>
      </c>
      <c r="CD8" s="20"/>
      <c r="CE8" s="20"/>
      <c r="CF8" s="38">
        <f>+SUM(CB8:CE8)</f>
        <v>2500</v>
      </c>
      <c r="CI8" s="18" t="s">
        <v>741</v>
      </c>
      <c r="CJ8" s="654">
        <f>SUM(CJ13)*CJ14</f>
        <v>10000</v>
      </c>
      <c r="CK8" s="20"/>
      <c r="CL8" s="20"/>
      <c r="CM8" s="38">
        <f>+SUM(CI8:CL8)</f>
        <v>10000</v>
      </c>
    </row>
    <row r="9" spans="3:91" x14ac:dyDescent="0.2">
      <c r="C9" s="11" t="s">
        <v>722</v>
      </c>
      <c r="D9" s="655">
        <f>SUM('Coûts de product° Agricole'!D19)*1000*657</f>
        <v>328500</v>
      </c>
      <c r="E9" s="22"/>
      <c r="F9" s="23"/>
      <c r="G9" s="14"/>
      <c r="J9" s="11" t="s">
        <v>723</v>
      </c>
      <c r="K9" s="655">
        <f>SUM('Coûts de product° Agricole'!D37)*1000*657</f>
        <v>854100</v>
      </c>
      <c r="L9" s="22"/>
      <c r="M9" s="23"/>
      <c r="N9" s="14"/>
      <c r="Q9" s="11" t="s">
        <v>724</v>
      </c>
      <c r="R9" s="655">
        <f>SUM('Coûts de product° Agricole'!D55)*1000*657</f>
        <v>183960</v>
      </c>
      <c r="S9" s="22"/>
      <c r="T9" s="23"/>
      <c r="U9" s="14"/>
      <c r="X9" s="11" t="s">
        <v>725</v>
      </c>
      <c r="Y9" s="655">
        <f>SUM('Coûts de product° Agricole'!D73)*1000*657</f>
        <v>361350</v>
      </c>
      <c r="Z9" s="22"/>
      <c r="AA9" s="23"/>
      <c r="AB9" s="14"/>
      <c r="AE9" s="11" t="s">
        <v>726</v>
      </c>
      <c r="AF9" s="655">
        <f>SUM('Coûts de product° Agricole'!D93)*1000*657</f>
        <v>229950</v>
      </c>
      <c r="AG9" s="22"/>
      <c r="AH9" s="23"/>
      <c r="AI9" s="14"/>
      <c r="AL9" s="11" t="s">
        <v>727</v>
      </c>
      <c r="AM9" s="655">
        <f>SUM('Coûts de product° Agricole'!D111)*1000*657</f>
        <v>308352</v>
      </c>
      <c r="AN9" s="22"/>
      <c r="AO9" s="23"/>
      <c r="AP9" s="14"/>
      <c r="AS9" s="11" t="s">
        <v>728</v>
      </c>
      <c r="AT9" s="655">
        <f>SUM('Coûts de product° Agricole'!D129)*1000*657</f>
        <v>262800</v>
      </c>
      <c r="AU9" s="22"/>
      <c r="AV9" s="23"/>
      <c r="AW9" s="14"/>
      <c r="AZ9" s="11" t="s">
        <v>726</v>
      </c>
      <c r="BA9" s="655">
        <f>SUM('Coûts de product° Agricole'!D147)*1000*657</f>
        <v>229950</v>
      </c>
      <c r="BB9" s="22"/>
      <c r="BC9" s="23"/>
      <c r="BD9" s="14"/>
      <c r="BG9" s="11" t="s">
        <v>729</v>
      </c>
      <c r="BH9" s="655">
        <f>SUM('Coûts de product° Agricole'!D165)*1000*657</f>
        <v>164250</v>
      </c>
      <c r="BI9" s="22"/>
      <c r="BJ9" s="23"/>
      <c r="BK9" s="14"/>
      <c r="BN9" s="11" t="s">
        <v>730</v>
      </c>
      <c r="BO9" s="655">
        <f>SUM('Coûts de product° Agricole'!D183)*1000*657</f>
        <v>131400</v>
      </c>
      <c r="BP9" s="22"/>
      <c r="BQ9" s="23"/>
      <c r="BR9" s="14"/>
      <c r="BU9" s="11" t="s">
        <v>731</v>
      </c>
      <c r="BV9" s="655">
        <f>SUM('Coûts de product° Agricole'!D201)*1000*657</f>
        <v>52560</v>
      </c>
      <c r="BW9" s="22"/>
      <c r="BX9" s="23"/>
      <c r="BY9" s="14"/>
      <c r="CB9" s="11" t="s">
        <v>742</v>
      </c>
      <c r="CC9" s="655">
        <v>0</v>
      </c>
      <c r="CD9" s="22"/>
      <c r="CE9" s="23"/>
      <c r="CF9" s="14"/>
      <c r="CI9" s="11" t="s">
        <v>742</v>
      </c>
      <c r="CJ9" s="655">
        <v>0</v>
      </c>
      <c r="CK9" s="22"/>
      <c r="CL9" s="23"/>
      <c r="CM9" s="14"/>
    </row>
    <row r="10" spans="3:91" x14ac:dyDescent="0.2">
      <c r="C10" s="6" t="s">
        <v>7</v>
      </c>
      <c r="D10" s="656">
        <f>+D9*D8</f>
        <v>17246250</v>
      </c>
      <c r="E10" s="24">
        <f>+E9*E8</f>
        <v>0</v>
      </c>
      <c r="F10" s="25">
        <f>+F9*F8</f>
        <v>0</v>
      </c>
      <c r="G10" s="14"/>
      <c r="J10" s="6" t="s">
        <v>7</v>
      </c>
      <c r="K10" s="656">
        <f>+K9*K8</f>
        <v>7686900</v>
      </c>
      <c r="L10" s="24">
        <f>+L9*L8</f>
        <v>0</v>
      </c>
      <c r="M10" s="25">
        <f>+M9*M8</f>
        <v>0</v>
      </c>
      <c r="N10" s="14"/>
      <c r="Q10" s="6" t="s">
        <v>7</v>
      </c>
      <c r="R10" s="656">
        <f>+R9*R8</f>
        <v>13797000</v>
      </c>
      <c r="S10" s="24">
        <f>+S9*S8</f>
        <v>0</v>
      </c>
      <c r="T10" s="25">
        <f>+T9*T8</f>
        <v>0</v>
      </c>
      <c r="U10" s="14"/>
      <c r="X10" s="6" t="s">
        <v>7</v>
      </c>
      <c r="Y10" s="656">
        <f>+Y9*Y8</f>
        <v>2890800</v>
      </c>
      <c r="Z10" s="24">
        <f>+Z9*Z8</f>
        <v>0</v>
      </c>
      <c r="AA10" s="25">
        <f>+AA9*AA8</f>
        <v>0</v>
      </c>
      <c r="AB10" s="14"/>
      <c r="AE10" s="6" t="s">
        <v>7</v>
      </c>
      <c r="AF10" s="656">
        <f>+AF9*AF8</f>
        <v>9198000</v>
      </c>
      <c r="AG10" s="24">
        <f>+AG9*AG8</f>
        <v>0</v>
      </c>
      <c r="AH10" s="25">
        <f>+AH9*AH8</f>
        <v>0</v>
      </c>
      <c r="AI10" s="14"/>
      <c r="AL10" s="6" t="s">
        <v>7</v>
      </c>
      <c r="AM10" s="656">
        <f>+AM9*AM8</f>
        <v>6167040</v>
      </c>
      <c r="AN10" s="24">
        <f>+AN9*AN8</f>
        <v>0</v>
      </c>
      <c r="AO10" s="25">
        <f>+AO9*AO8</f>
        <v>0</v>
      </c>
      <c r="AP10" s="14"/>
      <c r="AS10" s="6" t="s">
        <v>7</v>
      </c>
      <c r="AT10" s="656">
        <f>+AT9*AT8</f>
        <v>52560000</v>
      </c>
      <c r="AU10" s="24">
        <f>+AU9*AU8</f>
        <v>0</v>
      </c>
      <c r="AV10" s="25">
        <f>+AV9*AV8</f>
        <v>0</v>
      </c>
      <c r="AW10" s="14"/>
      <c r="AZ10" s="6" t="s">
        <v>7</v>
      </c>
      <c r="BA10" s="656">
        <f>+BA9*BA8</f>
        <v>17246250</v>
      </c>
      <c r="BB10" s="24">
        <f>+BB9*BB8</f>
        <v>0</v>
      </c>
      <c r="BC10" s="25">
        <f>+BC9*BC8</f>
        <v>0</v>
      </c>
      <c r="BD10" s="14"/>
      <c r="BG10" s="6" t="s">
        <v>7</v>
      </c>
      <c r="BH10" s="656">
        <f>+BH9*BH8</f>
        <v>41062500</v>
      </c>
      <c r="BI10" s="24">
        <f>+BI9*BI8</f>
        <v>0</v>
      </c>
      <c r="BJ10" s="25">
        <f>+BJ9*BJ8</f>
        <v>0</v>
      </c>
      <c r="BK10" s="14"/>
      <c r="BN10" s="6" t="s">
        <v>7</v>
      </c>
      <c r="BO10" s="656">
        <f>+BO9*BO8</f>
        <v>13140000</v>
      </c>
      <c r="BP10" s="24">
        <f>+BP9*BP8</f>
        <v>0</v>
      </c>
      <c r="BQ10" s="25">
        <f>+BQ9*BQ8</f>
        <v>0</v>
      </c>
      <c r="BR10" s="14"/>
      <c r="BU10" s="6" t="s">
        <v>7</v>
      </c>
      <c r="BV10" s="656">
        <f>+BV9*BV8</f>
        <v>10512000</v>
      </c>
      <c r="BW10" s="24">
        <f>+BW9*BW8</f>
        <v>0</v>
      </c>
      <c r="BX10" s="25">
        <f>+BX9*BX8</f>
        <v>0</v>
      </c>
      <c r="BY10" s="14"/>
      <c r="CB10" s="6" t="s">
        <v>7</v>
      </c>
      <c r="CC10" s="656">
        <f>+CC9*CC8</f>
        <v>0</v>
      </c>
      <c r="CD10" s="24">
        <f>+CD9*CD8</f>
        <v>0</v>
      </c>
      <c r="CE10" s="25">
        <f>+CE9*CE8</f>
        <v>0</v>
      </c>
      <c r="CF10" s="14"/>
      <c r="CI10" s="6" t="s">
        <v>7</v>
      </c>
      <c r="CJ10" s="656">
        <f>+CJ9*CJ8</f>
        <v>0</v>
      </c>
      <c r="CK10" s="24">
        <f>+CK9*CK8</f>
        <v>0</v>
      </c>
      <c r="CL10" s="25">
        <f>+CL9*CL8</f>
        <v>0</v>
      </c>
      <c r="CM10" s="14"/>
    </row>
    <row r="11" spans="3:91" x14ac:dyDescent="0.2">
      <c r="C11" s="16" t="s">
        <v>8</v>
      </c>
      <c r="D11" s="655">
        <f>+D10</f>
        <v>17246250</v>
      </c>
      <c r="E11" s="22">
        <f>+D11+E10</f>
        <v>17246250</v>
      </c>
      <c r="F11" s="23">
        <f>+E11+F10</f>
        <v>17246250</v>
      </c>
      <c r="G11" s="14"/>
      <c r="J11" s="16" t="s">
        <v>8</v>
      </c>
      <c r="K11" s="655">
        <f>+K10</f>
        <v>7686900</v>
      </c>
      <c r="L11" s="22">
        <f>+K11+L10</f>
        <v>7686900</v>
      </c>
      <c r="M11" s="23">
        <f>+L11+M10</f>
        <v>7686900</v>
      </c>
      <c r="N11" s="14"/>
      <c r="Q11" s="16" t="s">
        <v>8</v>
      </c>
      <c r="R11" s="655">
        <f>+R10</f>
        <v>13797000</v>
      </c>
      <c r="S11" s="22">
        <f>+R11+S10</f>
        <v>13797000</v>
      </c>
      <c r="T11" s="23">
        <f>+S11+T10</f>
        <v>13797000</v>
      </c>
      <c r="U11" s="14"/>
      <c r="X11" s="16" t="s">
        <v>8</v>
      </c>
      <c r="Y11" s="655">
        <f>+Y10</f>
        <v>2890800</v>
      </c>
      <c r="Z11" s="22">
        <f>+Y11+Z10</f>
        <v>2890800</v>
      </c>
      <c r="AA11" s="23">
        <f>+Z11+AA10</f>
        <v>2890800</v>
      </c>
      <c r="AB11" s="14"/>
      <c r="AE11" s="16" t="s">
        <v>8</v>
      </c>
      <c r="AF11" s="655">
        <f>+AF10</f>
        <v>9198000</v>
      </c>
      <c r="AG11" s="22">
        <f>+AF11+AG10</f>
        <v>9198000</v>
      </c>
      <c r="AH11" s="23">
        <f>+AG11+AH10</f>
        <v>9198000</v>
      </c>
      <c r="AI11" s="14"/>
      <c r="AL11" s="16" t="s">
        <v>8</v>
      </c>
      <c r="AM11" s="655">
        <f>+AM10</f>
        <v>6167040</v>
      </c>
      <c r="AN11" s="22">
        <f>+AM11+AN10</f>
        <v>6167040</v>
      </c>
      <c r="AO11" s="23">
        <f>+AN11+AO10</f>
        <v>6167040</v>
      </c>
      <c r="AP11" s="14"/>
      <c r="AS11" s="16" t="s">
        <v>8</v>
      </c>
      <c r="AT11" s="655">
        <f>+AT10</f>
        <v>52560000</v>
      </c>
      <c r="AU11" s="22">
        <f>+AT11+AU10</f>
        <v>52560000</v>
      </c>
      <c r="AV11" s="23">
        <f>+AU11+AV10</f>
        <v>52560000</v>
      </c>
      <c r="AW11" s="14"/>
      <c r="AZ11" s="16" t="s">
        <v>8</v>
      </c>
      <c r="BA11" s="655">
        <f>+BA10</f>
        <v>17246250</v>
      </c>
      <c r="BB11" s="22">
        <f>+BA11+BB10</f>
        <v>17246250</v>
      </c>
      <c r="BC11" s="23">
        <f>+BB11+BC10</f>
        <v>17246250</v>
      </c>
      <c r="BD11" s="14"/>
      <c r="BG11" s="16" t="s">
        <v>8</v>
      </c>
      <c r="BH11" s="655">
        <f>+BH10</f>
        <v>41062500</v>
      </c>
      <c r="BI11" s="22">
        <f>+BH11+BI10</f>
        <v>41062500</v>
      </c>
      <c r="BJ11" s="23">
        <f>+BI11+BJ10</f>
        <v>41062500</v>
      </c>
      <c r="BK11" s="14"/>
      <c r="BN11" s="16" t="s">
        <v>8</v>
      </c>
      <c r="BO11" s="655">
        <f>+BO10</f>
        <v>13140000</v>
      </c>
      <c r="BP11" s="22">
        <f>+BO11+BP10</f>
        <v>13140000</v>
      </c>
      <c r="BQ11" s="23">
        <f>+BP11+BQ10</f>
        <v>13140000</v>
      </c>
      <c r="BR11" s="14"/>
      <c r="BU11" s="16" t="s">
        <v>8</v>
      </c>
      <c r="BV11" s="655">
        <f>+BV10</f>
        <v>10512000</v>
      </c>
      <c r="BW11" s="22">
        <f>+BV11+BW10</f>
        <v>10512000</v>
      </c>
      <c r="BX11" s="23">
        <f>+BW11+BX10</f>
        <v>10512000</v>
      </c>
      <c r="BY11" s="14"/>
      <c r="CB11" s="16" t="s">
        <v>8</v>
      </c>
      <c r="CC11" s="655">
        <f>+CC10</f>
        <v>0</v>
      </c>
      <c r="CD11" s="22">
        <f>+CC11+CD10</f>
        <v>0</v>
      </c>
      <c r="CE11" s="23">
        <f>+CD11+CE10</f>
        <v>0</v>
      </c>
      <c r="CF11" s="14"/>
      <c r="CI11" s="16" t="s">
        <v>8</v>
      </c>
      <c r="CJ11" s="655">
        <f>+CJ10</f>
        <v>0</v>
      </c>
      <c r="CK11" s="22">
        <f>+CJ11+CK10</f>
        <v>0</v>
      </c>
      <c r="CL11" s="23">
        <f>+CK11+CL10</f>
        <v>0</v>
      </c>
      <c r="CM11" s="14"/>
    </row>
    <row r="12" spans="3:91" x14ac:dyDescent="0.2">
      <c r="C12" s="7"/>
      <c r="D12" s="656"/>
      <c r="E12" s="26"/>
      <c r="F12" s="27"/>
      <c r="G12" s="14"/>
      <c r="J12" s="7"/>
      <c r="K12" s="656"/>
      <c r="L12" s="26"/>
      <c r="M12" s="27"/>
      <c r="N12" s="14"/>
      <c r="Q12" s="7"/>
      <c r="R12" s="656"/>
      <c r="S12" s="26"/>
      <c r="T12" s="27"/>
      <c r="U12" s="14"/>
      <c r="X12" s="7"/>
      <c r="Y12" s="656"/>
      <c r="Z12" s="26"/>
      <c r="AA12" s="27"/>
      <c r="AB12" s="14"/>
      <c r="AE12" s="7"/>
      <c r="AF12" s="656"/>
      <c r="AG12" s="26"/>
      <c r="AH12" s="27"/>
      <c r="AI12" s="14"/>
      <c r="AL12" s="7"/>
      <c r="AM12" s="656"/>
      <c r="AN12" s="26"/>
      <c r="AO12" s="27"/>
      <c r="AP12" s="14"/>
      <c r="AS12" s="7"/>
      <c r="AT12" s="656"/>
      <c r="AU12" s="26"/>
      <c r="AV12" s="27"/>
      <c r="AW12" s="14"/>
      <c r="AZ12" s="7"/>
      <c r="BA12" s="656"/>
      <c r="BB12" s="26"/>
      <c r="BC12" s="27"/>
      <c r="BD12" s="14"/>
      <c r="BG12" s="7"/>
      <c r="BH12" s="656"/>
      <c r="BI12" s="26"/>
      <c r="BJ12" s="27"/>
      <c r="BK12" s="14"/>
      <c r="BN12" s="7"/>
      <c r="BO12" s="656"/>
      <c r="BP12" s="26"/>
      <c r="BQ12" s="27"/>
      <c r="BR12" s="14"/>
      <c r="BU12" s="7"/>
      <c r="BV12" s="656"/>
      <c r="BW12" s="26"/>
      <c r="BX12" s="27"/>
      <c r="BY12" s="14"/>
      <c r="CB12" s="7"/>
      <c r="CC12" s="656"/>
      <c r="CD12" s="26"/>
      <c r="CE12" s="27"/>
      <c r="CF12" s="14"/>
      <c r="CI12" s="7"/>
      <c r="CJ12" s="656"/>
      <c r="CK12" s="26"/>
      <c r="CL12" s="27"/>
      <c r="CM12" s="14"/>
    </row>
    <row r="13" spans="3:91" x14ac:dyDescent="0.2">
      <c r="C13" s="17" t="s">
        <v>628</v>
      </c>
      <c r="D13" s="669">
        <f>SUM('Coûts de product° Agricole'!D18)/1000</f>
        <v>2.625</v>
      </c>
      <c r="E13" s="26"/>
      <c r="F13" s="27"/>
      <c r="G13" s="14"/>
      <c r="J13" s="17" t="s">
        <v>628</v>
      </c>
      <c r="K13" s="669">
        <f>SUM('Coûts de product° Agricole'!D36)/1000</f>
        <v>0.9</v>
      </c>
      <c r="L13" s="26"/>
      <c r="M13" s="27"/>
      <c r="N13" s="14"/>
      <c r="Q13" s="17" t="s">
        <v>628</v>
      </c>
      <c r="R13" s="669">
        <f>SUM('Coûts de product° Agricole'!D54)/1000</f>
        <v>3.75</v>
      </c>
      <c r="S13" s="26"/>
      <c r="T13" s="27"/>
      <c r="U13" s="14"/>
      <c r="X13" s="17" t="s">
        <v>628</v>
      </c>
      <c r="Y13" s="669">
        <f>SUM('Coûts de product° Agricole'!D72)/1000</f>
        <v>0.8</v>
      </c>
      <c r="Z13" s="26"/>
      <c r="AA13" s="27"/>
      <c r="AB13" s="14"/>
      <c r="AE13" s="17" t="s">
        <v>628</v>
      </c>
      <c r="AF13" s="669">
        <f>SUM('Coûts de product° Agricole'!D92)/1000</f>
        <v>8</v>
      </c>
      <c r="AG13" s="26"/>
      <c r="AH13" s="27"/>
      <c r="AI13" s="14"/>
      <c r="AL13" s="17" t="s">
        <v>628</v>
      </c>
      <c r="AM13" s="669">
        <f>SUM('Coûts de product° Agricole'!D110)/1000</f>
        <v>2</v>
      </c>
      <c r="AN13" s="26"/>
      <c r="AO13" s="27"/>
      <c r="AP13" s="14"/>
      <c r="AS13" s="17" t="s">
        <v>628</v>
      </c>
      <c r="AT13" s="669">
        <f>SUM('Coûts de product° Agricole'!D128)/1000</f>
        <v>20</v>
      </c>
      <c r="AU13" s="26"/>
      <c r="AV13" s="27"/>
      <c r="AW13" s="14"/>
      <c r="AZ13" s="17" t="s">
        <v>628</v>
      </c>
      <c r="BA13" s="669">
        <f>SUM('Coûts de product° Agricole'!D146)/1000</f>
        <v>15</v>
      </c>
      <c r="BB13" s="26"/>
      <c r="BC13" s="27"/>
      <c r="BD13" s="14"/>
      <c r="BG13" s="17" t="s">
        <v>628</v>
      </c>
      <c r="BH13" s="669">
        <f>SUM('Coûts de product° Agricole'!D164)/1000</f>
        <v>25</v>
      </c>
      <c r="BI13" s="26"/>
      <c r="BJ13" s="27"/>
      <c r="BK13" s="14"/>
      <c r="BN13" s="17" t="s">
        <v>628</v>
      </c>
      <c r="BO13" s="669">
        <f>SUM('Coûts de product° Agricole'!D182)/1000</f>
        <v>20</v>
      </c>
      <c r="BP13" s="26"/>
      <c r="BQ13" s="27"/>
      <c r="BR13" s="14"/>
      <c r="BU13" s="17" t="s">
        <v>628</v>
      </c>
      <c r="BV13" s="669">
        <f>SUM('Coûts de product° Agricole'!D200)/1000</f>
        <v>20</v>
      </c>
      <c r="BW13" s="26"/>
      <c r="BX13" s="27"/>
      <c r="BY13" s="14"/>
      <c r="CB13" s="17" t="s">
        <v>816</v>
      </c>
      <c r="CC13" s="669">
        <v>500</v>
      </c>
      <c r="CD13" s="26"/>
      <c r="CE13" s="27"/>
      <c r="CF13" s="14"/>
      <c r="CI13" s="17" t="s">
        <v>816</v>
      </c>
      <c r="CJ13" s="669">
        <v>2000</v>
      </c>
      <c r="CK13" s="26"/>
      <c r="CL13" s="27"/>
      <c r="CM13" s="14"/>
    </row>
    <row r="14" spans="3:91" x14ac:dyDescent="0.2">
      <c r="C14" s="11" t="s">
        <v>629</v>
      </c>
      <c r="D14" s="655">
        <v>20</v>
      </c>
      <c r="E14" s="22"/>
      <c r="F14" s="23"/>
      <c r="G14" s="38"/>
      <c r="J14" s="11" t="s">
        <v>629</v>
      </c>
      <c r="K14" s="655">
        <v>10</v>
      </c>
      <c r="L14" s="22"/>
      <c r="M14" s="23"/>
      <c r="N14" s="38"/>
      <c r="Q14" s="11" t="s">
        <v>629</v>
      </c>
      <c r="R14" s="655">
        <v>20</v>
      </c>
      <c r="S14" s="22"/>
      <c r="T14" s="23"/>
      <c r="U14" s="38"/>
      <c r="X14" s="11" t="s">
        <v>629</v>
      </c>
      <c r="Y14" s="655">
        <v>10</v>
      </c>
      <c r="Z14" s="22"/>
      <c r="AA14" s="23"/>
      <c r="AB14" s="38"/>
      <c r="AE14" s="11" t="s">
        <v>629</v>
      </c>
      <c r="AF14" s="655">
        <v>5</v>
      </c>
      <c r="AG14" s="22"/>
      <c r="AH14" s="23"/>
      <c r="AI14" s="38"/>
      <c r="AL14" s="11" t="s">
        <v>629</v>
      </c>
      <c r="AM14" s="655">
        <v>10</v>
      </c>
      <c r="AN14" s="22"/>
      <c r="AO14" s="23"/>
      <c r="AP14" s="38"/>
      <c r="AS14" s="11" t="s">
        <v>629</v>
      </c>
      <c r="AT14" s="655">
        <v>10</v>
      </c>
      <c r="AU14" s="22"/>
      <c r="AV14" s="23"/>
      <c r="AW14" s="38"/>
      <c r="AZ14" s="11" t="s">
        <v>629</v>
      </c>
      <c r="BA14" s="655">
        <v>5</v>
      </c>
      <c r="BB14" s="22"/>
      <c r="BC14" s="23"/>
      <c r="BD14" s="38"/>
      <c r="BG14" s="11" t="s">
        <v>629</v>
      </c>
      <c r="BH14" s="655">
        <v>10</v>
      </c>
      <c r="BI14" s="22"/>
      <c r="BJ14" s="23"/>
      <c r="BK14" s="38"/>
      <c r="BN14" s="11" t="s">
        <v>629</v>
      </c>
      <c r="BO14" s="655">
        <v>5</v>
      </c>
      <c r="BP14" s="22"/>
      <c r="BQ14" s="23"/>
      <c r="BR14" s="38"/>
      <c r="BU14" s="11" t="s">
        <v>629</v>
      </c>
      <c r="BV14" s="655">
        <v>10</v>
      </c>
      <c r="BW14" s="22"/>
      <c r="BX14" s="23"/>
      <c r="BY14" s="38"/>
      <c r="CB14" s="11" t="s">
        <v>629</v>
      </c>
      <c r="CC14" s="655">
        <v>5</v>
      </c>
      <c r="CD14" s="22"/>
      <c r="CE14" s="23"/>
      <c r="CF14" s="38"/>
      <c r="CI14" s="11" t="s">
        <v>629</v>
      </c>
      <c r="CJ14" s="655">
        <v>5</v>
      </c>
      <c r="CK14" s="22"/>
      <c r="CL14" s="23"/>
      <c r="CM14" s="38"/>
    </row>
    <row r="15" spans="3:91" x14ac:dyDescent="0.2">
      <c r="C15" s="7"/>
      <c r="D15" s="656"/>
      <c r="E15" s="24"/>
      <c r="F15" s="25"/>
      <c r="G15" s="14"/>
      <c r="J15" s="7"/>
      <c r="K15" s="656"/>
      <c r="L15" s="24"/>
      <c r="M15" s="25"/>
      <c r="N15" s="14"/>
      <c r="Q15" s="7"/>
      <c r="R15" s="656"/>
      <c r="S15" s="24"/>
      <c r="T15" s="25"/>
      <c r="U15" s="14"/>
      <c r="X15" s="7"/>
      <c r="Y15" s="656"/>
      <c r="Z15" s="24"/>
      <c r="AA15" s="25"/>
      <c r="AB15" s="14"/>
      <c r="AE15" s="7"/>
      <c r="AF15" s="656"/>
      <c r="AG15" s="24"/>
      <c r="AH15" s="25"/>
      <c r="AI15" s="14"/>
      <c r="AL15" s="7"/>
      <c r="AM15" s="656"/>
      <c r="AN15" s="24"/>
      <c r="AO15" s="25"/>
      <c r="AP15" s="14"/>
      <c r="AS15" s="7"/>
      <c r="AT15" s="656"/>
      <c r="AU15" s="24"/>
      <c r="AV15" s="25"/>
      <c r="AW15" s="14"/>
      <c r="AZ15" s="7"/>
      <c r="BA15" s="656"/>
      <c r="BB15" s="24"/>
      <c r="BC15" s="25"/>
      <c r="BD15" s="14"/>
      <c r="BG15" s="7"/>
      <c r="BH15" s="656"/>
      <c r="BI15" s="24"/>
      <c r="BJ15" s="25"/>
      <c r="BK15" s="14"/>
      <c r="BN15" s="7"/>
      <c r="BO15" s="656"/>
      <c r="BP15" s="24"/>
      <c r="BQ15" s="25"/>
      <c r="BR15" s="14"/>
      <c r="BU15" s="7"/>
      <c r="BV15" s="656"/>
      <c r="BW15" s="24"/>
      <c r="BX15" s="25"/>
      <c r="BY15" s="14"/>
      <c r="CB15" s="7"/>
      <c r="CC15" s="656"/>
      <c r="CD15" s="24"/>
      <c r="CE15" s="25"/>
      <c r="CF15" s="14"/>
      <c r="CI15" s="7"/>
      <c r="CJ15" s="656"/>
      <c r="CK15" s="24"/>
      <c r="CL15" s="25"/>
      <c r="CM15" s="14"/>
    </row>
    <row r="16" spans="3:91" x14ac:dyDescent="0.2">
      <c r="C16" s="15"/>
      <c r="D16" s="655"/>
      <c r="E16" s="22"/>
      <c r="F16" s="23"/>
      <c r="G16" s="14"/>
      <c r="J16" s="15"/>
      <c r="K16" s="655"/>
      <c r="L16" s="22"/>
      <c r="M16" s="23"/>
      <c r="N16" s="14"/>
      <c r="Q16" s="15"/>
      <c r="R16" s="655"/>
      <c r="S16" s="22"/>
      <c r="T16" s="23"/>
      <c r="U16" s="14"/>
      <c r="X16" s="15"/>
      <c r="Y16" s="655"/>
      <c r="Z16" s="22"/>
      <c r="AA16" s="23"/>
      <c r="AB16" s="14"/>
      <c r="AE16" s="15"/>
      <c r="AF16" s="655"/>
      <c r="AG16" s="22"/>
      <c r="AH16" s="23"/>
      <c r="AI16" s="14"/>
      <c r="AL16" s="15"/>
      <c r="AM16" s="655"/>
      <c r="AN16" s="22"/>
      <c r="AO16" s="23"/>
      <c r="AP16" s="14"/>
      <c r="AS16" s="15"/>
      <c r="AT16" s="655"/>
      <c r="AU16" s="22"/>
      <c r="AV16" s="23"/>
      <c r="AW16" s="14"/>
      <c r="AZ16" s="15"/>
      <c r="BA16" s="655"/>
      <c r="BB16" s="22"/>
      <c r="BC16" s="23"/>
      <c r="BD16" s="14"/>
      <c r="BG16" s="15"/>
      <c r="BH16" s="655"/>
      <c r="BI16" s="22"/>
      <c r="BJ16" s="23"/>
      <c r="BK16" s="14"/>
      <c r="BN16" s="15"/>
      <c r="BO16" s="655"/>
      <c r="BP16" s="22"/>
      <c r="BQ16" s="23"/>
      <c r="BR16" s="14"/>
      <c r="BU16" s="15"/>
      <c r="BV16" s="655"/>
      <c r="BW16" s="22"/>
      <c r="BX16" s="23"/>
      <c r="BY16" s="14"/>
      <c r="CB16" s="15"/>
      <c r="CC16" s="655"/>
      <c r="CD16" s="22"/>
      <c r="CE16" s="23"/>
      <c r="CF16" s="14"/>
      <c r="CI16" s="15"/>
      <c r="CJ16" s="655"/>
      <c r="CK16" s="22"/>
      <c r="CL16" s="23"/>
      <c r="CM16" s="14"/>
    </row>
    <row r="17" spans="3:92" x14ac:dyDescent="0.2">
      <c r="C17" s="12"/>
      <c r="D17" s="657"/>
      <c r="E17" s="28"/>
      <c r="F17" s="29"/>
      <c r="G17" s="14"/>
      <c r="J17" s="12"/>
      <c r="K17" s="657"/>
      <c r="L17" s="28"/>
      <c r="M17" s="29"/>
      <c r="N17" s="14"/>
      <c r="Q17" s="12"/>
      <c r="R17" s="657"/>
      <c r="S17" s="28"/>
      <c r="T17" s="29"/>
      <c r="U17" s="14"/>
      <c r="X17" s="12"/>
      <c r="Y17" s="657"/>
      <c r="Z17" s="28"/>
      <c r="AA17" s="29"/>
      <c r="AB17" s="14"/>
      <c r="AE17" s="12"/>
      <c r="AF17" s="657"/>
      <c r="AG17" s="28"/>
      <c r="AH17" s="29"/>
      <c r="AI17" s="14"/>
      <c r="AL17" s="12"/>
      <c r="AM17" s="657"/>
      <c r="AN17" s="28"/>
      <c r="AO17" s="29"/>
      <c r="AP17" s="14"/>
      <c r="AS17" s="12"/>
      <c r="AT17" s="657"/>
      <c r="AU17" s="28"/>
      <c r="AV17" s="29"/>
      <c r="AW17" s="14"/>
      <c r="AZ17" s="12"/>
      <c r="BA17" s="657"/>
      <c r="BB17" s="28"/>
      <c r="BC17" s="29"/>
      <c r="BD17" s="14"/>
      <c r="BG17" s="12"/>
      <c r="BH17" s="657"/>
      <c r="BI17" s="28"/>
      <c r="BJ17" s="29"/>
      <c r="BK17" s="14"/>
      <c r="BN17" s="12"/>
      <c r="BO17" s="657"/>
      <c r="BP17" s="28"/>
      <c r="BQ17" s="29"/>
      <c r="BR17" s="14"/>
      <c r="BU17" s="12"/>
      <c r="BV17" s="657"/>
      <c r="BW17" s="28"/>
      <c r="BX17" s="29"/>
      <c r="BY17" s="14"/>
      <c r="CB17" s="12"/>
      <c r="CC17" s="657"/>
      <c r="CD17" s="28"/>
      <c r="CE17" s="29"/>
      <c r="CF17" s="14"/>
      <c r="CI17" s="12"/>
      <c r="CJ17" s="657"/>
      <c r="CK17" s="28"/>
      <c r="CL17" s="29"/>
      <c r="CM17" s="14"/>
    </row>
    <row r="18" spans="3:92" x14ac:dyDescent="0.2">
      <c r="C18" s="7"/>
      <c r="D18" s="656"/>
      <c r="E18" s="26"/>
      <c r="F18" s="27"/>
      <c r="G18" s="14"/>
      <c r="J18" s="7"/>
      <c r="K18" s="656"/>
      <c r="L18" s="26"/>
      <c r="M18" s="27"/>
      <c r="N18" s="14"/>
      <c r="Q18" s="7"/>
      <c r="R18" s="656"/>
      <c r="S18" s="26"/>
      <c r="T18" s="27"/>
      <c r="U18" s="14"/>
      <c r="X18" s="7"/>
      <c r="Y18" s="656"/>
      <c r="Z18" s="26"/>
      <c r="AA18" s="27"/>
      <c r="AB18" s="14"/>
      <c r="AE18" s="7"/>
      <c r="AF18" s="656"/>
      <c r="AG18" s="26"/>
      <c r="AH18" s="27"/>
      <c r="AI18" s="14"/>
      <c r="AL18" s="7"/>
      <c r="AM18" s="656"/>
      <c r="AN18" s="26"/>
      <c r="AO18" s="27"/>
      <c r="AP18" s="14"/>
      <c r="AS18" s="7"/>
      <c r="AT18" s="656"/>
      <c r="AU18" s="26"/>
      <c r="AV18" s="27"/>
      <c r="AW18" s="14"/>
      <c r="AZ18" s="7"/>
      <c r="BA18" s="656"/>
      <c r="BB18" s="26"/>
      <c r="BC18" s="27"/>
      <c r="BD18" s="14"/>
      <c r="BG18" s="7"/>
      <c r="BH18" s="656"/>
      <c r="BI18" s="26"/>
      <c r="BJ18" s="27"/>
      <c r="BK18" s="14"/>
      <c r="BN18" s="7"/>
      <c r="BO18" s="656"/>
      <c r="BP18" s="26"/>
      <c r="BQ18" s="27"/>
      <c r="BR18" s="14"/>
      <c r="BU18" s="7"/>
      <c r="BV18" s="656"/>
      <c r="BW18" s="26"/>
      <c r="BX18" s="27"/>
      <c r="BY18" s="14"/>
      <c r="CB18" s="7"/>
      <c r="CC18" s="656"/>
      <c r="CD18" s="26"/>
      <c r="CE18" s="27"/>
      <c r="CF18" s="14"/>
      <c r="CI18" s="7"/>
      <c r="CJ18" s="656"/>
      <c r="CK18" s="26"/>
      <c r="CL18" s="27"/>
      <c r="CM18" s="14"/>
    </row>
    <row r="19" spans="3:92" x14ac:dyDescent="0.2">
      <c r="C19" s="17" t="s">
        <v>732</v>
      </c>
      <c r="D19" s="656"/>
      <c r="E19" s="26"/>
      <c r="F19" s="27"/>
      <c r="G19" s="14"/>
      <c r="J19" s="17" t="s">
        <v>732</v>
      </c>
      <c r="K19" s="656"/>
      <c r="L19" s="26"/>
      <c r="M19" s="27"/>
      <c r="N19" s="14"/>
      <c r="Q19" s="17" t="s">
        <v>732</v>
      </c>
      <c r="R19" s="656"/>
      <c r="S19" s="26"/>
      <c r="T19" s="27"/>
      <c r="U19" s="14"/>
      <c r="X19" s="17" t="s">
        <v>732</v>
      </c>
      <c r="Y19" s="656"/>
      <c r="Z19" s="26"/>
      <c r="AA19" s="27"/>
      <c r="AB19" s="14"/>
      <c r="AE19" s="17" t="s">
        <v>732</v>
      </c>
      <c r="AF19" s="656"/>
      <c r="AG19" s="26"/>
      <c r="AH19" s="27"/>
      <c r="AI19" s="14"/>
      <c r="AL19" s="17" t="s">
        <v>732</v>
      </c>
      <c r="AM19" s="656"/>
      <c r="AN19" s="26"/>
      <c r="AO19" s="27"/>
      <c r="AP19" s="14"/>
      <c r="AS19" s="17" t="s">
        <v>732</v>
      </c>
      <c r="AT19" s="656"/>
      <c r="AU19" s="26"/>
      <c r="AV19" s="27"/>
      <c r="AW19" s="14"/>
      <c r="AZ19" s="17" t="s">
        <v>732</v>
      </c>
      <c r="BA19" s="656"/>
      <c r="BB19" s="26"/>
      <c r="BC19" s="27"/>
      <c r="BD19" s="14"/>
      <c r="BG19" s="17" t="s">
        <v>732</v>
      </c>
      <c r="BH19" s="656"/>
      <c r="BI19" s="26"/>
      <c r="BJ19" s="27"/>
      <c r="BK19" s="14"/>
      <c r="BN19" s="17" t="s">
        <v>732</v>
      </c>
      <c r="BO19" s="656"/>
      <c r="BP19" s="26"/>
      <c r="BQ19" s="27"/>
      <c r="BR19" s="14"/>
      <c r="BU19" s="17" t="s">
        <v>732</v>
      </c>
      <c r="BV19" s="656"/>
      <c r="BW19" s="26"/>
      <c r="BX19" s="27"/>
      <c r="BY19" s="14"/>
      <c r="CB19" s="17" t="s">
        <v>732</v>
      </c>
      <c r="CC19" s="656"/>
      <c r="CD19" s="26"/>
      <c r="CE19" s="27"/>
      <c r="CF19" s="14"/>
      <c r="CI19" s="17" t="s">
        <v>732</v>
      </c>
      <c r="CJ19" s="656"/>
      <c r="CK19" s="26"/>
      <c r="CL19" s="27"/>
      <c r="CM19" s="14"/>
    </row>
    <row r="20" spans="3:92" x14ac:dyDescent="0.2">
      <c r="C20" s="11" t="s">
        <v>630</v>
      </c>
      <c r="D20" s="655">
        <f>SUM(D8)*2</f>
        <v>105</v>
      </c>
      <c r="E20" s="22"/>
      <c r="F20" s="23">
        <v>0</v>
      </c>
      <c r="G20" s="38">
        <f>+SUM(C20:F20)</f>
        <v>105</v>
      </c>
      <c r="J20" s="11" t="s">
        <v>630</v>
      </c>
      <c r="K20" s="655">
        <f>SUM(K8)*2</f>
        <v>18</v>
      </c>
      <c r="L20" s="22"/>
      <c r="M20" s="23">
        <v>0</v>
      </c>
      <c r="N20" s="38">
        <f>+SUM(J20:M20)</f>
        <v>18</v>
      </c>
      <c r="Q20" s="11" t="s">
        <v>630</v>
      </c>
      <c r="R20" s="655">
        <f>SUM(R8)*2</f>
        <v>150</v>
      </c>
      <c r="S20" s="22"/>
      <c r="T20" s="23">
        <v>0</v>
      </c>
      <c r="U20" s="38">
        <f>+SUM(Q20:T20)</f>
        <v>150</v>
      </c>
      <c r="X20" s="11" t="s">
        <v>630</v>
      </c>
      <c r="Y20" s="655">
        <f>SUM(Y8)*2</f>
        <v>16</v>
      </c>
      <c r="Z20" s="22"/>
      <c r="AA20" s="23">
        <v>0</v>
      </c>
      <c r="AB20" s="38">
        <f>+SUM(X20:AA20)</f>
        <v>16</v>
      </c>
      <c r="AE20" s="11" t="s">
        <v>630</v>
      </c>
      <c r="AF20" s="655">
        <f>SUM(AF8)*2</f>
        <v>80</v>
      </c>
      <c r="AG20" s="22"/>
      <c r="AH20" s="23">
        <v>0</v>
      </c>
      <c r="AI20" s="38">
        <f>+SUM(AE20:AH20)</f>
        <v>80</v>
      </c>
      <c r="AL20" s="11" t="s">
        <v>630</v>
      </c>
      <c r="AM20" s="655">
        <f>SUM(AM8)*2</f>
        <v>40</v>
      </c>
      <c r="AN20" s="22"/>
      <c r="AO20" s="23">
        <v>0</v>
      </c>
      <c r="AP20" s="38">
        <f>+SUM(AL20:AO20)</f>
        <v>40</v>
      </c>
      <c r="AS20" s="11" t="s">
        <v>630</v>
      </c>
      <c r="AT20" s="655">
        <f>SUM(AT8)</f>
        <v>200</v>
      </c>
      <c r="AU20" s="22"/>
      <c r="AV20" s="23">
        <v>0</v>
      </c>
      <c r="AW20" s="38">
        <f>+SUM(AS20:AV20)</f>
        <v>200</v>
      </c>
      <c r="AZ20" s="11" t="s">
        <v>630</v>
      </c>
      <c r="BA20" s="655">
        <f>SUM(BA8)</f>
        <v>75</v>
      </c>
      <c r="BB20" s="22"/>
      <c r="BC20" s="23">
        <v>0</v>
      </c>
      <c r="BD20" s="38">
        <f>+SUM(AZ20:BC20)</f>
        <v>75</v>
      </c>
      <c r="BG20" s="11" t="s">
        <v>630</v>
      </c>
      <c r="BH20" s="655">
        <f>SUM(BH8)</f>
        <v>250</v>
      </c>
      <c r="BI20" s="22"/>
      <c r="BJ20" s="23">
        <v>0</v>
      </c>
      <c r="BK20" s="38">
        <f>+SUM(BG20:BJ20)</f>
        <v>250</v>
      </c>
      <c r="BN20" s="11" t="s">
        <v>630</v>
      </c>
      <c r="BO20" s="655">
        <f>SUM(BO8)</f>
        <v>100</v>
      </c>
      <c r="BP20" s="22"/>
      <c r="BQ20" s="23">
        <v>0</v>
      </c>
      <c r="BR20" s="38">
        <f>+SUM(BN20:BQ20)</f>
        <v>100</v>
      </c>
      <c r="BU20" s="11" t="s">
        <v>630</v>
      </c>
      <c r="BV20" s="655">
        <f>SUM(BV8)</f>
        <v>200</v>
      </c>
      <c r="BW20" s="22"/>
      <c r="BX20" s="23">
        <v>0</v>
      </c>
      <c r="BY20" s="38">
        <f>+SUM(BU20:BX20)</f>
        <v>200</v>
      </c>
      <c r="CB20" s="11" t="s">
        <v>630</v>
      </c>
      <c r="CC20" s="655"/>
      <c r="CD20" s="22"/>
      <c r="CE20" s="23">
        <v>0</v>
      </c>
      <c r="CF20" s="38">
        <f>+SUM(CB20:CE20)</f>
        <v>0</v>
      </c>
      <c r="CI20" s="11" t="s">
        <v>630</v>
      </c>
      <c r="CJ20" s="655"/>
      <c r="CK20" s="22"/>
      <c r="CL20" s="23">
        <v>0</v>
      </c>
      <c r="CM20" s="38">
        <f>+SUM(CI20:CL20)</f>
        <v>0</v>
      </c>
    </row>
    <row r="21" spans="3:92" x14ac:dyDescent="0.2">
      <c r="C21" s="7" t="s">
        <v>19</v>
      </c>
      <c r="D21" s="656">
        <v>25000</v>
      </c>
      <c r="E21" s="24"/>
      <c r="F21" s="25">
        <v>0</v>
      </c>
      <c r="G21" s="14"/>
      <c r="J21" s="7" t="s">
        <v>19</v>
      </c>
      <c r="K21" s="656">
        <v>25000</v>
      </c>
      <c r="L21" s="24"/>
      <c r="M21" s="25">
        <v>0</v>
      </c>
      <c r="N21" s="14"/>
      <c r="Q21" s="7" t="s">
        <v>19</v>
      </c>
      <c r="R21" s="656">
        <v>25000</v>
      </c>
      <c r="S21" s="24"/>
      <c r="T21" s="25">
        <v>0</v>
      </c>
      <c r="U21" s="14"/>
      <c r="X21" s="7" t="s">
        <v>19</v>
      </c>
      <c r="Y21" s="656">
        <v>25000</v>
      </c>
      <c r="Z21" s="24"/>
      <c r="AA21" s="25">
        <v>0</v>
      </c>
      <c r="AB21" s="14"/>
      <c r="AE21" s="7" t="s">
        <v>19</v>
      </c>
      <c r="AF21" s="656">
        <v>25000</v>
      </c>
      <c r="AG21" s="24"/>
      <c r="AH21" s="25">
        <v>0</v>
      </c>
      <c r="AI21" s="14"/>
      <c r="AL21" s="7" t="s">
        <v>19</v>
      </c>
      <c r="AM21" s="656">
        <v>25000</v>
      </c>
      <c r="AN21" s="24"/>
      <c r="AO21" s="25">
        <v>0</v>
      </c>
      <c r="AP21" s="14"/>
      <c r="AS21" s="7" t="s">
        <v>19</v>
      </c>
      <c r="AT21" s="656">
        <v>2000</v>
      </c>
      <c r="AU21" s="24"/>
      <c r="AV21" s="25">
        <v>0</v>
      </c>
      <c r="AW21" s="14"/>
      <c r="AZ21" s="7" t="s">
        <v>19</v>
      </c>
      <c r="BA21" s="656">
        <v>2000</v>
      </c>
      <c r="BB21" s="24"/>
      <c r="BC21" s="25">
        <v>0</v>
      </c>
      <c r="BD21" s="14"/>
      <c r="BG21" s="7" t="s">
        <v>19</v>
      </c>
      <c r="BH21" s="656">
        <v>2000</v>
      </c>
      <c r="BI21" s="24"/>
      <c r="BJ21" s="25">
        <v>0</v>
      </c>
      <c r="BK21" s="14"/>
      <c r="BN21" s="7" t="s">
        <v>19</v>
      </c>
      <c r="BO21" s="656">
        <v>2000</v>
      </c>
      <c r="BP21" s="24"/>
      <c r="BQ21" s="25">
        <v>0</v>
      </c>
      <c r="BR21" s="14"/>
      <c r="BU21" s="7" t="s">
        <v>19</v>
      </c>
      <c r="BV21" s="656">
        <v>2000</v>
      </c>
      <c r="BW21" s="24"/>
      <c r="BX21" s="25">
        <v>0</v>
      </c>
      <c r="BY21" s="14"/>
      <c r="CB21" s="7" t="s">
        <v>19</v>
      </c>
      <c r="CC21" s="656">
        <v>2000</v>
      </c>
      <c r="CD21" s="24"/>
      <c r="CE21" s="25">
        <v>0</v>
      </c>
      <c r="CF21" s="14"/>
      <c r="CI21" s="7" t="s">
        <v>19</v>
      </c>
      <c r="CJ21" s="656">
        <v>2000</v>
      </c>
      <c r="CK21" s="24"/>
      <c r="CL21" s="25">
        <v>0</v>
      </c>
      <c r="CM21" s="14"/>
    </row>
    <row r="22" spans="3:92" x14ac:dyDescent="0.2">
      <c r="C22" s="15" t="s">
        <v>7</v>
      </c>
      <c r="D22" s="658">
        <f>+D21*D20</f>
        <v>2625000</v>
      </c>
      <c r="E22" s="30"/>
      <c r="F22" s="31">
        <f>+F21*F20</f>
        <v>0</v>
      </c>
      <c r="G22" s="14"/>
      <c r="J22" s="15" t="s">
        <v>7</v>
      </c>
      <c r="K22" s="658">
        <f>+K21*K20</f>
        <v>450000</v>
      </c>
      <c r="L22" s="30"/>
      <c r="M22" s="31">
        <f>+M21*M20</f>
        <v>0</v>
      </c>
      <c r="N22" s="14"/>
      <c r="Q22" s="15" t="s">
        <v>7</v>
      </c>
      <c r="R22" s="658">
        <f>+R21*R20</f>
        <v>3750000</v>
      </c>
      <c r="S22" s="30"/>
      <c r="T22" s="31">
        <f>+T21*T20</f>
        <v>0</v>
      </c>
      <c r="U22" s="14"/>
      <c r="X22" s="15" t="s">
        <v>7</v>
      </c>
      <c r="Y22" s="658">
        <f>+Y21*Y20</f>
        <v>400000</v>
      </c>
      <c r="Z22" s="30"/>
      <c r="AA22" s="31">
        <f>+AA21*AA20</f>
        <v>0</v>
      </c>
      <c r="AB22" s="14"/>
      <c r="AE22" s="15" t="s">
        <v>7</v>
      </c>
      <c r="AF22" s="658">
        <f>+AF21*AF20</f>
        <v>2000000</v>
      </c>
      <c r="AG22" s="30"/>
      <c r="AH22" s="31">
        <f>+AH21*AH20</f>
        <v>0</v>
      </c>
      <c r="AI22" s="14"/>
      <c r="AL22" s="15" t="s">
        <v>7</v>
      </c>
      <c r="AM22" s="658">
        <f>+AM21*AM20</f>
        <v>1000000</v>
      </c>
      <c r="AN22" s="30"/>
      <c r="AO22" s="31">
        <f>+AO21*AO20</f>
        <v>0</v>
      </c>
      <c r="AP22" s="14"/>
      <c r="AS22" s="15" t="s">
        <v>7</v>
      </c>
      <c r="AT22" s="658">
        <f>+AT21*AT20</f>
        <v>400000</v>
      </c>
      <c r="AU22" s="30"/>
      <c r="AV22" s="31">
        <f>+AV21*AV20</f>
        <v>0</v>
      </c>
      <c r="AW22" s="14"/>
      <c r="AZ22" s="15" t="s">
        <v>7</v>
      </c>
      <c r="BA22" s="658">
        <f>+BA21*BA20</f>
        <v>150000</v>
      </c>
      <c r="BB22" s="30"/>
      <c r="BC22" s="31">
        <f>+BC21*BC20</f>
        <v>0</v>
      </c>
      <c r="BD22" s="14"/>
      <c r="BG22" s="15" t="s">
        <v>7</v>
      </c>
      <c r="BH22" s="658">
        <f>+BH21*BH20</f>
        <v>500000</v>
      </c>
      <c r="BI22" s="30"/>
      <c r="BJ22" s="31">
        <f>+BJ21*BJ20</f>
        <v>0</v>
      </c>
      <c r="BK22" s="14"/>
      <c r="BN22" s="15" t="s">
        <v>7</v>
      </c>
      <c r="BO22" s="658">
        <f>+BO21*BO20</f>
        <v>200000</v>
      </c>
      <c r="BP22" s="30"/>
      <c r="BQ22" s="31">
        <f>+BQ21*BQ20</f>
        <v>0</v>
      </c>
      <c r="BR22" s="14"/>
      <c r="BU22" s="15" t="s">
        <v>7</v>
      </c>
      <c r="BV22" s="658">
        <f>+BV21*BV20</f>
        <v>400000</v>
      </c>
      <c r="BW22" s="30"/>
      <c r="BX22" s="31">
        <f>+BX21*BX20</f>
        <v>0</v>
      </c>
      <c r="BY22" s="14"/>
      <c r="CB22" s="15" t="s">
        <v>7</v>
      </c>
      <c r="CC22" s="658">
        <f>+CC21*CC20</f>
        <v>0</v>
      </c>
      <c r="CD22" s="30"/>
      <c r="CE22" s="31">
        <f>+CE21*CE20</f>
        <v>0</v>
      </c>
      <c r="CF22" s="14"/>
      <c r="CI22" s="15" t="s">
        <v>7</v>
      </c>
      <c r="CJ22" s="658">
        <f>+CJ21*CJ20</f>
        <v>0</v>
      </c>
      <c r="CK22" s="30"/>
      <c r="CL22" s="31">
        <f>+CL21*CL20</f>
        <v>0</v>
      </c>
      <c r="CM22" s="14"/>
    </row>
    <row r="23" spans="3:92" x14ac:dyDescent="0.2">
      <c r="C23" s="12" t="s">
        <v>8</v>
      </c>
      <c r="D23" s="659">
        <f>+D22</f>
        <v>2625000</v>
      </c>
      <c r="E23" s="32">
        <f>+D23+E22</f>
        <v>2625000</v>
      </c>
      <c r="F23" s="33">
        <f>+E23+F22</f>
        <v>2625000</v>
      </c>
      <c r="G23" s="14"/>
      <c r="J23" s="12" t="s">
        <v>8</v>
      </c>
      <c r="K23" s="659">
        <f>+K22</f>
        <v>450000</v>
      </c>
      <c r="L23" s="32">
        <f>+K23+L22</f>
        <v>450000</v>
      </c>
      <c r="M23" s="33">
        <f>+L23+M22</f>
        <v>450000</v>
      </c>
      <c r="N23" s="14"/>
      <c r="Q23" s="12" t="s">
        <v>8</v>
      </c>
      <c r="R23" s="659">
        <f>+R22</f>
        <v>3750000</v>
      </c>
      <c r="S23" s="32">
        <f>+R23+S22</f>
        <v>3750000</v>
      </c>
      <c r="T23" s="33">
        <f>+S23+T22</f>
        <v>3750000</v>
      </c>
      <c r="U23" s="14"/>
      <c r="X23" s="12" t="s">
        <v>8</v>
      </c>
      <c r="Y23" s="659">
        <f>+Y22</f>
        <v>400000</v>
      </c>
      <c r="Z23" s="32">
        <f>+Y23+Z22</f>
        <v>400000</v>
      </c>
      <c r="AA23" s="33">
        <f>+Z23+AA22</f>
        <v>400000</v>
      </c>
      <c r="AB23" s="14"/>
      <c r="AE23" s="12" t="s">
        <v>8</v>
      </c>
      <c r="AF23" s="659">
        <f>+AF22</f>
        <v>2000000</v>
      </c>
      <c r="AG23" s="32">
        <f>+AF23+AG22</f>
        <v>2000000</v>
      </c>
      <c r="AH23" s="33">
        <f>+AG23+AH22</f>
        <v>2000000</v>
      </c>
      <c r="AI23" s="14"/>
      <c r="AL23" s="12" t="s">
        <v>8</v>
      </c>
      <c r="AM23" s="659">
        <f>+AM22</f>
        <v>1000000</v>
      </c>
      <c r="AN23" s="32">
        <f>+AM23+AN22</f>
        <v>1000000</v>
      </c>
      <c r="AO23" s="33">
        <f>+AN23+AO22</f>
        <v>1000000</v>
      </c>
      <c r="AP23" s="14"/>
      <c r="AS23" s="12" t="s">
        <v>8</v>
      </c>
      <c r="AT23" s="659">
        <f>+AT22</f>
        <v>400000</v>
      </c>
      <c r="AU23" s="32">
        <f>+AT23+AU22</f>
        <v>400000</v>
      </c>
      <c r="AV23" s="33">
        <f>+AU23+AV22</f>
        <v>400000</v>
      </c>
      <c r="AW23" s="14"/>
      <c r="AZ23" s="12" t="s">
        <v>8</v>
      </c>
      <c r="BA23" s="659">
        <f>+BA22</f>
        <v>150000</v>
      </c>
      <c r="BB23" s="32">
        <f>+BA23+BB22</f>
        <v>150000</v>
      </c>
      <c r="BC23" s="33">
        <f>+BB23+BC22</f>
        <v>150000</v>
      </c>
      <c r="BD23" s="14"/>
      <c r="BG23" s="12" t="s">
        <v>8</v>
      </c>
      <c r="BH23" s="659">
        <f>+BH22</f>
        <v>500000</v>
      </c>
      <c r="BI23" s="32">
        <f>+BH23+BI22</f>
        <v>500000</v>
      </c>
      <c r="BJ23" s="33">
        <f>+BI23+BJ22</f>
        <v>500000</v>
      </c>
      <c r="BK23" s="14"/>
      <c r="BN23" s="12" t="s">
        <v>8</v>
      </c>
      <c r="BO23" s="659">
        <f>+BO22</f>
        <v>200000</v>
      </c>
      <c r="BP23" s="32">
        <f>+BO23+BP22</f>
        <v>200000</v>
      </c>
      <c r="BQ23" s="33">
        <f>+BP23+BQ22</f>
        <v>200000</v>
      </c>
      <c r="BR23" s="14"/>
      <c r="BU23" s="12" t="s">
        <v>8</v>
      </c>
      <c r="BV23" s="659">
        <f>+BV22</f>
        <v>400000</v>
      </c>
      <c r="BW23" s="32">
        <f>+BV23+BW22</f>
        <v>400000</v>
      </c>
      <c r="BX23" s="33">
        <f>+BW23+BX22</f>
        <v>400000</v>
      </c>
      <c r="BY23" s="14"/>
      <c r="CB23" s="12" t="s">
        <v>8</v>
      </c>
      <c r="CC23" s="659">
        <f>+CC22</f>
        <v>0</v>
      </c>
      <c r="CD23" s="32">
        <f>+CC23+CD22</f>
        <v>0</v>
      </c>
      <c r="CE23" s="33">
        <f>+CD23+CE22</f>
        <v>0</v>
      </c>
      <c r="CF23" s="14"/>
      <c r="CI23" s="12" t="s">
        <v>8</v>
      </c>
      <c r="CJ23" s="659">
        <f>+CJ22</f>
        <v>0</v>
      </c>
      <c r="CK23" s="32">
        <f>+CJ23+CK22</f>
        <v>0</v>
      </c>
      <c r="CL23" s="33">
        <f>+CK23+CL22</f>
        <v>0</v>
      </c>
      <c r="CM23" s="14"/>
    </row>
    <row r="24" spans="3:92" x14ac:dyDescent="0.2">
      <c r="C24" s="8"/>
      <c r="D24" s="660"/>
      <c r="E24" s="34"/>
      <c r="F24" s="35"/>
      <c r="G24" s="14"/>
      <c r="J24" s="8"/>
      <c r="K24" s="660"/>
      <c r="L24" s="34"/>
      <c r="M24" s="35"/>
      <c r="N24" s="14"/>
      <c r="Q24" s="8"/>
      <c r="R24" s="660"/>
      <c r="S24" s="34"/>
      <c r="T24" s="35"/>
      <c r="U24" s="14"/>
      <c r="X24" s="8"/>
      <c r="Y24" s="660"/>
      <c r="Z24" s="34"/>
      <c r="AA24" s="35"/>
      <c r="AB24" s="14"/>
      <c r="AE24" s="8"/>
      <c r="AF24" s="660"/>
      <c r="AG24" s="34"/>
      <c r="AH24" s="35"/>
      <c r="AI24" s="14"/>
      <c r="AL24" s="8"/>
      <c r="AM24" s="660"/>
      <c r="AN24" s="34"/>
      <c r="AO24" s="35"/>
      <c r="AP24" s="14"/>
      <c r="AS24" s="8"/>
      <c r="AT24" s="660"/>
      <c r="AU24" s="34"/>
      <c r="AV24" s="35"/>
      <c r="AW24" s="14"/>
      <c r="AZ24" s="8"/>
      <c r="BA24" s="660"/>
      <c r="BB24" s="34"/>
      <c r="BC24" s="35"/>
      <c r="BD24" s="14"/>
      <c r="BG24" s="8"/>
      <c r="BH24" s="660"/>
      <c r="BI24" s="34"/>
      <c r="BJ24" s="35"/>
      <c r="BK24" s="14"/>
      <c r="BN24" s="8"/>
      <c r="BO24" s="660"/>
      <c r="BP24" s="34"/>
      <c r="BQ24" s="35"/>
      <c r="BR24" s="14"/>
      <c r="BU24" s="8"/>
      <c r="BV24" s="660"/>
      <c r="BW24" s="34"/>
      <c r="BX24" s="35"/>
      <c r="BY24" s="14"/>
      <c r="CB24" s="8"/>
      <c r="CC24" s="660"/>
      <c r="CD24" s="34"/>
      <c r="CE24" s="35"/>
      <c r="CF24" s="14"/>
      <c r="CI24" s="8"/>
      <c r="CJ24" s="660"/>
      <c r="CK24" s="34"/>
      <c r="CL24" s="35"/>
      <c r="CM24" s="14"/>
    </row>
    <row r="25" spans="3:92" x14ac:dyDescent="0.2">
      <c r="C25" s="13" t="s">
        <v>15</v>
      </c>
      <c r="D25" s="661">
        <f>+D10+D16+D22</f>
        <v>19871250</v>
      </c>
      <c r="E25" s="36">
        <f>+E22+E16+E10</f>
        <v>0</v>
      </c>
      <c r="F25" s="36">
        <f>+F22+F16+F10</f>
        <v>0</v>
      </c>
      <c r="G25" s="853">
        <f>+SUM(G8:G24)</f>
        <v>157.5</v>
      </c>
      <c r="J25" s="13" t="s">
        <v>15</v>
      </c>
      <c r="K25" s="661">
        <f>+K10+K16+K22</f>
        <v>8136900</v>
      </c>
      <c r="L25" s="36">
        <f>+L22+L16+L10</f>
        <v>0</v>
      </c>
      <c r="M25" s="36">
        <f>+M22+M16+M10</f>
        <v>0</v>
      </c>
      <c r="N25" s="853">
        <f>+SUM(N8:N24)</f>
        <v>27</v>
      </c>
      <c r="Q25" s="13" t="s">
        <v>15</v>
      </c>
      <c r="R25" s="661">
        <f>+R10+R16+R22</f>
        <v>17547000</v>
      </c>
      <c r="S25" s="36">
        <f>+S22+S16+S10</f>
        <v>0</v>
      </c>
      <c r="T25" s="36">
        <f>+T22+T16+T10</f>
        <v>0</v>
      </c>
      <c r="U25" s="853">
        <f>+SUM(U8:U24)</f>
        <v>225</v>
      </c>
      <c r="X25" s="13" t="s">
        <v>15</v>
      </c>
      <c r="Y25" s="661">
        <f>+Y10+Y16+Y22</f>
        <v>3290800</v>
      </c>
      <c r="Z25" s="36">
        <f>+Z22+Z16+Z10</f>
        <v>0</v>
      </c>
      <c r="AA25" s="36">
        <f>+AA22+AA16+AA10</f>
        <v>0</v>
      </c>
      <c r="AB25" s="853">
        <f>+SUM(AB8:AB24)</f>
        <v>24</v>
      </c>
      <c r="AE25" s="13" t="s">
        <v>15</v>
      </c>
      <c r="AF25" s="661">
        <f>+AF10+AF16+AF22</f>
        <v>11198000</v>
      </c>
      <c r="AG25" s="36">
        <f>+AG22+AG16+AG10</f>
        <v>0</v>
      </c>
      <c r="AH25" s="36">
        <f>+AH22+AH16+AH10</f>
        <v>0</v>
      </c>
      <c r="AI25" s="853">
        <f>+SUM(AI8:AI24)</f>
        <v>120</v>
      </c>
      <c r="AL25" s="13" t="s">
        <v>15</v>
      </c>
      <c r="AM25" s="661">
        <f>+AM10+AM16+AM22</f>
        <v>7167040</v>
      </c>
      <c r="AN25" s="36">
        <f>+AN22+AN16+AN10</f>
        <v>0</v>
      </c>
      <c r="AO25" s="36">
        <f>+AO22+AO16+AO10</f>
        <v>0</v>
      </c>
      <c r="AP25" s="853">
        <f>+SUM(AP8:AP24)</f>
        <v>60</v>
      </c>
      <c r="AS25" s="13" t="s">
        <v>15</v>
      </c>
      <c r="AT25" s="661">
        <f>+AT10+AT16+AT22</f>
        <v>52960000</v>
      </c>
      <c r="AU25" s="36">
        <f>+AU22+AU16+AU10</f>
        <v>0</v>
      </c>
      <c r="AV25" s="36">
        <f>+AV22+AV16+AV10</f>
        <v>0</v>
      </c>
      <c r="AW25" s="853">
        <f>+SUM(AW8:AW24)</f>
        <v>400</v>
      </c>
      <c r="AZ25" s="13" t="s">
        <v>15</v>
      </c>
      <c r="BA25" s="661">
        <f>+BA10+BA16+BA22</f>
        <v>17396250</v>
      </c>
      <c r="BB25" s="36">
        <f>+BB22+BB16+BB10</f>
        <v>0</v>
      </c>
      <c r="BC25" s="36">
        <f>+BC22+BC16+BC10</f>
        <v>0</v>
      </c>
      <c r="BD25" s="853">
        <f>+SUM(BD8:BD24)</f>
        <v>150</v>
      </c>
      <c r="BG25" s="13" t="s">
        <v>15</v>
      </c>
      <c r="BH25" s="661">
        <f>+BH10+BH16+BH22</f>
        <v>41562500</v>
      </c>
      <c r="BI25" s="36">
        <f>+BI22+BI16+BI10</f>
        <v>0</v>
      </c>
      <c r="BJ25" s="36">
        <f>+BJ22+BJ16+BJ10</f>
        <v>0</v>
      </c>
      <c r="BK25" s="853">
        <f>+SUM(BK8:BK24)</f>
        <v>500</v>
      </c>
      <c r="BN25" s="13" t="s">
        <v>15</v>
      </c>
      <c r="BO25" s="661">
        <f>+BO10+BO16+BO22</f>
        <v>13340000</v>
      </c>
      <c r="BP25" s="36">
        <f>+BP22+BP16+BP10</f>
        <v>0</v>
      </c>
      <c r="BQ25" s="36">
        <f>+BQ22+BQ16+BQ10</f>
        <v>0</v>
      </c>
      <c r="BR25" s="853">
        <f>+SUM(BR8:BR24)</f>
        <v>200</v>
      </c>
      <c r="BU25" s="13" t="s">
        <v>15</v>
      </c>
      <c r="BV25" s="661">
        <f>+BV10+BV16+BV22</f>
        <v>10912000</v>
      </c>
      <c r="BW25" s="36">
        <f>+BW22+BW16+BW10</f>
        <v>0</v>
      </c>
      <c r="BX25" s="36">
        <f>+BX22+BX16+BX10</f>
        <v>0</v>
      </c>
      <c r="BY25" s="853">
        <f>+SUM(BY8:BY24)</f>
        <v>400</v>
      </c>
      <c r="CB25" s="13" t="s">
        <v>15</v>
      </c>
      <c r="CC25" s="661">
        <f>+CC10+CC16+CC22</f>
        <v>0</v>
      </c>
      <c r="CD25" s="36">
        <f>+CD22+CD16+CD10</f>
        <v>0</v>
      </c>
      <c r="CE25" s="36">
        <f>+CE22+CE16+CE10</f>
        <v>0</v>
      </c>
      <c r="CF25" s="853">
        <f>+SUM(CF8:CF24)</f>
        <v>2500</v>
      </c>
      <c r="CI25" s="13" t="s">
        <v>15</v>
      </c>
      <c r="CJ25" s="661">
        <f>+CJ10+CJ16+CJ22</f>
        <v>0</v>
      </c>
      <c r="CK25" s="36">
        <f>+CK22+CK16+CK10</f>
        <v>0</v>
      </c>
      <c r="CL25" s="36">
        <f>+CL22+CL16+CL10</f>
        <v>0</v>
      </c>
      <c r="CM25" s="853">
        <f>+SUM(CM8:CM24)</f>
        <v>10000</v>
      </c>
    </row>
    <row r="26" spans="3:92" x14ac:dyDescent="0.2">
      <c r="C26" s="299" t="s">
        <v>733</v>
      </c>
      <c r="D26" s="662">
        <f>+D25</f>
        <v>19871250</v>
      </c>
      <c r="E26" s="300">
        <f>+D26+E25</f>
        <v>19871250</v>
      </c>
      <c r="F26" s="300">
        <f>+E26+F25</f>
        <v>19871250</v>
      </c>
      <c r="G26" s="854"/>
      <c r="I26" s="1"/>
      <c r="J26" s="299" t="s">
        <v>733</v>
      </c>
      <c r="K26" s="662">
        <f>+K25</f>
        <v>8136900</v>
      </c>
      <c r="L26" s="300">
        <f>+K26+L25</f>
        <v>8136900</v>
      </c>
      <c r="M26" s="300">
        <f>+L26+M25</f>
        <v>8136900</v>
      </c>
      <c r="N26" s="854"/>
      <c r="Q26" s="299" t="s">
        <v>733</v>
      </c>
      <c r="R26" s="662">
        <f>+R25</f>
        <v>17547000</v>
      </c>
      <c r="S26" s="300">
        <f>+R26+S25</f>
        <v>17547000</v>
      </c>
      <c r="T26" s="300">
        <f>+S26+T25</f>
        <v>17547000</v>
      </c>
      <c r="U26" s="854"/>
      <c r="X26" s="299" t="s">
        <v>733</v>
      </c>
      <c r="Y26" s="662">
        <f>+Y25</f>
        <v>3290800</v>
      </c>
      <c r="Z26" s="300">
        <f>+Y26+Z25</f>
        <v>3290800</v>
      </c>
      <c r="AA26" s="300">
        <f>+Z26+AA25</f>
        <v>3290800</v>
      </c>
      <c r="AB26" s="854"/>
      <c r="AE26" s="299" t="s">
        <v>733</v>
      </c>
      <c r="AF26" s="662">
        <f>+AF25</f>
        <v>11198000</v>
      </c>
      <c r="AG26" s="300">
        <f>+AF26+AG25</f>
        <v>11198000</v>
      </c>
      <c r="AH26" s="300">
        <f>+AG26+AH25</f>
        <v>11198000</v>
      </c>
      <c r="AI26" s="854"/>
      <c r="AL26" s="299" t="s">
        <v>733</v>
      </c>
      <c r="AM26" s="662">
        <f>+AM25</f>
        <v>7167040</v>
      </c>
      <c r="AN26" s="300">
        <f>+AM26+AN25</f>
        <v>7167040</v>
      </c>
      <c r="AO26" s="300">
        <f>+AN26+AO25</f>
        <v>7167040</v>
      </c>
      <c r="AP26" s="854"/>
      <c r="AS26" s="299" t="s">
        <v>733</v>
      </c>
      <c r="AT26" s="662">
        <f>+AT25</f>
        <v>52960000</v>
      </c>
      <c r="AU26" s="300">
        <f>+AT26+AU25</f>
        <v>52960000</v>
      </c>
      <c r="AV26" s="300">
        <f>+AU26+AV25</f>
        <v>52960000</v>
      </c>
      <c r="AW26" s="854"/>
      <c r="AZ26" s="299" t="s">
        <v>733</v>
      </c>
      <c r="BA26" s="662">
        <f>+BA25</f>
        <v>17396250</v>
      </c>
      <c r="BB26" s="300">
        <f>+BA26+BB25</f>
        <v>17396250</v>
      </c>
      <c r="BC26" s="300">
        <f>+BB26+BC25</f>
        <v>17396250</v>
      </c>
      <c r="BD26" s="854"/>
      <c r="BG26" s="299" t="s">
        <v>733</v>
      </c>
      <c r="BH26" s="662">
        <f>+BH25</f>
        <v>41562500</v>
      </c>
      <c r="BI26" s="300">
        <f>+BH26+BI25</f>
        <v>41562500</v>
      </c>
      <c r="BJ26" s="300">
        <f>+BI26+BJ25</f>
        <v>41562500</v>
      </c>
      <c r="BK26" s="854"/>
      <c r="BN26" s="299" t="s">
        <v>733</v>
      </c>
      <c r="BO26" s="662">
        <f>+BO25</f>
        <v>13340000</v>
      </c>
      <c r="BP26" s="300">
        <f>+BO26+BP25</f>
        <v>13340000</v>
      </c>
      <c r="BQ26" s="300">
        <f>+BP26+BQ25</f>
        <v>13340000</v>
      </c>
      <c r="BR26" s="854"/>
      <c r="BU26" s="299" t="s">
        <v>733</v>
      </c>
      <c r="BV26" s="662">
        <f>+BV25</f>
        <v>10912000</v>
      </c>
      <c r="BW26" s="300">
        <f>+BV26+BW25</f>
        <v>10912000</v>
      </c>
      <c r="BX26" s="300">
        <f>+BW26+BX25</f>
        <v>10912000</v>
      </c>
      <c r="BY26" s="854"/>
      <c r="CB26" s="299" t="s">
        <v>733</v>
      </c>
      <c r="CC26" s="662">
        <f>+CC25</f>
        <v>0</v>
      </c>
      <c r="CD26" s="300">
        <f>+CC26+CD25</f>
        <v>0</v>
      </c>
      <c r="CE26" s="300">
        <f>+CD26+CE25</f>
        <v>0</v>
      </c>
      <c r="CF26" s="854"/>
      <c r="CI26" s="299" t="s">
        <v>733</v>
      </c>
      <c r="CJ26" s="662">
        <f>+CJ25</f>
        <v>0</v>
      </c>
      <c r="CK26" s="300">
        <f>+CJ26+CK25</f>
        <v>0</v>
      </c>
      <c r="CL26" s="300">
        <f>+CK26+CL25</f>
        <v>0</v>
      </c>
      <c r="CM26" s="854"/>
    </row>
    <row r="27" spans="3:92" x14ac:dyDescent="0.2">
      <c r="E27" s="2"/>
      <c r="F27" s="4"/>
      <c r="L27" s="2"/>
      <c r="M27" s="4"/>
      <c r="S27" s="2"/>
      <c r="T27" s="4"/>
      <c r="Z27" s="2"/>
      <c r="AA27" s="4"/>
      <c r="AG27" s="2"/>
      <c r="AH27" s="4"/>
      <c r="AN27" s="2"/>
      <c r="AO27" s="4"/>
      <c r="AU27" s="2"/>
      <c r="AV27" s="4"/>
      <c r="BB27" s="2"/>
      <c r="BC27" s="4"/>
      <c r="BI27" s="2"/>
      <c r="BJ27" s="4"/>
      <c r="BP27" s="2"/>
      <c r="BQ27" s="4"/>
      <c r="BW27" s="2"/>
      <c r="BX27" s="4"/>
      <c r="CD27" s="2"/>
      <c r="CE27" s="4"/>
      <c r="CK27" s="2"/>
      <c r="CL27" s="4"/>
    </row>
    <row r="28" spans="3:92" x14ac:dyDescent="0.2">
      <c r="E28" s="1"/>
      <c r="F28" s="1"/>
      <c r="L28" s="1"/>
      <c r="M28" s="1"/>
      <c r="S28" s="1"/>
      <c r="T28" s="1"/>
      <c r="Z28" s="1"/>
      <c r="AA28" s="1"/>
      <c r="AG28" s="1"/>
      <c r="AH28" s="1"/>
      <c r="AN28" s="1"/>
      <c r="AO28" s="1"/>
      <c r="AU28" s="1"/>
      <c r="AV28" s="1"/>
      <c r="BB28" s="1"/>
      <c r="BC28" s="1"/>
      <c r="BI28" s="1"/>
      <c r="BJ28" s="1"/>
      <c r="BP28" s="1"/>
      <c r="BQ28" s="1"/>
      <c r="BW28" s="1"/>
      <c r="BX28" s="1"/>
      <c r="CD28" s="1"/>
      <c r="CE28" s="1"/>
      <c r="CK28" s="1"/>
      <c r="CL28" s="1"/>
    </row>
    <row r="29" spans="3:92" x14ac:dyDescent="0.2">
      <c r="C29" s="858" t="s">
        <v>631</v>
      </c>
      <c r="D29" s="859"/>
      <c r="E29" s="859"/>
      <c r="F29" s="859"/>
      <c r="G29" s="859"/>
      <c r="H29" s="860"/>
      <c r="J29" s="858" t="s">
        <v>641</v>
      </c>
      <c r="K29" s="859"/>
      <c r="L29" s="859"/>
      <c r="M29" s="859"/>
      <c r="N29" s="859"/>
      <c r="O29" s="860"/>
      <c r="Q29" s="858" t="s">
        <v>714</v>
      </c>
      <c r="R29" s="859"/>
      <c r="S29" s="859"/>
      <c r="T29" s="859"/>
      <c r="U29" s="859"/>
      <c r="V29" s="860"/>
      <c r="X29" s="858" t="s">
        <v>652</v>
      </c>
      <c r="Y29" s="859"/>
      <c r="Z29" s="859"/>
      <c r="AA29" s="859"/>
      <c r="AB29" s="859"/>
      <c r="AC29" s="860"/>
      <c r="AE29" s="858" t="s">
        <v>658</v>
      </c>
      <c r="AF29" s="859"/>
      <c r="AG29" s="859"/>
      <c r="AH29" s="859"/>
      <c r="AI29" s="859"/>
      <c r="AJ29" s="860"/>
      <c r="AL29" s="858" t="s">
        <v>666</v>
      </c>
      <c r="AM29" s="859"/>
      <c r="AN29" s="859"/>
      <c r="AO29" s="859"/>
      <c r="AP29" s="859"/>
      <c r="AQ29" s="860"/>
      <c r="AS29" s="858" t="s">
        <v>673</v>
      </c>
      <c r="AT29" s="859"/>
      <c r="AU29" s="859"/>
      <c r="AV29" s="859"/>
      <c r="AW29" s="859"/>
      <c r="AX29" s="860"/>
      <c r="AZ29" s="858" t="s">
        <v>680</v>
      </c>
      <c r="BA29" s="859"/>
      <c r="BB29" s="859"/>
      <c r="BC29" s="859"/>
      <c r="BD29" s="859"/>
      <c r="BE29" s="860"/>
      <c r="BG29" s="858" t="s">
        <v>688</v>
      </c>
      <c r="BH29" s="859"/>
      <c r="BI29" s="859"/>
      <c r="BJ29" s="859"/>
      <c r="BK29" s="859"/>
      <c r="BL29" s="860"/>
      <c r="BN29" s="858" t="s">
        <v>698</v>
      </c>
      <c r="BO29" s="859"/>
      <c r="BP29" s="859"/>
      <c r="BQ29" s="859"/>
      <c r="BR29" s="859"/>
      <c r="BS29" s="860"/>
      <c r="BU29" s="858" t="s">
        <v>706</v>
      </c>
      <c r="BV29" s="859"/>
      <c r="BW29" s="859"/>
      <c r="BX29" s="859"/>
      <c r="BY29" s="859"/>
      <c r="BZ29" s="860"/>
      <c r="CB29" s="858" t="s">
        <v>734</v>
      </c>
      <c r="CC29" s="859"/>
      <c r="CD29" s="859"/>
      <c r="CE29" s="859"/>
      <c r="CF29" s="859"/>
      <c r="CG29" s="860"/>
      <c r="CI29" s="858" t="s">
        <v>748</v>
      </c>
      <c r="CJ29" s="859"/>
      <c r="CK29" s="859"/>
      <c r="CL29" s="859"/>
      <c r="CM29" s="859"/>
      <c r="CN29" s="860"/>
    </row>
    <row r="30" spans="3:92" x14ac:dyDescent="0.2">
      <c r="C30" s="9" t="s">
        <v>6</v>
      </c>
      <c r="D30" s="663" t="s">
        <v>9</v>
      </c>
      <c r="E30" s="10" t="s">
        <v>106</v>
      </c>
      <c r="F30" s="10" t="s">
        <v>10</v>
      </c>
      <c r="G30" s="10" t="s">
        <v>11</v>
      </c>
      <c r="H30" s="39" t="s">
        <v>16</v>
      </c>
      <c r="J30" s="9" t="s">
        <v>6</v>
      </c>
      <c r="K30" s="663" t="s">
        <v>9</v>
      </c>
      <c r="L30" s="10" t="s">
        <v>106</v>
      </c>
      <c r="M30" s="10" t="s">
        <v>10</v>
      </c>
      <c r="N30" s="10" t="s">
        <v>11</v>
      </c>
      <c r="O30" s="39" t="s">
        <v>16</v>
      </c>
      <c r="Q30" s="9" t="s">
        <v>6</v>
      </c>
      <c r="R30" s="663" t="s">
        <v>9</v>
      </c>
      <c r="S30" s="10" t="s">
        <v>106</v>
      </c>
      <c r="T30" s="10" t="s">
        <v>10</v>
      </c>
      <c r="U30" s="10" t="s">
        <v>11</v>
      </c>
      <c r="V30" s="39" t="s">
        <v>16</v>
      </c>
      <c r="X30" s="9" t="s">
        <v>6</v>
      </c>
      <c r="Y30" s="663" t="s">
        <v>9</v>
      </c>
      <c r="Z30" s="10" t="s">
        <v>106</v>
      </c>
      <c r="AA30" s="10" t="s">
        <v>10</v>
      </c>
      <c r="AB30" s="10" t="s">
        <v>11</v>
      </c>
      <c r="AC30" s="39" t="s">
        <v>16</v>
      </c>
      <c r="AE30" s="9" t="s">
        <v>6</v>
      </c>
      <c r="AF30" s="663" t="s">
        <v>9</v>
      </c>
      <c r="AG30" s="10" t="s">
        <v>106</v>
      </c>
      <c r="AH30" s="10" t="s">
        <v>10</v>
      </c>
      <c r="AI30" s="10" t="s">
        <v>11</v>
      </c>
      <c r="AJ30" s="39" t="s">
        <v>16</v>
      </c>
      <c r="AL30" s="9" t="s">
        <v>6</v>
      </c>
      <c r="AM30" s="663" t="s">
        <v>9</v>
      </c>
      <c r="AN30" s="10" t="s">
        <v>106</v>
      </c>
      <c r="AO30" s="10" t="s">
        <v>10</v>
      </c>
      <c r="AP30" s="10" t="s">
        <v>11</v>
      </c>
      <c r="AQ30" s="39" t="s">
        <v>16</v>
      </c>
      <c r="AS30" s="9" t="s">
        <v>6</v>
      </c>
      <c r="AT30" s="663" t="s">
        <v>9</v>
      </c>
      <c r="AU30" s="10" t="s">
        <v>106</v>
      </c>
      <c r="AV30" s="10" t="s">
        <v>10</v>
      </c>
      <c r="AW30" s="10" t="s">
        <v>11</v>
      </c>
      <c r="AX30" s="39" t="s">
        <v>16</v>
      </c>
      <c r="AZ30" s="9" t="s">
        <v>6</v>
      </c>
      <c r="BA30" s="663" t="s">
        <v>9</v>
      </c>
      <c r="BB30" s="10" t="s">
        <v>106</v>
      </c>
      <c r="BC30" s="10" t="s">
        <v>10</v>
      </c>
      <c r="BD30" s="10" t="s">
        <v>11</v>
      </c>
      <c r="BE30" s="39" t="s">
        <v>16</v>
      </c>
      <c r="BG30" s="9" t="s">
        <v>6</v>
      </c>
      <c r="BH30" s="663" t="s">
        <v>9</v>
      </c>
      <c r="BI30" s="10" t="s">
        <v>106</v>
      </c>
      <c r="BJ30" s="10" t="s">
        <v>10</v>
      </c>
      <c r="BK30" s="10" t="s">
        <v>11</v>
      </c>
      <c r="BL30" s="39" t="s">
        <v>16</v>
      </c>
      <c r="BN30" s="9" t="s">
        <v>6</v>
      </c>
      <c r="BO30" s="663" t="s">
        <v>9</v>
      </c>
      <c r="BP30" s="10" t="s">
        <v>106</v>
      </c>
      <c r="BQ30" s="10" t="s">
        <v>10</v>
      </c>
      <c r="BR30" s="10" t="s">
        <v>11</v>
      </c>
      <c r="BS30" s="39" t="s">
        <v>16</v>
      </c>
      <c r="BU30" s="9" t="s">
        <v>6</v>
      </c>
      <c r="BV30" s="663" t="s">
        <v>9</v>
      </c>
      <c r="BW30" s="10" t="s">
        <v>106</v>
      </c>
      <c r="BX30" s="10" t="s">
        <v>10</v>
      </c>
      <c r="BY30" s="10" t="s">
        <v>11</v>
      </c>
      <c r="BZ30" s="39" t="s">
        <v>16</v>
      </c>
      <c r="CB30" s="9" t="s">
        <v>6</v>
      </c>
      <c r="CC30" s="663" t="s">
        <v>9</v>
      </c>
      <c r="CD30" s="10" t="s">
        <v>106</v>
      </c>
      <c r="CE30" s="10" t="s">
        <v>10</v>
      </c>
      <c r="CF30" s="10" t="s">
        <v>11</v>
      </c>
      <c r="CG30" s="39" t="s">
        <v>16</v>
      </c>
      <c r="CI30" s="9" t="s">
        <v>6</v>
      </c>
      <c r="CJ30" s="663" t="s">
        <v>9</v>
      </c>
      <c r="CK30" s="10" t="s">
        <v>106</v>
      </c>
      <c r="CL30" s="10" t="s">
        <v>10</v>
      </c>
      <c r="CM30" s="10" t="s">
        <v>11</v>
      </c>
      <c r="CN30" s="39" t="s">
        <v>16</v>
      </c>
    </row>
    <row r="31" spans="3:92" x14ac:dyDescent="0.2">
      <c r="C31" s="18" t="s">
        <v>637</v>
      </c>
      <c r="D31" s="654">
        <f>SUM(D36*D37)</f>
        <v>56.25</v>
      </c>
      <c r="E31" s="20"/>
      <c r="F31" s="21"/>
      <c r="G31" s="21"/>
      <c r="H31" s="38">
        <f>+SUM(D31:G31)</f>
        <v>56.25</v>
      </c>
      <c r="I31" s="1"/>
      <c r="J31" s="18" t="s">
        <v>637</v>
      </c>
      <c r="K31" s="654">
        <f>SUM(K36*K37)</f>
        <v>10</v>
      </c>
      <c r="L31" s="20"/>
      <c r="M31" s="21"/>
      <c r="N31" s="21"/>
      <c r="O31" s="38">
        <f>+SUM(K31:N31)</f>
        <v>10</v>
      </c>
      <c r="Q31" s="18" t="s">
        <v>637</v>
      </c>
      <c r="R31" s="654">
        <f>SUM(R36*R37)</f>
        <v>80</v>
      </c>
      <c r="S31" s="20"/>
      <c r="T31" s="21"/>
      <c r="U31" s="21"/>
      <c r="V31" s="38">
        <f>+SUM(R31:U31)</f>
        <v>80</v>
      </c>
      <c r="X31" s="18" t="s">
        <v>637</v>
      </c>
      <c r="Y31" s="654">
        <f>SUM(Y36*Y37)</f>
        <v>9</v>
      </c>
      <c r="Z31" s="20"/>
      <c r="AA31" s="21"/>
      <c r="AB31" s="21"/>
      <c r="AC31" s="38">
        <f>+SUM(Y31:AB31)</f>
        <v>9</v>
      </c>
      <c r="AE31" s="18" t="s">
        <v>637</v>
      </c>
      <c r="AF31" s="654">
        <f>SUM(AF36*AF37)</f>
        <v>45</v>
      </c>
      <c r="AG31" s="20"/>
      <c r="AH31" s="21"/>
      <c r="AI31" s="21"/>
      <c r="AJ31" s="38">
        <f>+SUM(AF31:AI31)</f>
        <v>45</v>
      </c>
      <c r="AL31" s="18" t="s">
        <v>637</v>
      </c>
      <c r="AM31" s="654">
        <f>SUM(AM36*AM37)</f>
        <v>22</v>
      </c>
      <c r="AN31" s="20"/>
      <c r="AO31" s="21"/>
      <c r="AP31" s="21"/>
      <c r="AQ31" s="38">
        <f>+SUM(AM31:AP31)</f>
        <v>22</v>
      </c>
      <c r="AS31" s="18" t="s">
        <v>637</v>
      </c>
      <c r="AT31" s="654">
        <f>SUM(AT36*AT37)</f>
        <v>210</v>
      </c>
      <c r="AU31" s="20"/>
      <c r="AV31" s="21"/>
      <c r="AW31" s="21"/>
      <c r="AX31" s="38">
        <f>+SUM(AT31:AW31)</f>
        <v>210</v>
      </c>
      <c r="AZ31" s="18" t="s">
        <v>637</v>
      </c>
      <c r="BA31" s="654">
        <f>SUM(BA36*BA37)</f>
        <v>78.75</v>
      </c>
      <c r="BB31" s="20"/>
      <c r="BC31" s="21"/>
      <c r="BD31" s="21"/>
      <c r="BE31" s="38">
        <f>+SUM(BA31:BD31)</f>
        <v>78.75</v>
      </c>
      <c r="BG31" s="18" t="s">
        <v>637</v>
      </c>
      <c r="BH31" s="654">
        <f>SUM(BH36*BH37)</f>
        <v>262.5</v>
      </c>
      <c r="BI31" s="20"/>
      <c r="BJ31" s="21"/>
      <c r="BK31" s="21"/>
      <c r="BL31" s="38">
        <f>+SUM(BH31:BK31)</f>
        <v>262.5</v>
      </c>
      <c r="BN31" s="18" t="s">
        <v>637</v>
      </c>
      <c r="BO31" s="654">
        <f>SUM(BO36*BO37)</f>
        <v>105</v>
      </c>
      <c r="BP31" s="20"/>
      <c r="BQ31" s="21"/>
      <c r="BR31" s="21"/>
      <c r="BS31" s="38">
        <f>+SUM(BO31:BR31)</f>
        <v>105</v>
      </c>
      <c r="BU31" s="18" t="s">
        <v>637</v>
      </c>
      <c r="BV31" s="654">
        <f>SUM(BV36*BV37)</f>
        <v>220</v>
      </c>
      <c r="BW31" s="20"/>
      <c r="BX31" s="21"/>
      <c r="BY31" s="21"/>
      <c r="BZ31" s="38">
        <f>+SUM(BV31:BY31)</f>
        <v>220</v>
      </c>
      <c r="CB31" s="18" t="s">
        <v>741</v>
      </c>
      <c r="CC31" s="654">
        <f>SUM(CC36*CC37)</f>
        <v>2500</v>
      </c>
      <c r="CD31" s="20"/>
      <c r="CE31" s="21"/>
      <c r="CF31" s="21"/>
      <c r="CG31" s="38">
        <f>+SUM(CC31:CF31)</f>
        <v>2500</v>
      </c>
      <c r="CI31" s="18" t="s">
        <v>741</v>
      </c>
      <c r="CJ31" s="654">
        <f>SUM(CJ36*CJ37)</f>
        <v>10000</v>
      </c>
      <c r="CK31" s="20"/>
      <c r="CL31" s="21"/>
      <c r="CM31" s="21"/>
      <c r="CN31" s="38">
        <f>+SUM(CJ31:CM31)</f>
        <v>10000</v>
      </c>
    </row>
    <row r="32" spans="3:92" x14ac:dyDescent="0.2">
      <c r="C32" s="11" t="s">
        <v>19</v>
      </c>
      <c r="D32" s="655">
        <f>SUM(D9)</f>
        <v>328500</v>
      </c>
      <c r="E32" s="22">
        <f>SUM(D32)</f>
        <v>328500</v>
      </c>
      <c r="F32" s="22">
        <f>SUM(D32)</f>
        <v>328500</v>
      </c>
      <c r="G32" s="22">
        <f>SUM(D32)</f>
        <v>328500</v>
      </c>
      <c r="H32" s="14"/>
      <c r="J32" s="11" t="s">
        <v>19</v>
      </c>
      <c r="K32" s="655">
        <f>SUM(K9)</f>
        <v>854100</v>
      </c>
      <c r="L32" s="22">
        <f>SUM(K32)</f>
        <v>854100</v>
      </c>
      <c r="M32" s="22">
        <f>SUM(K32)</f>
        <v>854100</v>
      </c>
      <c r="N32" s="22">
        <f>SUM(K32)</f>
        <v>854100</v>
      </c>
      <c r="O32" s="14"/>
      <c r="Q32" s="11" t="s">
        <v>19</v>
      </c>
      <c r="R32" s="655">
        <f>SUM(R9)</f>
        <v>183960</v>
      </c>
      <c r="S32" s="22">
        <f>SUM(R32)</f>
        <v>183960</v>
      </c>
      <c r="T32" s="22">
        <f>SUM(R32)</f>
        <v>183960</v>
      </c>
      <c r="U32" s="22">
        <f>SUM(R32)</f>
        <v>183960</v>
      </c>
      <c r="V32" s="14"/>
      <c r="X32" s="11" t="s">
        <v>19</v>
      </c>
      <c r="Y32" s="655">
        <f>SUM(Y9)</f>
        <v>361350</v>
      </c>
      <c r="Z32" s="22">
        <f>SUM(Y32)</f>
        <v>361350</v>
      </c>
      <c r="AA32" s="22">
        <f>SUM(Y32)</f>
        <v>361350</v>
      </c>
      <c r="AB32" s="22">
        <f>SUM(Y32)</f>
        <v>361350</v>
      </c>
      <c r="AC32" s="14"/>
      <c r="AE32" s="11" t="s">
        <v>19</v>
      </c>
      <c r="AF32" s="655">
        <f>SUM(AF9)</f>
        <v>229950</v>
      </c>
      <c r="AG32" s="22">
        <f>SUM(AF32)</f>
        <v>229950</v>
      </c>
      <c r="AH32" s="22">
        <f>SUM(AF32)</f>
        <v>229950</v>
      </c>
      <c r="AI32" s="22">
        <f>SUM(AF32)</f>
        <v>229950</v>
      </c>
      <c r="AJ32" s="14"/>
      <c r="AL32" s="11" t="s">
        <v>19</v>
      </c>
      <c r="AM32" s="655">
        <f>SUM(AM9)</f>
        <v>308352</v>
      </c>
      <c r="AN32" s="22">
        <f>SUM(AM32)</f>
        <v>308352</v>
      </c>
      <c r="AO32" s="22">
        <f>SUM(AM32)</f>
        <v>308352</v>
      </c>
      <c r="AP32" s="22">
        <f>SUM(AM32)</f>
        <v>308352</v>
      </c>
      <c r="AQ32" s="14"/>
      <c r="AS32" s="11" t="s">
        <v>19</v>
      </c>
      <c r="AT32" s="655">
        <f>SUM(AT9)</f>
        <v>262800</v>
      </c>
      <c r="AU32" s="22">
        <f>SUM(AT32)</f>
        <v>262800</v>
      </c>
      <c r="AV32" s="22">
        <f>SUM(AT32)</f>
        <v>262800</v>
      </c>
      <c r="AW32" s="22">
        <f>SUM(AT32)</f>
        <v>262800</v>
      </c>
      <c r="AX32" s="14"/>
      <c r="AZ32" s="11" t="s">
        <v>19</v>
      </c>
      <c r="BA32" s="655">
        <f>SUM(BA9)</f>
        <v>229950</v>
      </c>
      <c r="BB32" s="22">
        <f>SUM(BA32)</f>
        <v>229950</v>
      </c>
      <c r="BC32" s="22">
        <f>SUM(BA32)</f>
        <v>229950</v>
      </c>
      <c r="BD32" s="22">
        <f>SUM(BA32)</f>
        <v>229950</v>
      </c>
      <c r="BE32" s="14"/>
      <c r="BG32" s="11" t="s">
        <v>19</v>
      </c>
      <c r="BH32" s="655">
        <f>SUM(BH9)</f>
        <v>164250</v>
      </c>
      <c r="BI32" s="22">
        <f>SUM(BH32)</f>
        <v>164250</v>
      </c>
      <c r="BJ32" s="22">
        <f>SUM(BH32)</f>
        <v>164250</v>
      </c>
      <c r="BK32" s="22">
        <f>SUM(BH32)</f>
        <v>164250</v>
      </c>
      <c r="BL32" s="14"/>
      <c r="BN32" s="11" t="s">
        <v>19</v>
      </c>
      <c r="BO32" s="655">
        <f>SUM(BO9)</f>
        <v>131400</v>
      </c>
      <c r="BP32" s="22">
        <f>SUM(BO32)</f>
        <v>131400</v>
      </c>
      <c r="BQ32" s="22">
        <f>SUM(BO32)</f>
        <v>131400</v>
      </c>
      <c r="BR32" s="22">
        <f>SUM(BO32)</f>
        <v>131400</v>
      </c>
      <c r="BS32" s="14"/>
      <c r="BU32" s="11" t="s">
        <v>19</v>
      </c>
      <c r="BV32" s="655">
        <f>SUM(BV9)</f>
        <v>52560</v>
      </c>
      <c r="BW32" s="22">
        <f>SUM(BV32)</f>
        <v>52560</v>
      </c>
      <c r="BX32" s="22">
        <f>SUM(BV32)</f>
        <v>52560</v>
      </c>
      <c r="BY32" s="22">
        <f>SUM(BV32)</f>
        <v>52560</v>
      </c>
      <c r="BZ32" s="14"/>
      <c r="CB32" s="11" t="s">
        <v>742</v>
      </c>
      <c r="CC32" s="655">
        <f>SUM(CC9)</f>
        <v>0</v>
      </c>
      <c r="CD32" s="22">
        <f>SUM(CC32)</f>
        <v>0</v>
      </c>
      <c r="CE32" s="22">
        <f>SUM(CC32)</f>
        <v>0</v>
      </c>
      <c r="CF32" s="22">
        <f>SUM(CC32)</f>
        <v>0</v>
      </c>
      <c r="CG32" s="14"/>
      <c r="CI32" s="11" t="s">
        <v>742</v>
      </c>
      <c r="CJ32" s="655">
        <f>SUM(CJ9)</f>
        <v>0</v>
      </c>
      <c r="CK32" s="22">
        <f>SUM(CJ32)</f>
        <v>0</v>
      </c>
      <c r="CL32" s="22">
        <f>SUM(CJ32)</f>
        <v>0</v>
      </c>
      <c r="CM32" s="22">
        <f>SUM(CJ32)</f>
        <v>0</v>
      </c>
      <c r="CN32" s="14"/>
    </row>
    <row r="33" spans="3:92" x14ac:dyDescent="0.2">
      <c r="C33" s="6" t="s">
        <v>7</v>
      </c>
      <c r="D33" s="656">
        <f>+D32*D31</f>
        <v>18478125</v>
      </c>
      <c r="E33" s="24">
        <f>+E32*E31</f>
        <v>0</v>
      </c>
      <c r="F33" s="25">
        <f>+F32*F31</f>
        <v>0</v>
      </c>
      <c r="G33" s="25">
        <f>+G32*G31</f>
        <v>0</v>
      </c>
      <c r="H33" s="14"/>
      <c r="J33" s="6" t="s">
        <v>7</v>
      </c>
      <c r="K33" s="656">
        <f>+K32*K31</f>
        <v>8541000</v>
      </c>
      <c r="L33" s="24">
        <f>+L32*L31</f>
        <v>0</v>
      </c>
      <c r="M33" s="25">
        <f>+M32*M31</f>
        <v>0</v>
      </c>
      <c r="N33" s="25">
        <f>+N32*N31</f>
        <v>0</v>
      </c>
      <c r="O33" s="14"/>
      <c r="Q33" s="6" t="s">
        <v>7</v>
      </c>
      <c r="R33" s="656">
        <f>+R32*R31</f>
        <v>14716800</v>
      </c>
      <c r="S33" s="24">
        <f>+S32*S31</f>
        <v>0</v>
      </c>
      <c r="T33" s="25">
        <f>+T32*T31</f>
        <v>0</v>
      </c>
      <c r="U33" s="25">
        <f>+U32*U31</f>
        <v>0</v>
      </c>
      <c r="V33" s="14"/>
      <c r="X33" s="6" t="s">
        <v>7</v>
      </c>
      <c r="Y33" s="656">
        <f>+Y32*Y31</f>
        <v>3252150</v>
      </c>
      <c r="Z33" s="24">
        <f>+Z32*Z31</f>
        <v>0</v>
      </c>
      <c r="AA33" s="25">
        <f>+AA32*AA31</f>
        <v>0</v>
      </c>
      <c r="AB33" s="25">
        <f>+AB32*AB31</f>
        <v>0</v>
      </c>
      <c r="AC33" s="14"/>
      <c r="AE33" s="6" t="s">
        <v>7</v>
      </c>
      <c r="AF33" s="656">
        <f>+AF32*AF31</f>
        <v>10347750</v>
      </c>
      <c r="AG33" s="24">
        <f>+AG32*AG31</f>
        <v>0</v>
      </c>
      <c r="AH33" s="25">
        <f>+AH32*AH31</f>
        <v>0</v>
      </c>
      <c r="AI33" s="25">
        <f>+AI32*AI31</f>
        <v>0</v>
      </c>
      <c r="AJ33" s="14"/>
      <c r="AL33" s="6" t="s">
        <v>7</v>
      </c>
      <c r="AM33" s="656">
        <f>+AM32*AM31</f>
        <v>6783744</v>
      </c>
      <c r="AN33" s="24">
        <f>+AN32*AN31</f>
        <v>0</v>
      </c>
      <c r="AO33" s="25">
        <f>+AO32*AO31</f>
        <v>0</v>
      </c>
      <c r="AP33" s="25">
        <f>+AP32*AP31</f>
        <v>0</v>
      </c>
      <c r="AQ33" s="14"/>
      <c r="AS33" s="6" t="s">
        <v>7</v>
      </c>
      <c r="AT33" s="656">
        <f>+AT32*AT31</f>
        <v>55188000</v>
      </c>
      <c r="AU33" s="24">
        <f>+AU32*AU31</f>
        <v>0</v>
      </c>
      <c r="AV33" s="25">
        <f>+AV32*AV31</f>
        <v>0</v>
      </c>
      <c r="AW33" s="25">
        <f>+AW32*AW31</f>
        <v>0</v>
      </c>
      <c r="AX33" s="14"/>
      <c r="AZ33" s="6" t="s">
        <v>7</v>
      </c>
      <c r="BA33" s="656">
        <f>+BA32*BA31</f>
        <v>18108562.5</v>
      </c>
      <c r="BB33" s="24">
        <f>+BB32*BB31</f>
        <v>0</v>
      </c>
      <c r="BC33" s="25">
        <f>+BC32*BC31</f>
        <v>0</v>
      </c>
      <c r="BD33" s="25">
        <f>+BD32*BD31</f>
        <v>0</v>
      </c>
      <c r="BE33" s="14"/>
      <c r="BG33" s="6" t="s">
        <v>7</v>
      </c>
      <c r="BH33" s="656">
        <f>+BH32*BH31</f>
        <v>43115625</v>
      </c>
      <c r="BI33" s="24">
        <f>+BI32*BI31</f>
        <v>0</v>
      </c>
      <c r="BJ33" s="25">
        <f>+BJ32*BJ31</f>
        <v>0</v>
      </c>
      <c r="BK33" s="25">
        <f>+BK32*BK31</f>
        <v>0</v>
      </c>
      <c r="BL33" s="14"/>
      <c r="BN33" s="6" t="s">
        <v>7</v>
      </c>
      <c r="BO33" s="656">
        <f>+BO32*BO31</f>
        <v>13797000</v>
      </c>
      <c r="BP33" s="24">
        <f>+BP32*BP31</f>
        <v>0</v>
      </c>
      <c r="BQ33" s="25">
        <f>+BQ32*BQ31</f>
        <v>0</v>
      </c>
      <c r="BR33" s="25">
        <f>+BR32*BR31</f>
        <v>0</v>
      </c>
      <c r="BS33" s="14"/>
      <c r="BU33" s="6" t="s">
        <v>7</v>
      </c>
      <c r="BV33" s="656">
        <f>+BV32*BV31</f>
        <v>11563200</v>
      </c>
      <c r="BW33" s="24">
        <f>+BW32*BW31</f>
        <v>0</v>
      </c>
      <c r="BX33" s="25">
        <f>+BX32*BX31</f>
        <v>0</v>
      </c>
      <c r="BY33" s="25">
        <f>+BY32*BY31</f>
        <v>0</v>
      </c>
      <c r="BZ33" s="14"/>
      <c r="CB33" s="6" t="s">
        <v>7</v>
      </c>
      <c r="CC33" s="656">
        <f>+CC32*CC31</f>
        <v>0</v>
      </c>
      <c r="CD33" s="24">
        <f>+CD32*CD31</f>
        <v>0</v>
      </c>
      <c r="CE33" s="25">
        <f>+CE32*CE31</f>
        <v>0</v>
      </c>
      <c r="CF33" s="25">
        <f>+CF32*CF31</f>
        <v>0</v>
      </c>
      <c r="CG33" s="14"/>
      <c r="CI33" s="6" t="s">
        <v>7</v>
      </c>
      <c r="CJ33" s="656">
        <f>+CJ32*CJ31</f>
        <v>0</v>
      </c>
      <c r="CK33" s="24">
        <f>+CK32*CK31</f>
        <v>0</v>
      </c>
      <c r="CL33" s="25">
        <f>+CL32*CL31</f>
        <v>0</v>
      </c>
      <c r="CM33" s="25">
        <f>+CM32*CM31</f>
        <v>0</v>
      </c>
      <c r="CN33" s="14"/>
    </row>
    <row r="34" spans="3:92" x14ac:dyDescent="0.2">
      <c r="C34" s="16" t="s">
        <v>8</v>
      </c>
      <c r="D34" s="655">
        <f>+D33</f>
        <v>18478125</v>
      </c>
      <c r="E34" s="22">
        <f>+D34+E33</f>
        <v>18478125</v>
      </c>
      <c r="F34" s="23">
        <f>+E34+F33</f>
        <v>18478125</v>
      </c>
      <c r="G34" s="23">
        <f>+F34+G33</f>
        <v>18478125</v>
      </c>
      <c r="H34" s="14"/>
      <c r="J34" s="16" t="s">
        <v>8</v>
      </c>
      <c r="K34" s="655">
        <f>+K33</f>
        <v>8541000</v>
      </c>
      <c r="L34" s="22">
        <f>+K34+L33</f>
        <v>8541000</v>
      </c>
      <c r="M34" s="23">
        <f>+L34+M33</f>
        <v>8541000</v>
      </c>
      <c r="N34" s="23">
        <f>+M34+N33</f>
        <v>8541000</v>
      </c>
      <c r="O34" s="14"/>
      <c r="Q34" s="16" t="s">
        <v>8</v>
      </c>
      <c r="R34" s="655">
        <f>+R33</f>
        <v>14716800</v>
      </c>
      <c r="S34" s="22">
        <f>+R34+S33</f>
        <v>14716800</v>
      </c>
      <c r="T34" s="23">
        <f>+S34+T33</f>
        <v>14716800</v>
      </c>
      <c r="U34" s="23">
        <f>+T34+U33</f>
        <v>14716800</v>
      </c>
      <c r="V34" s="14"/>
      <c r="X34" s="16" t="s">
        <v>8</v>
      </c>
      <c r="Y34" s="655">
        <f>+Y33</f>
        <v>3252150</v>
      </c>
      <c r="Z34" s="22">
        <f>+Y34+Z33</f>
        <v>3252150</v>
      </c>
      <c r="AA34" s="23">
        <f>+Z34+AA33</f>
        <v>3252150</v>
      </c>
      <c r="AB34" s="23">
        <f>+AA34+AB33</f>
        <v>3252150</v>
      </c>
      <c r="AC34" s="14"/>
      <c r="AE34" s="16" t="s">
        <v>8</v>
      </c>
      <c r="AF34" s="655">
        <f>+AF33</f>
        <v>10347750</v>
      </c>
      <c r="AG34" s="22">
        <f>+AF34+AG33</f>
        <v>10347750</v>
      </c>
      <c r="AH34" s="23">
        <f>+AG34+AH33</f>
        <v>10347750</v>
      </c>
      <c r="AI34" s="23">
        <f>+AH34+AI33</f>
        <v>10347750</v>
      </c>
      <c r="AJ34" s="14"/>
      <c r="AL34" s="16" t="s">
        <v>8</v>
      </c>
      <c r="AM34" s="655">
        <f>+AM33</f>
        <v>6783744</v>
      </c>
      <c r="AN34" s="22">
        <f>+AM34+AN33</f>
        <v>6783744</v>
      </c>
      <c r="AO34" s="23">
        <f>+AN34+AO33</f>
        <v>6783744</v>
      </c>
      <c r="AP34" s="23">
        <f>+AO34+AP33</f>
        <v>6783744</v>
      </c>
      <c r="AQ34" s="14"/>
      <c r="AS34" s="16" t="s">
        <v>8</v>
      </c>
      <c r="AT34" s="655">
        <f>+AT33</f>
        <v>55188000</v>
      </c>
      <c r="AU34" s="22">
        <f>+AT34+AU33</f>
        <v>55188000</v>
      </c>
      <c r="AV34" s="23">
        <f>+AU34+AV33</f>
        <v>55188000</v>
      </c>
      <c r="AW34" s="23">
        <f>+AV34+AW33</f>
        <v>55188000</v>
      </c>
      <c r="AX34" s="14"/>
      <c r="AZ34" s="16" t="s">
        <v>8</v>
      </c>
      <c r="BA34" s="655">
        <f>+BA33</f>
        <v>18108562.5</v>
      </c>
      <c r="BB34" s="22">
        <f>+BA34+BB33</f>
        <v>18108562.5</v>
      </c>
      <c r="BC34" s="23">
        <f>+BB34+BC33</f>
        <v>18108562.5</v>
      </c>
      <c r="BD34" s="23">
        <f>+BC34+BD33</f>
        <v>18108562.5</v>
      </c>
      <c r="BE34" s="14"/>
      <c r="BG34" s="16" t="s">
        <v>8</v>
      </c>
      <c r="BH34" s="655">
        <f>+BH33</f>
        <v>43115625</v>
      </c>
      <c r="BI34" s="22">
        <f>+BH34+BI33</f>
        <v>43115625</v>
      </c>
      <c r="BJ34" s="23">
        <f>+BI34+BJ33</f>
        <v>43115625</v>
      </c>
      <c r="BK34" s="23">
        <f>+BJ34+BK33</f>
        <v>43115625</v>
      </c>
      <c r="BL34" s="14"/>
      <c r="BN34" s="16" t="s">
        <v>8</v>
      </c>
      <c r="BO34" s="655">
        <f>+BO33</f>
        <v>13797000</v>
      </c>
      <c r="BP34" s="22">
        <f>+BO34+BP33</f>
        <v>13797000</v>
      </c>
      <c r="BQ34" s="23">
        <f>+BP34+BQ33</f>
        <v>13797000</v>
      </c>
      <c r="BR34" s="23">
        <f>+BQ34+BR33</f>
        <v>13797000</v>
      </c>
      <c r="BS34" s="14"/>
      <c r="BU34" s="16" t="s">
        <v>8</v>
      </c>
      <c r="BV34" s="655">
        <f>+BV33</f>
        <v>11563200</v>
      </c>
      <c r="BW34" s="22">
        <f>+BV34+BW33</f>
        <v>11563200</v>
      </c>
      <c r="BX34" s="23">
        <f>+BW34+BX33</f>
        <v>11563200</v>
      </c>
      <c r="BY34" s="23">
        <f>+BX34+BY33</f>
        <v>11563200</v>
      </c>
      <c r="BZ34" s="14"/>
      <c r="CB34" s="16" t="s">
        <v>8</v>
      </c>
      <c r="CC34" s="655">
        <f>+CC33</f>
        <v>0</v>
      </c>
      <c r="CD34" s="22">
        <f>+CC34+CD33</f>
        <v>0</v>
      </c>
      <c r="CE34" s="23">
        <f>+CD34+CE33</f>
        <v>0</v>
      </c>
      <c r="CF34" s="23">
        <f>+CE34+CF33</f>
        <v>0</v>
      </c>
      <c r="CG34" s="14"/>
      <c r="CI34" s="16" t="s">
        <v>8</v>
      </c>
      <c r="CJ34" s="655">
        <f>+CJ33</f>
        <v>0</v>
      </c>
      <c r="CK34" s="22">
        <f>+CJ34+CK33</f>
        <v>0</v>
      </c>
      <c r="CL34" s="23">
        <f>+CK34+CL33</f>
        <v>0</v>
      </c>
      <c r="CM34" s="23">
        <f>+CL34+CM33</f>
        <v>0</v>
      </c>
      <c r="CN34" s="14"/>
    </row>
    <row r="35" spans="3:92" x14ac:dyDescent="0.2">
      <c r="C35" s="7"/>
      <c r="D35" s="656"/>
      <c r="E35" s="26"/>
      <c r="F35" s="27"/>
      <c r="G35" s="27"/>
      <c r="H35" s="14"/>
      <c r="J35" s="7"/>
      <c r="K35" s="656"/>
      <c r="L35" s="26"/>
      <c r="M35" s="27"/>
      <c r="N35" s="27"/>
      <c r="O35" s="14"/>
      <c r="Q35" s="7"/>
      <c r="R35" s="656"/>
      <c r="S35" s="26"/>
      <c r="T35" s="27"/>
      <c r="U35" s="27"/>
      <c r="V35" s="14"/>
      <c r="X35" s="7"/>
      <c r="Y35" s="656"/>
      <c r="Z35" s="26"/>
      <c r="AA35" s="27"/>
      <c r="AB35" s="27"/>
      <c r="AC35" s="14"/>
      <c r="AE35" s="7"/>
      <c r="AF35" s="656"/>
      <c r="AG35" s="26"/>
      <c r="AH35" s="27"/>
      <c r="AI35" s="27"/>
      <c r="AJ35" s="14"/>
      <c r="AL35" s="7"/>
      <c r="AM35" s="656"/>
      <c r="AN35" s="26"/>
      <c r="AO35" s="27"/>
      <c r="AP35" s="27"/>
      <c r="AQ35" s="14"/>
      <c r="AS35" s="7"/>
      <c r="AT35" s="656"/>
      <c r="AU35" s="26"/>
      <c r="AV35" s="27"/>
      <c r="AW35" s="27"/>
      <c r="AX35" s="14"/>
      <c r="AZ35" s="7"/>
      <c r="BA35" s="656"/>
      <c r="BB35" s="26"/>
      <c r="BC35" s="27"/>
      <c r="BD35" s="27"/>
      <c r="BE35" s="14"/>
      <c r="BG35" s="7"/>
      <c r="BH35" s="656"/>
      <c r="BI35" s="26"/>
      <c r="BJ35" s="27"/>
      <c r="BK35" s="27"/>
      <c r="BL35" s="14"/>
      <c r="BN35" s="7"/>
      <c r="BO35" s="656"/>
      <c r="BP35" s="26"/>
      <c r="BQ35" s="27"/>
      <c r="BR35" s="27"/>
      <c r="BS35" s="14"/>
      <c r="BU35" s="7"/>
      <c r="BV35" s="656"/>
      <c r="BW35" s="26"/>
      <c r="BX35" s="27"/>
      <c r="BY35" s="27"/>
      <c r="BZ35" s="14"/>
      <c r="CB35" s="7"/>
      <c r="CC35" s="656"/>
      <c r="CD35" s="26"/>
      <c r="CE35" s="27"/>
      <c r="CF35" s="27"/>
      <c r="CG35" s="14"/>
      <c r="CI35" s="7"/>
      <c r="CJ35" s="656"/>
      <c r="CK35" s="26"/>
      <c r="CL35" s="27"/>
      <c r="CM35" s="27"/>
      <c r="CN35" s="14"/>
    </row>
    <row r="36" spans="3:92" x14ac:dyDescent="0.2">
      <c r="C36" s="17" t="s">
        <v>628</v>
      </c>
      <c r="D36" s="671">
        <f>SUM('Coûts de product° Agricole'!E18)/1000</f>
        <v>2.8125</v>
      </c>
      <c r="E36" s="101"/>
      <c r="F36" s="102"/>
      <c r="G36" s="102"/>
      <c r="H36" s="672"/>
      <c r="J36" s="17" t="s">
        <v>628</v>
      </c>
      <c r="K36" s="671">
        <f>SUM('Coûts de product° Agricole'!E36)/1000</f>
        <v>1</v>
      </c>
      <c r="L36" s="101"/>
      <c r="M36" s="102"/>
      <c r="N36" s="102"/>
      <c r="O36" s="672"/>
      <c r="Q36" s="17" t="s">
        <v>628</v>
      </c>
      <c r="R36" s="671">
        <f>SUM('Coûts de product° Agricole'!E54)/1000</f>
        <v>4</v>
      </c>
      <c r="S36" s="101"/>
      <c r="T36" s="102"/>
      <c r="U36" s="102"/>
      <c r="V36" s="672"/>
      <c r="X36" s="17" t="s">
        <v>628</v>
      </c>
      <c r="Y36" s="671">
        <f>SUM('Coûts de product° Agricole'!E72)/1000</f>
        <v>0.9</v>
      </c>
      <c r="Z36" s="101"/>
      <c r="AA36" s="102"/>
      <c r="AB36" s="102"/>
      <c r="AC36" s="672"/>
      <c r="AE36" s="17" t="s">
        <v>628</v>
      </c>
      <c r="AF36" s="671">
        <f>SUM('Coûts de product° Agricole'!E92)/1000</f>
        <v>9</v>
      </c>
      <c r="AG36" s="101"/>
      <c r="AH36" s="102"/>
      <c r="AI36" s="102"/>
      <c r="AJ36" s="672"/>
      <c r="AL36" s="17" t="s">
        <v>628</v>
      </c>
      <c r="AM36" s="671">
        <f>SUM('Coûts de product° Agricole'!E110)/1000</f>
        <v>2.2000000000000002</v>
      </c>
      <c r="AN36" s="101"/>
      <c r="AO36" s="102"/>
      <c r="AP36" s="102"/>
      <c r="AQ36" s="672"/>
      <c r="AS36" s="17" t="s">
        <v>628</v>
      </c>
      <c r="AT36" s="671">
        <f>SUM('Coûts de product° Agricole'!E128)/1000</f>
        <v>21</v>
      </c>
      <c r="AU36" s="101"/>
      <c r="AV36" s="102"/>
      <c r="AW36" s="102"/>
      <c r="AX36" s="672"/>
      <c r="AZ36" s="17" t="s">
        <v>628</v>
      </c>
      <c r="BA36" s="671">
        <f>SUM('Coûts de product° Agricole'!E146)/1000</f>
        <v>15.75</v>
      </c>
      <c r="BB36" s="101"/>
      <c r="BC36" s="102"/>
      <c r="BD36" s="102"/>
      <c r="BE36" s="672"/>
      <c r="BG36" s="17" t="s">
        <v>628</v>
      </c>
      <c r="BH36" s="671">
        <f>SUM('Coûts de product° Agricole'!E164)/1000</f>
        <v>26.25</v>
      </c>
      <c r="BI36" s="101"/>
      <c r="BJ36" s="102"/>
      <c r="BK36" s="102"/>
      <c r="BL36" s="672"/>
      <c r="BN36" s="17" t="s">
        <v>628</v>
      </c>
      <c r="BO36" s="671">
        <f>SUM('Coûts de product° Agricole'!E182)/1000</f>
        <v>21</v>
      </c>
      <c r="BP36" s="101"/>
      <c r="BQ36" s="102"/>
      <c r="BR36" s="102"/>
      <c r="BS36" s="672"/>
      <c r="BU36" s="17" t="s">
        <v>628</v>
      </c>
      <c r="BV36" s="671">
        <f>SUM('Coûts de product° Agricole'!E200)/1000</f>
        <v>22</v>
      </c>
      <c r="BW36" s="101"/>
      <c r="BX36" s="102"/>
      <c r="BY36" s="102"/>
      <c r="BZ36" s="672"/>
      <c r="CB36" s="17" t="s">
        <v>740</v>
      </c>
      <c r="CC36" s="671">
        <v>500</v>
      </c>
      <c r="CD36" s="101"/>
      <c r="CE36" s="102"/>
      <c r="CF36" s="102"/>
      <c r="CG36" s="672"/>
      <c r="CI36" s="17" t="s">
        <v>740</v>
      </c>
      <c r="CJ36" s="671">
        <v>2000</v>
      </c>
      <c r="CK36" s="101"/>
      <c r="CL36" s="102"/>
      <c r="CM36" s="102"/>
      <c r="CN36" s="672"/>
    </row>
    <row r="37" spans="3:92" x14ac:dyDescent="0.2">
      <c r="C37" s="11" t="s">
        <v>629</v>
      </c>
      <c r="D37" s="655">
        <v>20</v>
      </c>
      <c r="E37" s="22"/>
      <c r="F37" s="23">
        <v>0</v>
      </c>
      <c r="G37" s="23">
        <v>0</v>
      </c>
      <c r="H37" s="38"/>
      <c r="J37" s="11" t="s">
        <v>629</v>
      </c>
      <c r="K37" s="655">
        <v>10</v>
      </c>
      <c r="L37" s="22"/>
      <c r="M37" s="23">
        <v>0</v>
      </c>
      <c r="N37" s="23">
        <v>0</v>
      </c>
      <c r="O37" s="38"/>
      <c r="Q37" s="11" t="s">
        <v>629</v>
      </c>
      <c r="R37" s="655">
        <v>20</v>
      </c>
      <c r="S37" s="22"/>
      <c r="T37" s="23">
        <v>0</v>
      </c>
      <c r="U37" s="23">
        <v>0</v>
      </c>
      <c r="V37" s="38"/>
      <c r="X37" s="11" t="s">
        <v>629</v>
      </c>
      <c r="Y37" s="655">
        <v>10</v>
      </c>
      <c r="Z37" s="22"/>
      <c r="AA37" s="23">
        <v>0</v>
      </c>
      <c r="AB37" s="23">
        <v>0</v>
      </c>
      <c r="AC37" s="38"/>
      <c r="AE37" s="11" t="s">
        <v>629</v>
      </c>
      <c r="AF37" s="655">
        <v>5</v>
      </c>
      <c r="AG37" s="22"/>
      <c r="AH37" s="23">
        <v>0</v>
      </c>
      <c r="AI37" s="23">
        <v>0</v>
      </c>
      <c r="AJ37" s="38"/>
      <c r="AL37" s="11" t="s">
        <v>629</v>
      </c>
      <c r="AM37" s="655">
        <v>10</v>
      </c>
      <c r="AN37" s="22"/>
      <c r="AO37" s="23">
        <v>0</v>
      </c>
      <c r="AP37" s="23">
        <v>0</v>
      </c>
      <c r="AQ37" s="38"/>
      <c r="AS37" s="11" t="s">
        <v>629</v>
      </c>
      <c r="AT37" s="655">
        <v>10</v>
      </c>
      <c r="AU37" s="22"/>
      <c r="AV37" s="23">
        <v>0</v>
      </c>
      <c r="AW37" s="23">
        <v>0</v>
      </c>
      <c r="AX37" s="38"/>
      <c r="AZ37" s="11" t="s">
        <v>629</v>
      </c>
      <c r="BA37" s="655">
        <v>5</v>
      </c>
      <c r="BB37" s="22"/>
      <c r="BC37" s="23">
        <v>0</v>
      </c>
      <c r="BD37" s="23">
        <v>0</v>
      </c>
      <c r="BE37" s="38"/>
      <c r="BG37" s="11" t="s">
        <v>629</v>
      </c>
      <c r="BH37" s="655">
        <v>10</v>
      </c>
      <c r="BI37" s="22"/>
      <c r="BJ37" s="23">
        <v>0</v>
      </c>
      <c r="BK37" s="23">
        <v>0</v>
      </c>
      <c r="BL37" s="38"/>
      <c r="BN37" s="11" t="s">
        <v>629</v>
      </c>
      <c r="BO37" s="655">
        <v>5</v>
      </c>
      <c r="BP37" s="22"/>
      <c r="BQ37" s="23">
        <v>0</v>
      </c>
      <c r="BR37" s="23">
        <v>0</v>
      </c>
      <c r="BS37" s="38"/>
      <c r="BU37" s="11" t="s">
        <v>629</v>
      </c>
      <c r="BV37" s="655">
        <v>10</v>
      </c>
      <c r="BW37" s="22"/>
      <c r="BX37" s="23">
        <v>0</v>
      </c>
      <c r="BY37" s="23">
        <v>0</v>
      </c>
      <c r="BZ37" s="38"/>
      <c r="CB37" s="11" t="s">
        <v>629</v>
      </c>
      <c r="CC37" s="655">
        <v>5</v>
      </c>
      <c r="CD37" s="22"/>
      <c r="CE37" s="23">
        <v>0</v>
      </c>
      <c r="CF37" s="23">
        <v>0</v>
      </c>
      <c r="CG37" s="38"/>
      <c r="CI37" s="11" t="s">
        <v>629</v>
      </c>
      <c r="CJ37" s="655">
        <v>5</v>
      </c>
      <c r="CK37" s="22"/>
      <c r="CL37" s="23">
        <v>0</v>
      </c>
      <c r="CM37" s="23">
        <v>0</v>
      </c>
      <c r="CN37" s="38"/>
    </row>
    <row r="38" spans="3:92" x14ac:dyDescent="0.2">
      <c r="C38" s="7"/>
      <c r="D38" s="656"/>
      <c r="E38" s="24"/>
      <c r="F38" s="24"/>
      <c r="G38" s="24"/>
      <c r="H38" s="14"/>
      <c r="J38" s="7"/>
      <c r="K38" s="656"/>
      <c r="L38" s="24"/>
      <c r="M38" s="24"/>
      <c r="N38" s="24"/>
      <c r="O38" s="14"/>
      <c r="Q38" s="7"/>
      <c r="R38" s="656"/>
      <c r="S38" s="24"/>
      <c r="T38" s="24"/>
      <c r="U38" s="24"/>
      <c r="V38" s="14"/>
      <c r="X38" s="7"/>
      <c r="Y38" s="656"/>
      <c r="Z38" s="24"/>
      <c r="AA38" s="24"/>
      <c r="AB38" s="24"/>
      <c r="AC38" s="14"/>
      <c r="AE38" s="7"/>
      <c r="AF38" s="656"/>
      <c r="AG38" s="24"/>
      <c r="AH38" s="24"/>
      <c r="AI38" s="24"/>
      <c r="AJ38" s="14"/>
      <c r="AL38" s="7"/>
      <c r="AM38" s="656"/>
      <c r="AN38" s="24"/>
      <c r="AO38" s="24"/>
      <c r="AP38" s="24"/>
      <c r="AQ38" s="14"/>
      <c r="AS38" s="7"/>
      <c r="AT38" s="656"/>
      <c r="AU38" s="24"/>
      <c r="AV38" s="24"/>
      <c r="AW38" s="24"/>
      <c r="AX38" s="14"/>
      <c r="AZ38" s="7"/>
      <c r="BA38" s="656"/>
      <c r="BB38" s="24"/>
      <c r="BC38" s="24"/>
      <c r="BD38" s="24"/>
      <c r="BE38" s="14"/>
      <c r="BG38" s="7"/>
      <c r="BH38" s="656"/>
      <c r="BI38" s="24"/>
      <c r="BJ38" s="24"/>
      <c r="BK38" s="24"/>
      <c r="BL38" s="14"/>
      <c r="BN38" s="7"/>
      <c r="BO38" s="656"/>
      <c r="BP38" s="24"/>
      <c r="BQ38" s="24"/>
      <c r="BR38" s="24"/>
      <c r="BS38" s="14"/>
      <c r="BU38" s="7"/>
      <c r="BV38" s="656"/>
      <c r="BW38" s="24"/>
      <c r="BX38" s="24"/>
      <c r="BY38" s="24"/>
      <c r="BZ38" s="14"/>
      <c r="CB38" s="7"/>
      <c r="CC38" s="656"/>
      <c r="CD38" s="24"/>
      <c r="CE38" s="24"/>
      <c r="CF38" s="24"/>
      <c r="CG38" s="14"/>
      <c r="CI38" s="7"/>
      <c r="CJ38" s="656"/>
      <c r="CK38" s="24"/>
      <c r="CL38" s="24"/>
      <c r="CM38" s="24"/>
      <c r="CN38" s="14"/>
    </row>
    <row r="39" spans="3:92" x14ac:dyDescent="0.2">
      <c r="C39" s="15"/>
      <c r="D39" s="655"/>
      <c r="E39" s="22"/>
      <c r="F39" s="23"/>
      <c r="G39" s="23"/>
      <c r="H39" s="14"/>
      <c r="J39" s="15"/>
      <c r="K39" s="655"/>
      <c r="L39" s="22"/>
      <c r="M39" s="23"/>
      <c r="N39" s="23"/>
      <c r="O39" s="14"/>
      <c r="Q39" s="15"/>
      <c r="R39" s="655"/>
      <c r="S39" s="22"/>
      <c r="T39" s="23"/>
      <c r="U39" s="23"/>
      <c r="V39" s="14"/>
      <c r="X39" s="15"/>
      <c r="Y39" s="655"/>
      <c r="Z39" s="22"/>
      <c r="AA39" s="23"/>
      <c r="AB39" s="23"/>
      <c r="AC39" s="14"/>
      <c r="AE39" s="15"/>
      <c r="AF39" s="655"/>
      <c r="AG39" s="22"/>
      <c r="AH39" s="23"/>
      <c r="AI39" s="23"/>
      <c r="AJ39" s="14"/>
      <c r="AL39" s="15"/>
      <c r="AM39" s="655"/>
      <c r="AN39" s="22"/>
      <c r="AO39" s="23"/>
      <c r="AP39" s="23"/>
      <c r="AQ39" s="14"/>
      <c r="AS39" s="15"/>
      <c r="AT39" s="655"/>
      <c r="AU39" s="22"/>
      <c r="AV39" s="23"/>
      <c r="AW39" s="23"/>
      <c r="AX39" s="14"/>
      <c r="AZ39" s="15"/>
      <c r="BA39" s="655"/>
      <c r="BB39" s="22"/>
      <c r="BC39" s="23"/>
      <c r="BD39" s="23"/>
      <c r="BE39" s="14"/>
      <c r="BG39" s="15"/>
      <c r="BH39" s="655"/>
      <c r="BI39" s="22"/>
      <c r="BJ39" s="23"/>
      <c r="BK39" s="23"/>
      <c r="BL39" s="14"/>
      <c r="BN39" s="15"/>
      <c r="BO39" s="655"/>
      <c r="BP39" s="22"/>
      <c r="BQ39" s="23"/>
      <c r="BR39" s="23"/>
      <c r="BS39" s="14"/>
      <c r="BU39" s="15"/>
      <c r="BV39" s="655"/>
      <c r="BW39" s="22"/>
      <c r="BX39" s="23"/>
      <c r="BY39" s="23"/>
      <c r="BZ39" s="14"/>
      <c r="CB39" s="15"/>
      <c r="CC39" s="655"/>
      <c r="CD39" s="22"/>
      <c r="CE39" s="23"/>
      <c r="CF39" s="23"/>
      <c r="CG39" s="14"/>
      <c r="CI39" s="15"/>
      <c r="CJ39" s="655"/>
      <c r="CK39" s="22"/>
      <c r="CL39" s="23"/>
      <c r="CM39" s="23"/>
      <c r="CN39" s="14"/>
    </row>
    <row r="40" spans="3:92" x14ac:dyDescent="0.2">
      <c r="C40" s="12"/>
      <c r="D40" s="657"/>
      <c r="E40" s="28"/>
      <c r="F40" s="29"/>
      <c r="G40" s="29"/>
      <c r="H40" s="14"/>
      <c r="J40" s="12"/>
      <c r="K40" s="657"/>
      <c r="L40" s="28"/>
      <c r="M40" s="29"/>
      <c r="N40" s="29"/>
      <c r="O40" s="14"/>
      <c r="Q40" s="12"/>
      <c r="R40" s="657"/>
      <c r="S40" s="28"/>
      <c r="T40" s="29"/>
      <c r="U40" s="29"/>
      <c r="V40" s="14"/>
      <c r="X40" s="12"/>
      <c r="Y40" s="657"/>
      <c r="Z40" s="28"/>
      <c r="AA40" s="29"/>
      <c r="AB40" s="29"/>
      <c r="AC40" s="14"/>
      <c r="AE40" s="12"/>
      <c r="AF40" s="657"/>
      <c r="AG40" s="28"/>
      <c r="AH40" s="29"/>
      <c r="AI40" s="29"/>
      <c r="AJ40" s="14"/>
      <c r="AL40" s="12"/>
      <c r="AM40" s="657"/>
      <c r="AN40" s="28"/>
      <c r="AO40" s="29"/>
      <c r="AP40" s="29"/>
      <c r="AQ40" s="14"/>
      <c r="AS40" s="12"/>
      <c r="AT40" s="657"/>
      <c r="AU40" s="28"/>
      <c r="AV40" s="29"/>
      <c r="AW40" s="29"/>
      <c r="AX40" s="14"/>
      <c r="AZ40" s="12"/>
      <c r="BA40" s="657"/>
      <c r="BB40" s="28"/>
      <c r="BC40" s="29"/>
      <c r="BD40" s="29"/>
      <c r="BE40" s="14"/>
      <c r="BG40" s="12"/>
      <c r="BH40" s="657"/>
      <c r="BI40" s="28"/>
      <c r="BJ40" s="29"/>
      <c r="BK40" s="29"/>
      <c r="BL40" s="14"/>
      <c r="BN40" s="12"/>
      <c r="BO40" s="657"/>
      <c r="BP40" s="28"/>
      <c r="BQ40" s="29"/>
      <c r="BR40" s="29"/>
      <c r="BS40" s="14"/>
      <c r="BU40" s="12"/>
      <c r="BV40" s="657"/>
      <c r="BW40" s="28"/>
      <c r="BX40" s="29"/>
      <c r="BY40" s="29"/>
      <c r="BZ40" s="14"/>
      <c r="CB40" s="12"/>
      <c r="CC40" s="657"/>
      <c r="CD40" s="28"/>
      <c r="CE40" s="29"/>
      <c r="CF40" s="29"/>
      <c r="CG40" s="14"/>
      <c r="CI40" s="12"/>
      <c r="CJ40" s="657"/>
      <c r="CK40" s="28"/>
      <c r="CL40" s="29"/>
      <c r="CM40" s="29"/>
      <c r="CN40" s="14"/>
    </row>
    <row r="41" spans="3:92" x14ac:dyDescent="0.2">
      <c r="C41" s="7"/>
      <c r="D41" s="656"/>
      <c r="E41" s="26"/>
      <c r="F41" s="27"/>
      <c r="G41" s="27"/>
      <c r="H41" s="14"/>
      <c r="J41" s="7"/>
      <c r="K41" s="656"/>
      <c r="L41" s="26"/>
      <c r="M41" s="27"/>
      <c r="N41" s="27"/>
      <c r="O41" s="14"/>
      <c r="Q41" s="7"/>
      <c r="R41" s="656"/>
      <c r="S41" s="26"/>
      <c r="T41" s="27"/>
      <c r="U41" s="27"/>
      <c r="V41" s="14"/>
      <c r="X41" s="7"/>
      <c r="Y41" s="656"/>
      <c r="Z41" s="26"/>
      <c r="AA41" s="27"/>
      <c r="AB41" s="27"/>
      <c r="AC41" s="14"/>
      <c r="AE41" s="7"/>
      <c r="AF41" s="656"/>
      <c r="AG41" s="26"/>
      <c r="AH41" s="27"/>
      <c r="AI41" s="27"/>
      <c r="AJ41" s="14"/>
      <c r="AL41" s="7"/>
      <c r="AM41" s="656"/>
      <c r="AN41" s="26"/>
      <c r="AO41" s="27"/>
      <c r="AP41" s="27"/>
      <c r="AQ41" s="14"/>
      <c r="AS41" s="7"/>
      <c r="AT41" s="656"/>
      <c r="AU41" s="26"/>
      <c r="AV41" s="27"/>
      <c r="AW41" s="27"/>
      <c r="AX41" s="14"/>
      <c r="AZ41" s="7"/>
      <c r="BA41" s="656"/>
      <c r="BB41" s="26"/>
      <c r="BC41" s="27"/>
      <c r="BD41" s="27"/>
      <c r="BE41" s="14"/>
      <c r="BG41" s="7"/>
      <c r="BH41" s="656"/>
      <c r="BI41" s="26"/>
      <c r="BJ41" s="27"/>
      <c r="BK41" s="27"/>
      <c r="BL41" s="14"/>
      <c r="BN41" s="7"/>
      <c r="BO41" s="656"/>
      <c r="BP41" s="26"/>
      <c r="BQ41" s="27"/>
      <c r="BR41" s="27"/>
      <c r="BS41" s="14"/>
      <c r="BU41" s="7"/>
      <c r="BV41" s="656"/>
      <c r="BW41" s="26"/>
      <c r="BX41" s="27"/>
      <c r="BY41" s="27"/>
      <c r="BZ41" s="14"/>
      <c r="CB41" s="7"/>
      <c r="CC41" s="656"/>
      <c r="CD41" s="26"/>
      <c r="CE41" s="27"/>
      <c r="CF41" s="27"/>
      <c r="CG41" s="14"/>
      <c r="CI41" s="7"/>
      <c r="CJ41" s="656"/>
      <c r="CK41" s="26"/>
      <c r="CL41" s="27"/>
      <c r="CM41" s="27"/>
      <c r="CN41" s="14"/>
    </row>
    <row r="42" spans="3:92" x14ac:dyDescent="0.2">
      <c r="C42" s="17" t="s">
        <v>732</v>
      </c>
      <c r="D42" s="656"/>
      <c r="E42" s="26"/>
      <c r="F42" s="27"/>
      <c r="G42" s="27"/>
      <c r="H42" s="14"/>
      <c r="J42" s="17" t="s">
        <v>732</v>
      </c>
      <c r="K42" s="656">
        <f>SUM(K31)*2</f>
        <v>20</v>
      </c>
      <c r="L42" s="26"/>
      <c r="M42" s="27"/>
      <c r="N42" s="27"/>
      <c r="O42" s="14"/>
      <c r="Q42" s="17" t="s">
        <v>732</v>
      </c>
      <c r="R42" s="656">
        <f>SUM(R31)*2</f>
        <v>160</v>
      </c>
      <c r="S42" s="26"/>
      <c r="T42" s="27"/>
      <c r="U42" s="27"/>
      <c r="V42" s="14"/>
      <c r="X42" s="17" t="s">
        <v>732</v>
      </c>
      <c r="Y42" s="656">
        <f>SUM(Y31)*2</f>
        <v>18</v>
      </c>
      <c r="Z42" s="26"/>
      <c r="AA42" s="27"/>
      <c r="AB42" s="27"/>
      <c r="AC42" s="14"/>
      <c r="AE42" s="17" t="s">
        <v>732</v>
      </c>
      <c r="AF42" s="656">
        <f>SUM(AF31)*2</f>
        <v>90</v>
      </c>
      <c r="AG42" s="26"/>
      <c r="AH42" s="27"/>
      <c r="AI42" s="27"/>
      <c r="AJ42" s="14"/>
      <c r="AL42" s="17" t="s">
        <v>732</v>
      </c>
      <c r="AM42" s="656">
        <f>SUM(AM31)*2</f>
        <v>44</v>
      </c>
      <c r="AN42" s="26"/>
      <c r="AO42" s="27"/>
      <c r="AP42" s="27"/>
      <c r="AQ42" s="14"/>
      <c r="AS42" s="17" t="s">
        <v>732</v>
      </c>
      <c r="AT42" s="656">
        <f>SUM(AT31)*2</f>
        <v>420</v>
      </c>
      <c r="AU42" s="26"/>
      <c r="AV42" s="27"/>
      <c r="AW42" s="27"/>
      <c r="AX42" s="14"/>
      <c r="AZ42" s="17" t="s">
        <v>732</v>
      </c>
      <c r="BA42" s="656">
        <f>SUM(BA31)</f>
        <v>78.75</v>
      </c>
      <c r="BB42" s="26"/>
      <c r="BC42" s="27"/>
      <c r="BD42" s="27"/>
      <c r="BE42" s="14"/>
      <c r="BG42" s="17" t="s">
        <v>732</v>
      </c>
      <c r="BH42" s="656">
        <f>SUM(BH31)</f>
        <v>262.5</v>
      </c>
      <c r="BI42" s="26"/>
      <c r="BJ42" s="27"/>
      <c r="BK42" s="27"/>
      <c r="BL42" s="14"/>
      <c r="BN42" s="17" t="s">
        <v>732</v>
      </c>
      <c r="BO42" s="656">
        <f>SUM(BO31)</f>
        <v>105</v>
      </c>
      <c r="BP42" s="26"/>
      <c r="BQ42" s="27"/>
      <c r="BR42" s="27"/>
      <c r="BS42" s="14"/>
      <c r="BU42" s="17" t="s">
        <v>732</v>
      </c>
      <c r="BV42" s="656">
        <f>SUM(BV31)</f>
        <v>220</v>
      </c>
      <c r="BW42" s="26"/>
      <c r="BX42" s="27"/>
      <c r="BY42" s="27"/>
      <c r="BZ42" s="14"/>
      <c r="CB42" s="17" t="s">
        <v>732</v>
      </c>
      <c r="CC42" s="656"/>
      <c r="CD42" s="26"/>
      <c r="CE42" s="27"/>
      <c r="CF42" s="27"/>
      <c r="CG42" s="14"/>
      <c r="CI42" s="17" t="s">
        <v>732</v>
      </c>
      <c r="CJ42" s="656"/>
      <c r="CK42" s="26"/>
      <c r="CL42" s="27"/>
      <c r="CM42" s="27"/>
      <c r="CN42" s="14"/>
    </row>
    <row r="43" spans="3:92" x14ac:dyDescent="0.2">
      <c r="C43" s="11" t="s">
        <v>630</v>
      </c>
      <c r="D43" s="655">
        <f>SUM(D31)*2</f>
        <v>112.5</v>
      </c>
      <c r="E43" s="22"/>
      <c r="F43" s="23">
        <v>0</v>
      </c>
      <c r="G43" s="23">
        <v>0</v>
      </c>
      <c r="H43" s="38">
        <f>+SUM(D43:G43)</f>
        <v>112.5</v>
      </c>
      <c r="J43" s="11" t="s">
        <v>630</v>
      </c>
      <c r="K43" s="655">
        <f>SUM(K31)*2</f>
        <v>20</v>
      </c>
      <c r="L43" s="22"/>
      <c r="M43" s="23">
        <v>0</v>
      </c>
      <c r="N43" s="23">
        <v>0</v>
      </c>
      <c r="O43" s="38">
        <f>+SUM(K43:N43)</f>
        <v>20</v>
      </c>
      <c r="Q43" s="11" t="s">
        <v>630</v>
      </c>
      <c r="R43" s="655">
        <f>SUM(R31)*2</f>
        <v>160</v>
      </c>
      <c r="S43" s="22"/>
      <c r="T43" s="23">
        <v>0</v>
      </c>
      <c r="U43" s="23">
        <v>0</v>
      </c>
      <c r="V43" s="38">
        <f>+SUM(R43:U43)</f>
        <v>160</v>
      </c>
      <c r="X43" s="11" t="s">
        <v>630</v>
      </c>
      <c r="Y43" s="655">
        <f>SUM(Y31)*2</f>
        <v>18</v>
      </c>
      <c r="Z43" s="22"/>
      <c r="AA43" s="23">
        <v>0</v>
      </c>
      <c r="AB43" s="23">
        <v>0</v>
      </c>
      <c r="AC43" s="38">
        <f>+SUM(Y43:AB43)</f>
        <v>18</v>
      </c>
      <c r="AE43" s="11" t="s">
        <v>630</v>
      </c>
      <c r="AF43" s="655">
        <f>SUM(AF31)*2</f>
        <v>90</v>
      </c>
      <c r="AG43" s="22"/>
      <c r="AH43" s="23">
        <v>0</v>
      </c>
      <c r="AI43" s="23">
        <v>0</v>
      </c>
      <c r="AJ43" s="38">
        <f>+SUM(AF43:AI43)</f>
        <v>90</v>
      </c>
      <c r="AL43" s="11" t="s">
        <v>630</v>
      </c>
      <c r="AM43" s="655">
        <f>SUM(AM31)*2</f>
        <v>44</v>
      </c>
      <c r="AN43" s="22"/>
      <c r="AO43" s="23">
        <v>0</v>
      </c>
      <c r="AP43" s="23">
        <v>0</v>
      </c>
      <c r="AQ43" s="38">
        <f>+SUM(AM43:AP43)</f>
        <v>44</v>
      </c>
      <c r="AS43" s="11" t="s">
        <v>630</v>
      </c>
      <c r="AT43" s="655">
        <f>SUM(AT31)*2</f>
        <v>420</v>
      </c>
      <c r="AU43" s="22"/>
      <c r="AV43" s="23">
        <v>0</v>
      </c>
      <c r="AW43" s="23">
        <v>0</v>
      </c>
      <c r="AX43" s="38">
        <f>+SUM(AT43:AW43)</f>
        <v>420</v>
      </c>
      <c r="AZ43" s="11" t="s">
        <v>630</v>
      </c>
      <c r="BA43" s="655">
        <f>SUM(BA31)*2</f>
        <v>157.5</v>
      </c>
      <c r="BB43" s="22"/>
      <c r="BC43" s="23">
        <v>0</v>
      </c>
      <c r="BD43" s="23">
        <v>0</v>
      </c>
      <c r="BE43" s="38">
        <f>+SUM(BA43:BD43)</f>
        <v>157.5</v>
      </c>
      <c r="BG43" s="11" t="s">
        <v>630</v>
      </c>
      <c r="BH43" s="655">
        <f>SUM(BH31)*2</f>
        <v>525</v>
      </c>
      <c r="BI43" s="22"/>
      <c r="BJ43" s="23">
        <v>0</v>
      </c>
      <c r="BK43" s="23">
        <v>0</v>
      </c>
      <c r="BL43" s="38">
        <f>+SUM(BH43:BK43)</f>
        <v>525</v>
      </c>
      <c r="BN43" s="11" t="s">
        <v>630</v>
      </c>
      <c r="BO43" s="655">
        <f>SUM(BO31)*2</f>
        <v>210</v>
      </c>
      <c r="BP43" s="22"/>
      <c r="BQ43" s="23">
        <v>0</v>
      </c>
      <c r="BR43" s="23">
        <v>0</v>
      </c>
      <c r="BS43" s="38">
        <f>+SUM(BO43:BR43)</f>
        <v>210</v>
      </c>
      <c r="BU43" s="11" t="s">
        <v>630</v>
      </c>
      <c r="BV43" s="655">
        <f>SUM(BV31)*2</f>
        <v>440</v>
      </c>
      <c r="BW43" s="22"/>
      <c r="BX43" s="23">
        <v>0</v>
      </c>
      <c r="BY43" s="23">
        <v>0</v>
      </c>
      <c r="BZ43" s="38">
        <f>+SUM(BV43:BY43)</f>
        <v>440</v>
      </c>
      <c r="CB43" s="11" t="s">
        <v>630</v>
      </c>
      <c r="CC43" s="655"/>
      <c r="CD43" s="22"/>
      <c r="CE43" s="23">
        <v>0</v>
      </c>
      <c r="CF43" s="23">
        <v>0</v>
      </c>
      <c r="CG43" s="38">
        <f>+SUM(CC43:CF43)</f>
        <v>0</v>
      </c>
      <c r="CI43" s="11" t="s">
        <v>630</v>
      </c>
      <c r="CJ43" s="655"/>
      <c r="CK43" s="22"/>
      <c r="CL43" s="23">
        <v>0</v>
      </c>
      <c r="CM43" s="23">
        <v>0</v>
      </c>
      <c r="CN43" s="38">
        <f>+SUM(CJ43:CM43)</f>
        <v>0</v>
      </c>
    </row>
    <row r="44" spans="3:92" x14ac:dyDescent="0.2">
      <c r="C44" s="7" t="s">
        <v>19</v>
      </c>
      <c r="D44" s="656">
        <v>25000</v>
      </c>
      <c r="E44" s="24"/>
      <c r="F44" s="25"/>
      <c r="G44" s="25">
        <v>0</v>
      </c>
      <c r="H44" s="14"/>
      <c r="J44" s="7" t="s">
        <v>19</v>
      </c>
      <c r="K44" s="656">
        <v>25000</v>
      </c>
      <c r="L44" s="24"/>
      <c r="M44" s="25"/>
      <c r="N44" s="25">
        <v>0</v>
      </c>
      <c r="O44" s="14"/>
      <c r="Q44" s="7" t="s">
        <v>19</v>
      </c>
      <c r="R44" s="656">
        <v>25000</v>
      </c>
      <c r="S44" s="24"/>
      <c r="T44" s="25"/>
      <c r="U44" s="25">
        <v>0</v>
      </c>
      <c r="V44" s="14"/>
      <c r="X44" s="7" t="s">
        <v>19</v>
      </c>
      <c r="Y44" s="656">
        <v>25000</v>
      </c>
      <c r="Z44" s="24"/>
      <c r="AA44" s="25"/>
      <c r="AB44" s="25">
        <v>0</v>
      </c>
      <c r="AC44" s="14"/>
      <c r="AE44" s="7" t="s">
        <v>19</v>
      </c>
      <c r="AF44" s="656">
        <v>25000</v>
      </c>
      <c r="AG44" s="24"/>
      <c r="AH44" s="25"/>
      <c r="AI44" s="25">
        <v>0</v>
      </c>
      <c r="AJ44" s="14"/>
      <c r="AL44" s="7" t="s">
        <v>19</v>
      </c>
      <c r="AM44" s="656">
        <v>25000</v>
      </c>
      <c r="AN44" s="24"/>
      <c r="AO44" s="25"/>
      <c r="AP44" s="25">
        <v>0</v>
      </c>
      <c r="AQ44" s="14"/>
      <c r="AS44" s="7" t="s">
        <v>19</v>
      </c>
      <c r="AT44" s="656">
        <v>2000</v>
      </c>
      <c r="AU44" s="24"/>
      <c r="AV44" s="25"/>
      <c r="AW44" s="25">
        <v>0</v>
      </c>
      <c r="AX44" s="14"/>
      <c r="AZ44" s="7" t="s">
        <v>19</v>
      </c>
      <c r="BA44" s="656">
        <v>2000</v>
      </c>
      <c r="BB44" s="24"/>
      <c r="BC44" s="25"/>
      <c r="BD44" s="25">
        <v>0</v>
      </c>
      <c r="BE44" s="14"/>
      <c r="BG44" s="7" t="s">
        <v>19</v>
      </c>
      <c r="BH44" s="656">
        <v>2000</v>
      </c>
      <c r="BI44" s="24"/>
      <c r="BJ44" s="25"/>
      <c r="BK44" s="25">
        <v>0</v>
      </c>
      <c r="BL44" s="14"/>
      <c r="BN44" s="7" t="s">
        <v>19</v>
      </c>
      <c r="BO44" s="656">
        <v>2000</v>
      </c>
      <c r="BP44" s="24"/>
      <c r="BQ44" s="25"/>
      <c r="BR44" s="25">
        <v>0</v>
      </c>
      <c r="BS44" s="14"/>
      <c r="BU44" s="7" t="s">
        <v>19</v>
      </c>
      <c r="BV44" s="656">
        <v>2000</v>
      </c>
      <c r="BW44" s="24"/>
      <c r="BX44" s="25"/>
      <c r="BY44" s="25">
        <v>0</v>
      </c>
      <c r="BZ44" s="14"/>
      <c r="CB44" s="7" t="s">
        <v>19</v>
      </c>
      <c r="CC44" s="656">
        <v>2000</v>
      </c>
      <c r="CD44" s="24"/>
      <c r="CE44" s="25"/>
      <c r="CF44" s="25">
        <v>0</v>
      </c>
      <c r="CG44" s="14"/>
      <c r="CI44" s="7" t="s">
        <v>19</v>
      </c>
      <c r="CJ44" s="656">
        <v>2000</v>
      </c>
      <c r="CK44" s="24"/>
      <c r="CL44" s="25"/>
      <c r="CM44" s="25">
        <v>0</v>
      </c>
      <c r="CN44" s="14"/>
    </row>
    <row r="45" spans="3:92" x14ac:dyDescent="0.2">
      <c r="C45" s="15" t="s">
        <v>7</v>
      </c>
      <c r="D45" s="655">
        <f>+D44*D43</f>
        <v>2812500</v>
      </c>
      <c r="E45" s="22">
        <f>+E44*E43</f>
        <v>0</v>
      </c>
      <c r="F45" s="23">
        <f>+F44*F43</f>
        <v>0</v>
      </c>
      <c r="G45" s="23">
        <f>+G44*G43</f>
        <v>0</v>
      </c>
      <c r="H45" s="14"/>
      <c r="J45" s="15" t="s">
        <v>7</v>
      </c>
      <c r="K45" s="655">
        <f>+K44*K43</f>
        <v>500000</v>
      </c>
      <c r="L45" s="22">
        <f>+L44*L43</f>
        <v>0</v>
      </c>
      <c r="M45" s="23">
        <f>+M44*M43</f>
        <v>0</v>
      </c>
      <c r="N45" s="23">
        <f>+N44*N43</f>
        <v>0</v>
      </c>
      <c r="O45" s="14"/>
      <c r="Q45" s="15" t="s">
        <v>7</v>
      </c>
      <c r="R45" s="655">
        <f>+R44*R43</f>
        <v>4000000</v>
      </c>
      <c r="S45" s="22">
        <f>+S44*S43</f>
        <v>0</v>
      </c>
      <c r="T45" s="23">
        <f>+T44*T43</f>
        <v>0</v>
      </c>
      <c r="U45" s="23">
        <f>+U44*U43</f>
        <v>0</v>
      </c>
      <c r="V45" s="14"/>
      <c r="X45" s="15" t="s">
        <v>7</v>
      </c>
      <c r="Y45" s="655">
        <f>+Y44*Y43</f>
        <v>450000</v>
      </c>
      <c r="Z45" s="22">
        <f>+Z44*Z43</f>
        <v>0</v>
      </c>
      <c r="AA45" s="23">
        <f>+AA44*AA43</f>
        <v>0</v>
      </c>
      <c r="AB45" s="23">
        <f>+AB44*AB43</f>
        <v>0</v>
      </c>
      <c r="AC45" s="14"/>
      <c r="AE45" s="15" t="s">
        <v>7</v>
      </c>
      <c r="AF45" s="655">
        <f>+AF44*AF43</f>
        <v>2250000</v>
      </c>
      <c r="AG45" s="22">
        <f>+AG44*AG43</f>
        <v>0</v>
      </c>
      <c r="AH45" s="23">
        <f>+AH44*AH43</f>
        <v>0</v>
      </c>
      <c r="AI45" s="23">
        <f>+AI44*AI43</f>
        <v>0</v>
      </c>
      <c r="AJ45" s="14"/>
      <c r="AL45" s="15" t="s">
        <v>7</v>
      </c>
      <c r="AM45" s="655">
        <f>+AM44*AM43</f>
        <v>1100000</v>
      </c>
      <c r="AN45" s="22">
        <f>+AN44*AN43</f>
        <v>0</v>
      </c>
      <c r="AO45" s="23">
        <f>+AO44*AO43</f>
        <v>0</v>
      </c>
      <c r="AP45" s="23">
        <f>+AP44*AP43</f>
        <v>0</v>
      </c>
      <c r="AQ45" s="14"/>
      <c r="AS45" s="15" t="s">
        <v>7</v>
      </c>
      <c r="AT45" s="655">
        <f>+AT44*AT43</f>
        <v>840000</v>
      </c>
      <c r="AU45" s="22">
        <f>+AU44*AU43</f>
        <v>0</v>
      </c>
      <c r="AV45" s="23">
        <f>+AV44*AV43</f>
        <v>0</v>
      </c>
      <c r="AW45" s="23">
        <f>+AW44*AW43</f>
        <v>0</v>
      </c>
      <c r="AX45" s="14"/>
      <c r="AZ45" s="15" t="s">
        <v>7</v>
      </c>
      <c r="BA45" s="655">
        <f>+BA44*BA43</f>
        <v>315000</v>
      </c>
      <c r="BB45" s="22">
        <f>+BB44*BB43</f>
        <v>0</v>
      </c>
      <c r="BC45" s="23">
        <f>+BC44*BC43</f>
        <v>0</v>
      </c>
      <c r="BD45" s="23">
        <f>+BD44*BD43</f>
        <v>0</v>
      </c>
      <c r="BE45" s="14"/>
      <c r="BG45" s="15" t="s">
        <v>7</v>
      </c>
      <c r="BH45" s="655">
        <f>+BH44*BH43</f>
        <v>1050000</v>
      </c>
      <c r="BI45" s="22">
        <f>+BI44*BI43</f>
        <v>0</v>
      </c>
      <c r="BJ45" s="23">
        <f>+BJ44*BJ43</f>
        <v>0</v>
      </c>
      <c r="BK45" s="23">
        <f>+BK44*BK43</f>
        <v>0</v>
      </c>
      <c r="BL45" s="14"/>
      <c r="BN45" s="15" t="s">
        <v>7</v>
      </c>
      <c r="BO45" s="655">
        <f>+BO44*BO43</f>
        <v>420000</v>
      </c>
      <c r="BP45" s="22">
        <f>+BP44*BP43</f>
        <v>0</v>
      </c>
      <c r="BQ45" s="23">
        <f>+BQ44*BQ43</f>
        <v>0</v>
      </c>
      <c r="BR45" s="23">
        <f>+BR44*BR43</f>
        <v>0</v>
      </c>
      <c r="BS45" s="14"/>
      <c r="BU45" s="15" t="s">
        <v>7</v>
      </c>
      <c r="BV45" s="655">
        <f>+BV44*BV43</f>
        <v>880000</v>
      </c>
      <c r="BW45" s="22">
        <f>+BW44*BW43</f>
        <v>0</v>
      </c>
      <c r="BX45" s="23">
        <f>+BX44*BX43</f>
        <v>0</v>
      </c>
      <c r="BY45" s="23">
        <f>+BY44*BY43</f>
        <v>0</v>
      </c>
      <c r="BZ45" s="14"/>
      <c r="CB45" s="15" t="s">
        <v>7</v>
      </c>
      <c r="CC45" s="655">
        <f>+CC44*CC43</f>
        <v>0</v>
      </c>
      <c r="CD45" s="22">
        <f>+CD44*CD43</f>
        <v>0</v>
      </c>
      <c r="CE45" s="23">
        <f>+CE44*CE43</f>
        <v>0</v>
      </c>
      <c r="CF45" s="23">
        <f>+CF44*CF43</f>
        <v>0</v>
      </c>
      <c r="CG45" s="14"/>
      <c r="CI45" s="15" t="s">
        <v>7</v>
      </c>
      <c r="CJ45" s="655">
        <f>+CJ44*CJ43</f>
        <v>0</v>
      </c>
      <c r="CK45" s="22">
        <f>+CK44*CK43</f>
        <v>0</v>
      </c>
      <c r="CL45" s="23">
        <f>+CL44*CL43</f>
        <v>0</v>
      </c>
      <c r="CM45" s="23">
        <f>+CM44*CM43</f>
        <v>0</v>
      </c>
      <c r="CN45" s="14"/>
    </row>
    <row r="46" spans="3:92" x14ac:dyDescent="0.2">
      <c r="C46" s="12" t="s">
        <v>8</v>
      </c>
      <c r="D46" s="656">
        <f>+D45</f>
        <v>2812500</v>
      </c>
      <c r="E46" s="24">
        <f>+D46+E45</f>
        <v>2812500</v>
      </c>
      <c r="F46" s="25">
        <f>+E46+F45</f>
        <v>2812500</v>
      </c>
      <c r="G46" s="25">
        <f>+F46+G45</f>
        <v>2812500</v>
      </c>
      <c r="H46" s="14"/>
      <c r="J46" s="12" t="s">
        <v>8</v>
      </c>
      <c r="K46" s="656">
        <f>+K45</f>
        <v>500000</v>
      </c>
      <c r="L46" s="24">
        <f>+K46+L45</f>
        <v>500000</v>
      </c>
      <c r="M46" s="25">
        <f>+L46+M45</f>
        <v>500000</v>
      </c>
      <c r="N46" s="25">
        <f>+M46+N45</f>
        <v>500000</v>
      </c>
      <c r="O46" s="14"/>
      <c r="Q46" s="12" t="s">
        <v>8</v>
      </c>
      <c r="R46" s="656">
        <f>+R45</f>
        <v>4000000</v>
      </c>
      <c r="S46" s="24">
        <f>+R46+S45</f>
        <v>4000000</v>
      </c>
      <c r="T46" s="25">
        <f>+S46+T45</f>
        <v>4000000</v>
      </c>
      <c r="U46" s="25">
        <f>+T46+U45</f>
        <v>4000000</v>
      </c>
      <c r="V46" s="14"/>
      <c r="X46" s="12" t="s">
        <v>8</v>
      </c>
      <c r="Y46" s="656">
        <f>+Y45</f>
        <v>450000</v>
      </c>
      <c r="Z46" s="24">
        <f>+Y46+Z45</f>
        <v>450000</v>
      </c>
      <c r="AA46" s="25">
        <f>+Z46+AA45</f>
        <v>450000</v>
      </c>
      <c r="AB46" s="25">
        <f>+AA46+AB45</f>
        <v>450000</v>
      </c>
      <c r="AC46" s="14"/>
      <c r="AE46" s="12" t="s">
        <v>8</v>
      </c>
      <c r="AF46" s="656">
        <f>+AF45</f>
        <v>2250000</v>
      </c>
      <c r="AG46" s="24">
        <f>+AF46+AG45</f>
        <v>2250000</v>
      </c>
      <c r="AH46" s="25">
        <f>+AG46+AH45</f>
        <v>2250000</v>
      </c>
      <c r="AI46" s="25">
        <f>+AH46+AI45</f>
        <v>2250000</v>
      </c>
      <c r="AJ46" s="14"/>
      <c r="AL46" s="12" t="s">
        <v>8</v>
      </c>
      <c r="AM46" s="656">
        <f>+AM45</f>
        <v>1100000</v>
      </c>
      <c r="AN46" s="24">
        <f>+AM46+AN45</f>
        <v>1100000</v>
      </c>
      <c r="AO46" s="25">
        <f>+AN46+AO45</f>
        <v>1100000</v>
      </c>
      <c r="AP46" s="25">
        <f>+AO46+AP45</f>
        <v>1100000</v>
      </c>
      <c r="AQ46" s="14"/>
      <c r="AS46" s="12" t="s">
        <v>8</v>
      </c>
      <c r="AT46" s="656">
        <f>+AT45</f>
        <v>840000</v>
      </c>
      <c r="AU46" s="24">
        <f>+AT46+AU45</f>
        <v>840000</v>
      </c>
      <c r="AV46" s="25">
        <f>+AU46+AV45</f>
        <v>840000</v>
      </c>
      <c r="AW46" s="25">
        <f>+AV46+AW45</f>
        <v>840000</v>
      </c>
      <c r="AX46" s="14"/>
      <c r="AZ46" s="12" t="s">
        <v>8</v>
      </c>
      <c r="BA46" s="656">
        <f>+BA45</f>
        <v>315000</v>
      </c>
      <c r="BB46" s="24">
        <f>+BA46+BB45</f>
        <v>315000</v>
      </c>
      <c r="BC46" s="25">
        <f>+BB46+BC45</f>
        <v>315000</v>
      </c>
      <c r="BD46" s="25">
        <f>+BC46+BD45</f>
        <v>315000</v>
      </c>
      <c r="BE46" s="14"/>
      <c r="BG46" s="12" t="s">
        <v>8</v>
      </c>
      <c r="BH46" s="656">
        <f>+BH45</f>
        <v>1050000</v>
      </c>
      <c r="BI46" s="24">
        <f>+BH46+BI45</f>
        <v>1050000</v>
      </c>
      <c r="BJ46" s="25">
        <f>+BI46+BJ45</f>
        <v>1050000</v>
      </c>
      <c r="BK46" s="25">
        <f>+BJ46+BK45</f>
        <v>1050000</v>
      </c>
      <c r="BL46" s="14"/>
      <c r="BN46" s="12" t="s">
        <v>8</v>
      </c>
      <c r="BO46" s="656">
        <f>+BO45</f>
        <v>420000</v>
      </c>
      <c r="BP46" s="24">
        <f>+BO46+BP45</f>
        <v>420000</v>
      </c>
      <c r="BQ46" s="25">
        <f>+BP46+BQ45</f>
        <v>420000</v>
      </c>
      <c r="BR46" s="25">
        <f>+BQ46+BR45</f>
        <v>420000</v>
      </c>
      <c r="BS46" s="14"/>
      <c r="BU46" s="12" t="s">
        <v>8</v>
      </c>
      <c r="BV46" s="656">
        <f>+BV45</f>
        <v>880000</v>
      </c>
      <c r="BW46" s="24">
        <f>+BV46+BW45</f>
        <v>880000</v>
      </c>
      <c r="BX46" s="25">
        <f>+BW46+BX45</f>
        <v>880000</v>
      </c>
      <c r="BY46" s="25">
        <f>+BX46+BY45</f>
        <v>880000</v>
      </c>
      <c r="BZ46" s="14"/>
      <c r="CB46" s="12" t="s">
        <v>8</v>
      </c>
      <c r="CC46" s="656">
        <f>+CC45</f>
        <v>0</v>
      </c>
      <c r="CD46" s="24">
        <f>+CC46+CD45</f>
        <v>0</v>
      </c>
      <c r="CE46" s="25">
        <f>+CD46+CE45</f>
        <v>0</v>
      </c>
      <c r="CF46" s="25">
        <f>+CE46+CF45</f>
        <v>0</v>
      </c>
      <c r="CG46" s="14"/>
      <c r="CI46" s="12" t="s">
        <v>8</v>
      </c>
      <c r="CJ46" s="656">
        <f>+CJ45</f>
        <v>0</v>
      </c>
      <c r="CK46" s="24">
        <f>+CJ46+CK45</f>
        <v>0</v>
      </c>
      <c r="CL46" s="25">
        <f>+CK46+CL45</f>
        <v>0</v>
      </c>
      <c r="CM46" s="25">
        <f>+CL46+CM45</f>
        <v>0</v>
      </c>
      <c r="CN46" s="14"/>
    </row>
    <row r="47" spans="3:92" x14ac:dyDescent="0.2">
      <c r="C47" s="8"/>
      <c r="D47" s="660"/>
      <c r="E47" s="34"/>
      <c r="F47" s="35"/>
      <c r="G47" s="35"/>
      <c r="H47" s="14"/>
      <c r="J47" s="8"/>
      <c r="K47" s="660"/>
      <c r="L47" s="34"/>
      <c r="M47" s="35"/>
      <c r="N47" s="35"/>
      <c r="O47" s="14"/>
      <c r="Q47" s="8"/>
      <c r="R47" s="660"/>
      <c r="S47" s="34"/>
      <c r="T47" s="35"/>
      <c r="U47" s="35"/>
      <c r="V47" s="14"/>
      <c r="X47" s="8"/>
      <c r="Y47" s="660"/>
      <c r="Z47" s="34"/>
      <c r="AA47" s="35"/>
      <c r="AB47" s="35"/>
      <c r="AC47" s="14"/>
      <c r="AE47" s="8"/>
      <c r="AF47" s="660"/>
      <c r="AG47" s="34"/>
      <c r="AH47" s="35"/>
      <c r="AI47" s="35"/>
      <c r="AJ47" s="14"/>
      <c r="AL47" s="8"/>
      <c r="AM47" s="660"/>
      <c r="AN47" s="34"/>
      <c r="AO47" s="35"/>
      <c r="AP47" s="35"/>
      <c r="AQ47" s="14"/>
      <c r="AS47" s="8"/>
      <c r="AT47" s="660"/>
      <c r="AU47" s="34"/>
      <c r="AV47" s="35"/>
      <c r="AW47" s="35"/>
      <c r="AX47" s="14"/>
      <c r="AZ47" s="8"/>
      <c r="BA47" s="660"/>
      <c r="BB47" s="34"/>
      <c r="BC47" s="35"/>
      <c r="BD47" s="35"/>
      <c r="BE47" s="14"/>
      <c r="BG47" s="8"/>
      <c r="BH47" s="660"/>
      <c r="BI47" s="34"/>
      <c r="BJ47" s="35"/>
      <c r="BK47" s="35"/>
      <c r="BL47" s="14"/>
      <c r="BN47" s="8"/>
      <c r="BO47" s="660"/>
      <c r="BP47" s="34"/>
      <c r="BQ47" s="35"/>
      <c r="BR47" s="35"/>
      <c r="BS47" s="14"/>
      <c r="BU47" s="8"/>
      <c r="BV47" s="660"/>
      <c r="BW47" s="34"/>
      <c r="BX47" s="35"/>
      <c r="BY47" s="35"/>
      <c r="BZ47" s="14"/>
      <c r="CB47" s="8"/>
      <c r="CC47" s="660"/>
      <c r="CD47" s="34"/>
      <c r="CE47" s="35"/>
      <c r="CF47" s="35"/>
      <c r="CG47" s="14"/>
      <c r="CI47" s="8"/>
      <c r="CJ47" s="660"/>
      <c r="CK47" s="34"/>
      <c r="CL47" s="35"/>
      <c r="CM47" s="35"/>
      <c r="CN47" s="14"/>
    </row>
    <row r="48" spans="3:92" x14ac:dyDescent="0.2">
      <c r="C48" s="13" t="s">
        <v>15</v>
      </c>
      <c r="D48" s="661">
        <f>+D33+D39+D45</f>
        <v>21290625</v>
      </c>
      <c r="E48" s="36">
        <f>+E45+E39+E33</f>
        <v>0</v>
      </c>
      <c r="F48" s="36">
        <f>+F45+F39+F33</f>
        <v>0</v>
      </c>
      <c r="G48" s="36">
        <f>+G45+G39+G33</f>
        <v>0</v>
      </c>
      <c r="H48" s="853">
        <f>+SUM(H31:H47)</f>
        <v>168.75</v>
      </c>
      <c r="J48" s="13" t="s">
        <v>15</v>
      </c>
      <c r="K48" s="661">
        <f>+K33+K39+K45</f>
        <v>9041000</v>
      </c>
      <c r="L48" s="36">
        <f>+L45+L39+L33</f>
        <v>0</v>
      </c>
      <c r="M48" s="36">
        <f>+M45+M39+M33</f>
        <v>0</v>
      </c>
      <c r="N48" s="36">
        <f>+N45+N39+N33</f>
        <v>0</v>
      </c>
      <c r="O48" s="853">
        <f>+SUM(O31:O47)</f>
        <v>30</v>
      </c>
      <c r="Q48" s="13" t="s">
        <v>15</v>
      </c>
      <c r="R48" s="661">
        <f>+R33+R39+R45</f>
        <v>18716800</v>
      </c>
      <c r="S48" s="36">
        <f>+S45+S39+S33</f>
        <v>0</v>
      </c>
      <c r="T48" s="36">
        <f>+T45+T39+T33</f>
        <v>0</v>
      </c>
      <c r="U48" s="36">
        <f>+U45+U39+U33</f>
        <v>0</v>
      </c>
      <c r="V48" s="853">
        <f>+SUM(V31:V47)</f>
        <v>240</v>
      </c>
      <c r="X48" s="13" t="s">
        <v>15</v>
      </c>
      <c r="Y48" s="661">
        <f>+Y33+Y39+Y45</f>
        <v>3702150</v>
      </c>
      <c r="Z48" s="36">
        <f>+Z45+Z39+Z33</f>
        <v>0</v>
      </c>
      <c r="AA48" s="36">
        <f>+AA45+AA39+AA33</f>
        <v>0</v>
      </c>
      <c r="AB48" s="36">
        <f>+AB45+AB39+AB33</f>
        <v>0</v>
      </c>
      <c r="AC48" s="853">
        <f>+SUM(AC31:AC47)</f>
        <v>27</v>
      </c>
      <c r="AE48" s="13" t="s">
        <v>15</v>
      </c>
      <c r="AF48" s="661">
        <f>+AF33+AF39+AF45</f>
        <v>12597750</v>
      </c>
      <c r="AG48" s="36">
        <f>+AG45+AG39+AG33</f>
        <v>0</v>
      </c>
      <c r="AH48" s="36">
        <f>+AH45+AH39+AH33</f>
        <v>0</v>
      </c>
      <c r="AI48" s="36">
        <f>+AI45+AI39+AI33</f>
        <v>0</v>
      </c>
      <c r="AJ48" s="853">
        <f>+SUM(AJ31:AJ47)</f>
        <v>135</v>
      </c>
      <c r="AL48" s="13" t="s">
        <v>15</v>
      </c>
      <c r="AM48" s="661">
        <f>+AM33+AM39+AM45</f>
        <v>7883744</v>
      </c>
      <c r="AN48" s="36">
        <f>+AN45+AN39+AN33</f>
        <v>0</v>
      </c>
      <c r="AO48" s="36">
        <f>+AO45+AO39+AO33</f>
        <v>0</v>
      </c>
      <c r="AP48" s="36">
        <f>+AP45+AP39+AP33</f>
        <v>0</v>
      </c>
      <c r="AQ48" s="853">
        <f>+SUM(AQ31:AQ47)</f>
        <v>66</v>
      </c>
      <c r="AS48" s="13" t="s">
        <v>15</v>
      </c>
      <c r="AT48" s="661">
        <f>+AT33+AT39+AT45</f>
        <v>56028000</v>
      </c>
      <c r="AU48" s="36">
        <f>+AU45+AU39+AU33</f>
        <v>0</v>
      </c>
      <c r="AV48" s="36">
        <f>+AV45+AV39+AV33</f>
        <v>0</v>
      </c>
      <c r="AW48" s="36">
        <f>+AW45+AW39+AW33</f>
        <v>0</v>
      </c>
      <c r="AX48" s="853">
        <f>+SUM(AX31:AX47)</f>
        <v>630</v>
      </c>
      <c r="AZ48" s="13" t="s">
        <v>15</v>
      </c>
      <c r="BA48" s="661">
        <f>+BA33+BA39+BA45</f>
        <v>18423562.5</v>
      </c>
      <c r="BB48" s="36">
        <f>+BB45+BB39+BB33</f>
        <v>0</v>
      </c>
      <c r="BC48" s="36">
        <f>+BC45+BC39+BC33</f>
        <v>0</v>
      </c>
      <c r="BD48" s="36">
        <f>+BD45+BD39+BD33</f>
        <v>0</v>
      </c>
      <c r="BE48" s="853">
        <f>+SUM(BE31:BE47)</f>
        <v>236.25</v>
      </c>
      <c r="BG48" s="13" t="s">
        <v>15</v>
      </c>
      <c r="BH48" s="661">
        <f>+BH33+BH39+BH45</f>
        <v>44165625</v>
      </c>
      <c r="BI48" s="36">
        <f>+BI45+BI39+BI33</f>
        <v>0</v>
      </c>
      <c r="BJ48" s="36">
        <f>+BJ45+BJ39+BJ33</f>
        <v>0</v>
      </c>
      <c r="BK48" s="36">
        <f>+BK45+BK39+BK33</f>
        <v>0</v>
      </c>
      <c r="BL48" s="853">
        <f>+SUM(BL31:BL47)</f>
        <v>787.5</v>
      </c>
      <c r="BN48" s="13" t="s">
        <v>15</v>
      </c>
      <c r="BO48" s="661">
        <f>+BO33+BO39+BO45</f>
        <v>14217000</v>
      </c>
      <c r="BP48" s="36">
        <f>+BP45+BP39+BP33</f>
        <v>0</v>
      </c>
      <c r="BQ48" s="36">
        <f>+BQ45+BQ39+BQ33</f>
        <v>0</v>
      </c>
      <c r="BR48" s="36">
        <f>+BR45+BR39+BR33</f>
        <v>0</v>
      </c>
      <c r="BS48" s="853">
        <f>+SUM(BS31:BS47)</f>
        <v>315</v>
      </c>
      <c r="BU48" s="13" t="s">
        <v>15</v>
      </c>
      <c r="BV48" s="661">
        <f>+BV33+BV39+BV45</f>
        <v>12443200</v>
      </c>
      <c r="BW48" s="36">
        <f>+BW45+BW39+BW33</f>
        <v>0</v>
      </c>
      <c r="BX48" s="36">
        <f>+BX45+BX39+BX33</f>
        <v>0</v>
      </c>
      <c r="BY48" s="36">
        <f>+BY45+BY39+BY33</f>
        <v>0</v>
      </c>
      <c r="BZ48" s="853">
        <f>+SUM(BZ31:BZ47)</f>
        <v>660</v>
      </c>
      <c r="CB48" s="13" t="s">
        <v>15</v>
      </c>
      <c r="CC48" s="661">
        <f>+CC33+CC39+CC45</f>
        <v>0</v>
      </c>
      <c r="CD48" s="36">
        <f>+CD45+CD39+CD33</f>
        <v>0</v>
      </c>
      <c r="CE48" s="36">
        <f>+CE45+CE39+CE33</f>
        <v>0</v>
      </c>
      <c r="CF48" s="36">
        <f>+CF45+CF39+CF33</f>
        <v>0</v>
      </c>
      <c r="CG48" s="853">
        <f>+SUM(CG31:CG47)</f>
        <v>2500</v>
      </c>
      <c r="CI48" s="13" t="s">
        <v>15</v>
      </c>
      <c r="CJ48" s="661">
        <f>+CJ33+CJ39+CJ45</f>
        <v>0</v>
      </c>
      <c r="CK48" s="36">
        <f>+CK45+CK39+CK33</f>
        <v>0</v>
      </c>
      <c r="CL48" s="36">
        <f>+CL45+CL39+CL33</f>
        <v>0</v>
      </c>
      <c r="CM48" s="36">
        <f>+CM45+CM39+CM33</f>
        <v>0</v>
      </c>
      <c r="CN48" s="853">
        <f>+SUM(CN31:CN47)</f>
        <v>10000</v>
      </c>
    </row>
    <row r="49" spans="3:92" x14ac:dyDescent="0.2">
      <c r="C49" s="299" t="s">
        <v>733</v>
      </c>
      <c r="D49" s="662">
        <f>+D48</f>
        <v>21290625</v>
      </c>
      <c r="E49" s="300">
        <f>+D49+E48</f>
        <v>21290625</v>
      </c>
      <c r="F49" s="300">
        <f>+E49+F48</f>
        <v>21290625</v>
      </c>
      <c r="G49" s="300">
        <f>+F49+G48</f>
        <v>21290625</v>
      </c>
      <c r="H49" s="854"/>
      <c r="J49" s="299" t="s">
        <v>733</v>
      </c>
      <c r="K49" s="662">
        <f>+K48</f>
        <v>9041000</v>
      </c>
      <c r="L49" s="300">
        <f>+K49+L48</f>
        <v>9041000</v>
      </c>
      <c r="M49" s="300">
        <f>+L49+M48</f>
        <v>9041000</v>
      </c>
      <c r="N49" s="300">
        <f>+M49+N48</f>
        <v>9041000</v>
      </c>
      <c r="O49" s="854"/>
      <c r="Q49" s="299" t="s">
        <v>733</v>
      </c>
      <c r="R49" s="662">
        <f>+R48</f>
        <v>18716800</v>
      </c>
      <c r="S49" s="300">
        <f>+R49+S48</f>
        <v>18716800</v>
      </c>
      <c r="T49" s="300">
        <f>+S49+T48</f>
        <v>18716800</v>
      </c>
      <c r="U49" s="300">
        <f>+T49+U48</f>
        <v>18716800</v>
      </c>
      <c r="V49" s="854"/>
      <c r="X49" s="299" t="s">
        <v>733</v>
      </c>
      <c r="Y49" s="662">
        <f>+Y48</f>
        <v>3702150</v>
      </c>
      <c r="Z49" s="300">
        <f>+Y49+Z48</f>
        <v>3702150</v>
      </c>
      <c r="AA49" s="300">
        <f>+Z49+AA48</f>
        <v>3702150</v>
      </c>
      <c r="AB49" s="300">
        <f>+AA49+AB48</f>
        <v>3702150</v>
      </c>
      <c r="AC49" s="854"/>
      <c r="AE49" s="299" t="s">
        <v>733</v>
      </c>
      <c r="AF49" s="662">
        <f>+AF48</f>
        <v>12597750</v>
      </c>
      <c r="AG49" s="300">
        <f>+AF49+AG48</f>
        <v>12597750</v>
      </c>
      <c r="AH49" s="300">
        <f>+AG49+AH48</f>
        <v>12597750</v>
      </c>
      <c r="AI49" s="300">
        <f>+AH49+AI48</f>
        <v>12597750</v>
      </c>
      <c r="AJ49" s="854"/>
      <c r="AL49" s="299" t="s">
        <v>733</v>
      </c>
      <c r="AM49" s="662">
        <f>+AM48</f>
        <v>7883744</v>
      </c>
      <c r="AN49" s="300">
        <f>+AM49+AN48</f>
        <v>7883744</v>
      </c>
      <c r="AO49" s="300">
        <f>+AN49+AO48</f>
        <v>7883744</v>
      </c>
      <c r="AP49" s="300">
        <f>+AO49+AP48</f>
        <v>7883744</v>
      </c>
      <c r="AQ49" s="854"/>
      <c r="AS49" s="299" t="s">
        <v>733</v>
      </c>
      <c r="AT49" s="662">
        <f>+AT48</f>
        <v>56028000</v>
      </c>
      <c r="AU49" s="300">
        <f>+AT49+AU48</f>
        <v>56028000</v>
      </c>
      <c r="AV49" s="300">
        <f>+AU49+AV48</f>
        <v>56028000</v>
      </c>
      <c r="AW49" s="300">
        <f>+AV49+AW48</f>
        <v>56028000</v>
      </c>
      <c r="AX49" s="854"/>
      <c r="AZ49" s="299" t="s">
        <v>733</v>
      </c>
      <c r="BA49" s="662">
        <f>+BA48</f>
        <v>18423562.5</v>
      </c>
      <c r="BB49" s="300">
        <f>+BA49+BB48</f>
        <v>18423562.5</v>
      </c>
      <c r="BC49" s="300">
        <f>+BB49+BC48</f>
        <v>18423562.5</v>
      </c>
      <c r="BD49" s="300">
        <f>+BC49+BD48</f>
        <v>18423562.5</v>
      </c>
      <c r="BE49" s="854"/>
      <c r="BG49" s="299" t="s">
        <v>733</v>
      </c>
      <c r="BH49" s="662">
        <f>+BH48</f>
        <v>44165625</v>
      </c>
      <c r="BI49" s="300">
        <f>+BH49+BI48</f>
        <v>44165625</v>
      </c>
      <c r="BJ49" s="300">
        <f>+BI49+BJ48</f>
        <v>44165625</v>
      </c>
      <c r="BK49" s="300">
        <f>+BJ49+BK48</f>
        <v>44165625</v>
      </c>
      <c r="BL49" s="854"/>
      <c r="BN49" s="299" t="s">
        <v>733</v>
      </c>
      <c r="BO49" s="662">
        <f>+BO48</f>
        <v>14217000</v>
      </c>
      <c r="BP49" s="300">
        <f>+BO49+BP48</f>
        <v>14217000</v>
      </c>
      <c r="BQ49" s="300">
        <f>+BP49+BQ48</f>
        <v>14217000</v>
      </c>
      <c r="BR49" s="300">
        <f>+BQ49+BR48</f>
        <v>14217000</v>
      </c>
      <c r="BS49" s="854"/>
      <c r="BU49" s="299" t="s">
        <v>733</v>
      </c>
      <c r="BV49" s="662">
        <f>+BV48</f>
        <v>12443200</v>
      </c>
      <c r="BW49" s="300">
        <f>+BV49+BW48</f>
        <v>12443200</v>
      </c>
      <c r="BX49" s="300">
        <f>+BW49+BX48</f>
        <v>12443200</v>
      </c>
      <c r="BY49" s="300">
        <f>+BX49+BY48</f>
        <v>12443200</v>
      </c>
      <c r="BZ49" s="854"/>
      <c r="CB49" s="299" t="s">
        <v>733</v>
      </c>
      <c r="CC49" s="662">
        <f>+CC48</f>
        <v>0</v>
      </c>
      <c r="CD49" s="300">
        <f>+CC49+CD48</f>
        <v>0</v>
      </c>
      <c r="CE49" s="300">
        <f>+CD49+CE48</f>
        <v>0</v>
      </c>
      <c r="CF49" s="300">
        <f>+CE49+CF48</f>
        <v>0</v>
      </c>
      <c r="CG49" s="854"/>
      <c r="CI49" s="299" t="s">
        <v>733</v>
      </c>
      <c r="CJ49" s="662">
        <f>+CJ48</f>
        <v>0</v>
      </c>
      <c r="CK49" s="300">
        <f>+CJ49+CK48</f>
        <v>0</v>
      </c>
      <c r="CL49" s="300">
        <f>+CK49+CL48</f>
        <v>0</v>
      </c>
      <c r="CM49" s="300">
        <f>+CL49+CM48</f>
        <v>0</v>
      </c>
      <c r="CN49" s="854"/>
    </row>
    <row r="52" spans="3:92" x14ac:dyDescent="0.2">
      <c r="E52" s="1"/>
      <c r="F52" s="1"/>
      <c r="L52" s="1"/>
      <c r="M52" s="1"/>
      <c r="S52" s="1"/>
      <c r="T52" s="1"/>
      <c r="Z52" s="1"/>
      <c r="AA52" s="1"/>
      <c r="AG52" s="1"/>
      <c r="AH52" s="1"/>
      <c r="AN52" s="1"/>
      <c r="AO52" s="1"/>
      <c r="AU52" s="1"/>
      <c r="AV52" s="1"/>
      <c r="BB52" s="1"/>
      <c r="BC52" s="1"/>
      <c r="BI52" s="1"/>
      <c r="BJ52" s="1"/>
      <c r="BP52" s="1"/>
      <c r="BQ52" s="1"/>
      <c r="BW52" s="1"/>
      <c r="BX52" s="1"/>
      <c r="CD52" s="1"/>
      <c r="CE52" s="1"/>
      <c r="CK52" s="1"/>
      <c r="CL52" s="1"/>
    </row>
    <row r="53" spans="3:92" x14ac:dyDescent="0.2">
      <c r="C53" s="858" t="s">
        <v>632</v>
      </c>
      <c r="D53" s="859"/>
      <c r="E53" s="859"/>
      <c r="F53" s="859"/>
      <c r="G53" s="859"/>
      <c r="H53" s="860"/>
      <c r="J53" s="858" t="s">
        <v>642</v>
      </c>
      <c r="K53" s="859"/>
      <c r="L53" s="859"/>
      <c r="M53" s="859"/>
      <c r="N53" s="859"/>
      <c r="O53" s="860"/>
      <c r="Q53" s="858" t="s">
        <v>715</v>
      </c>
      <c r="R53" s="859"/>
      <c r="S53" s="859"/>
      <c r="T53" s="859"/>
      <c r="U53" s="859"/>
      <c r="V53" s="860"/>
      <c r="X53" s="858" t="s">
        <v>653</v>
      </c>
      <c r="Y53" s="859"/>
      <c r="Z53" s="859"/>
      <c r="AA53" s="859"/>
      <c r="AB53" s="859"/>
      <c r="AC53" s="860"/>
      <c r="AE53" s="858" t="s">
        <v>659</v>
      </c>
      <c r="AF53" s="859"/>
      <c r="AG53" s="859"/>
      <c r="AH53" s="859"/>
      <c r="AI53" s="859"/>
      <c r="AJ53" s="860"/>
      <c r="AL53" s="858" t="s">
        <v>667</v>
      </c>
      <c r="AM53" s="859"/>
      <c r="AN53" s="859"/>
      <c r="AO53" s="859"/>
      <c r="AP53" s="859"/>
      <c r="AQ53" s="860"/>
      <c r="AS53" s="858" t="s">
        <v>674</v>
      </c>
      <c r="AT53" s="859"/>
      <c r="AU53" s="859"/>
      <c r="AV53" s="859"/>
      <c r="AW53" s="859"/>
      <c r="AX53" s="860"/>
      <c r="AZ53" s="858" t="s">
        <v>682</v>
      </c>
      <c r="BA53" s="859"/>
      <c r="BB53" s="859"/>
      <c r="BC53" s="859"/>
      <c r="BD53" s="859"/>
      <c r="BE53" s="860"/>
      <c r="BG53" s="858" t="s">
        <v>689</v>
      </c>
      <c r="BH53" s="859"/>
      <c r="BI53" s="859"/>
      <c r="BJ53" s="859"/>
      <c r="BK53" s="859"/>
      <c r="BL53" s="860"/>
      <c r="BN53" s="858" t="s">
        <v>699</v>
      </c>
      <c r="BO53" s="859"/>
      <c r="BP53" s="859"/>
      <c r="BQ53" s="859"/>
      <c r="BR53" s="859"/>
      <c r="BS53" s="860"/>
      <c r="BU53" s="858" t="s">
        <v>707</v>
      </c>
      <c r="BV53" s="859"/>
      <c r="BW53" s="859"/>
      <c r="BX53" s="859"/>
      <c r="BY53" s="859"/>
      <c r="BZ53" s="860"/>
      <c r="CB53" s="858" t="s">
        <v>735</v>
      </c>
      <c r="CC53" s="859"/>
      <c r="CD53" s="859"/>
      <c r="CE53" s="859"/>
      <c r="CF53" s="859"/>
      <c r="CG53" s="860"/>
      <c r="CI53" s="858" t="s">
        <v>749</v>
      </c>
      <c r="CJ53" s="859"/>
      <c r="CK53" s="859"/>
      <c r="CL53" s="859"/>
      <c r="CM53" s="859"/>
      <c r="CN53" s="860"/>
    </row>
    <row r="54" spans="3:92" x14ac:dyDescent="0.2">
      <c r="C54" s="9" t="s">
        <v>6</v>
      </c>
      <c r="D54" s="663" t="s">
        <v>9</v>
      </c>
      <c r="E54" s="10" t="s">
        <v>106</v>
      </c>
      <c r="F54" s="10" t="s">
        <v>10</v>
      </c>
      <c r="G54" s="10" t="s">
        <v>11</v>
      </c>
      <c r="H54" s="39" t="s">
        <v>16</v>
      </c>
      <c r="J54" s="9" t="s">
        <v>6</v>
      </c>
      <c r="K54" s="663" t="s">
        <v>9</v>
      </c>
      <c r="L54" s="10" t="s">
        <v>106</v>
      </c>
      <c r="M54" s="10" t="s">
        <v>10</v>
      </c>
      <c r="N54" s="10" t="s">
        <v>11</v>
      </c>
      <c r="O54" s="39" t="s">
        <v>16</v>
      </c>
      <c r="Q54" s="9" t="s">
        <v>6</v>
      </c>
      <c r="R54" s="663" t="s">
        <v>9</v>
      </c>
      <c r="S54" s="10" t="s">
        <v>106</v>
      </c>
      <c r="T54" s="10" t="s">
        <v>10</v>
      </c>
      <c r="U54" s="10" t="s">
        <v>11</v>
      </c>
      <c r="V54" s="39" t="s">
        <v>16</v>
      </c>
      <c r="X54" s="9" t="s">
        <v>6</v>
      </c>
      <c r="Y54" s="663" t="s">
        <v>9</v>
      </c>
      <c r="Z54" s="10" t="s">
        <v>106</v>
      </c>
      <c r="AA54" s="10" t="s">
        <v>10</v>
      </c>
      <c r="AB54" s="10" t="s">
        <v>11</v>
      </c>
      <c r="AC54" s="39" t="s">
        <v>16</v>
      </c>
      <c r="AE54" s="9" t="s">
        <v>6</v>
      </c>
      <c r="AF54" s="663" t="s">
        <v>9</v>
      </c>
      <c r="AG54" s="10" t="s">
        <v>106</v>
      </c>
      <c r="AH54" s="10" t="s">
        <v>10</v>
      </c>
      <c r="AI54" s="10" t="s">
        <v>11</v>
      </c>
      <c r="AJ54" s="39" t="s">
        <v>16</v>
      </c>
      <c r="AL54" s="9" t="s">
        <v>6</v>
      </c>
      <c r="AM54" s="663" t="s">
        <v>9</v>
      </c>
      <c r="AN54" s="10" t="s">
        <v>106</v>
      </c>
      <c r="AO54" s="10" t="s">
        <v>10</v>
      </c>
      <c r="AP54" s="10" t="s">
        <v>11</v>
      </c>
      <c r="AQ54" s="39" t="s">
        <v>16</v>
      </c>
      <c r="AS54" s="9" t="s">
        <v>6</v>
      </c>
      <c r="AT54" s="663" t="s">
        <v>9</v>
      </c>
      <c r="AU54" s="10" t="s">
        <v>106</v>
      </c>
      <c r="AV54" s="10" t="s">
        <v>10</v>
      </c>
      <c r="AW54" s="10" t="s">
        <v>11</v>
      </c>
      <c r="AX54" s="39" t="s">
        <v>16</v>
      </c>
      <c r="AZ54" s="9" t="s">
        <v>6</v>
      </c>
      <c r="BA54" s="663" t="s">
        <v>9</v>
      </c>
      <c r="BB54" s="10" t="s">
        <v>106</v>
      </c>
      <c r="BC54" s="10" t="s">
        <v>10</v>
      </c>
      <c r="BD54" s="10" t="s">
        <v>11</v>
      </c>
      <c r="BE54" s="39" t="s">
        <v>16</v>
      </c>
      <c r="BG54" s="9" t="s">
        <v>6</v>
      </c>
      <c r="BH54" s="663" t="s">
        <v>9</v>
      </c>
      <c r="BI54" s="10" t="s">
        <v>106</v>
      </c>
      <c r="BJ54" s="10" t="s">
        <v>10</v>
      </c>
      <c r="BK54" s="10" t="s">
        <v>11</v>
      </c>
      <c r="BL54" s="39" t="s">
        <v>16</v>
      </c>
      <c r="BN54" s="9" t="s">
        <v>6</v>
      </c>
      <c r="BO54" s="663" t="s">
        <v>9</v>
      </c>
      <c r="BP54" s="10" t="s">
        <v>106</v>
      </c>
      <c r="BQ54" s="10" t="s">
        <v>10</v>
      </c>
      <c r="BR54" s="10" t="s">
        <v>11</v>
      </c>
      <c r="BS54" s="39" t="s">
        <v>16</v>
      </c>
      <c r="BU54" s="9" t="s">
        <v>6</v>
      </c>
      <c r="BV54" s="663" t="s">
        <v>9</v>
      </c>
      <c r="BW54" s="10" t="s">
        <v>106</v>
      </c>
      <c r="BX54" s="10" t="s">
        <v>10</v>
      </c>
      <c r="BY54" s="10" t="s">
        <v>11</v>
      </c>
      <c r="BZ54" s="39" t="s">
        <v>16</v>
      </c>
      <c r="CB54" s="9" t="s">
        <v>6</v>
      </c>
      <c r="CC54" s="663" t="s">
        <v>9</v>
      </c>
      <c r="CD54" s="10" t="s">
        <v>106</v>
      </c>
      <c r="CE54" s="10" t="s">
        <v>10</v>
      </c>
      <c r="CF54" s="10" t="s">
        <v>11</v>
      </c>
      <c r="CG54" s="39" t="s">
        <v>16</v>
      </c>
      <c r="CI54" s="9" t="s">
        <v>6</v>
      </c>
      <c r="CJ54" s="663" t="s">
        <v>9</v>
      </c>
      <c r="CK54" s="10" t="s">
        <v>106</v>
      </c>
      <c r="CL54" s="10" t="s">
        <v>10</v>
      </c>
      <c r="CM54" s="10" t="s">
        <v>11</v>
      </c>
      <c r="CN54" s="39" t="s">
        <v>16</v>
      </c>
    </row>
    <row r="55" spans="3:92" x14ac:dyDescent="0.2">
      <c r="C55" s="18" t="s">
        <v>637</v>
      </c>
      <c r="D55" s="654">
        <f>SUM(D60*D61)</f>
        <v>58.125</v>
      </c>
      <c r="E55" s="20"/>
      <c r="F55" s="21"/>
      <c r="G55" s="21"/>
      <c r="H55" s="38">
        <f>+SUM(D55:G55)</f>
        <v>58.125</v>
      </c>
      <c r="J55" s="18" t="s">
        <v>637</v>
      </c>
      <c r="K55" s="654">
        <f>SUM(K60*K61)</f>
        <v>11</v>
      </c>
      <c r="L55" s="20"/>
      <c r="M55" s="21"/>
      <c r="N55" s="21"/>
      <c r="O55" s="38">
        <f>+SUM(K55:N55)</f>
        <v>11</v>
      </c>
      <c r="Q55" s="18" t="s">
        <v>637</v>
      </c>
      <c r="R55" s="654">
        <f>SUM(R60*R61)</f>
        <v>85</v>
      </c>
      <c r="S55" s="20"/>
      <c r="T55" s="21"/>
      <c r="U55" s="21"/>
      <c r="V55" s="38">
        <f>+SUM(R55:U55)</f>
        <v>85</v>
      </c>
      <c r="X55" s="18" t="s">
        <v>637</v>
      </c>
      <c r="Y55" s="654">
        <f>SUM(Y60*Y61)</f>
        <v>10</v>
      </c>
      <c r="Z55" s="20"/>
      <c r="AA55" s="21"/>
      <c r="AB55" s="21"/>
      <c r="AC55" s="38">
        <f>+SUM(Y55:AB55)</f>
        <v>10</v>
      </c>
      <c r="AE55" s="18" t="s">
        <v>637</v>
      </c>
      <c r="AF55" s="654">
        <f>SUM(AF60*AF61)</f>
        <v>50</v>
      </c>
      <c r="AG55" s="20"/>
      <c r="AH55" s="21"/>
      <c r="AI55" s="21"/>
      <c r="AJ55" s="38">
        <f>+SUM(AF55:AI55)</f>
        <v>50</v>
      </c>
      <c r="AL55" s="18" t="s">
        <v>637</v>
      </c>
      <c r="AM55" s="654">
        <f>SUM(AM60*AM61)</f>
        <v>24.2</v>
      </c>
      <c r="AN55" s="20"/>
      <c r="AO55" s="21"/>
      <c r="AP55" s="21"/>
      <c r="AQ55" s="38">
        <f>+SUM(AM55:AP55)</f>
        <v>24.2</v>
      </c>
      <c r="AS55" s="18" t="s">
        <v>637</v>
      </c>
      <c r="AT55" s="654">
        <f>SUM(AT60*AT61)</f>
        <v>220.5</v>
      </c>
      <c r="AU55" s="20"/>
      <c r="AV55" s="21"/>
      <c r="AW55" s="21"/>
      <c r="AX55" s="38">
        <f>+SUM(AT55:AW55)</f>
        <v>220.5</v>
      </c>
      <c r="AZ55" s="18" t="s">
        <v>637</v>
      </c>
      <c r="BA55" s="654">
        <f>SUM(BA60*BA61)</f>
        <v>82.6875</v>
      </c>
      <c r="BB55" s="20"/>
      <c r="BC55" s="21"/>
      <c r="BD55" s="21"/>
      <c r="BE55" s="38">
        <f>+SUM(BA55:BD55)</f>
        <v>82.6875</v>
      </c>
      <c r="BG55" s="18" t="s">
        <v>637</v>
      </c>
      <c r="BH55" s="654">
        <f>SUM(BH60*BH61)</f>
        <v>275.625</v>
      </c>
      <c r="BI55" s="20"/>
      <c r="BJ55" s="21"/>
      <c r="BK55" s="21"/>
      <c r="BL55" s="38">
        <f>+SUM(BH55:BK55)</f>
        <v>275.625</v>
      </c>
      <c r="BN55" s="18" t="s">
        <v>637</v>
      </c>
      <c r="BO55" s="654">
        <f>SUM(BO60*BO61)</f>
        <v>110.25</v>
      </c>
      <c r="BP55" s="20"/>
      <c r="BQ55" s="21"/>
      <c r="BR55" s="21"/>
      <c r="BS55" s="38">
        <f>+SUM(BO55:BR55)</f>
        <v>110.25</v>
      </c>
      <c r="BU55" s="18" t="s">
        <v>637</v>
      </c>
      <c r="BV55" s="654">
        <f>SUM(BV60*BV61)</f>
        <v>242.00000000000003</v>
      </c>
      <c r="BW55" s="20"/>
      <c r="BX55" s="21"/>
      <c r="BY55" s="21"/>
      <c r="BZ55" s="38">
        <f>+SUM(BV55:BY55)</f>
        <v>242.00000000000003</v>
      </c>
      <c r="CB55" s="18" t="s">
        <v>741</v>
      </c>
      <c r="CC55" s="654">
        <f>SUM(CC60*CC61)</f>
        <v>2500</v>
      </c>
      <c r="CD55" s="20"/>
      <c r="CE55" s="21"/>
      <c r="CF55" s="21"/>
      <c r="CG55" s="38">
        <f>+SUM(CC55:CF55)</f>
        <v>2500</v>
      </c>
      <c r="CI55" s="18" t="s">
        <v>741</v>
      </c>
      <c r="CJ55" s="654">
        <f>SUM(CJ60*CJ61)</f>
        <v>10000</v>
      </c>
      <c r="CK55" s="20"/>
      <c r="CL55" s="21"/>
      <c r="CM55" s="21"/>
      <c r="CN55" s="38">
        <f>+SUM(CJ55:CM55)</f>
        <v>10000</v>
      </c>
    </row>
    <row r="56" spans="3:92" x14ac:dyDescent="0.2">
      <c r="C56" s="11" t="s">
        <v>19</v>
      </c>
      <c r="D56" s="655">
        <f>SUM(D32)</f>
        <v>328500</v>
      </c>
      <c r="E56" s="22">
        <f>SUM(D56)</f>
        <v>328500</v>
      </c>
      <c r="F56" s="22">
        <f>SUM(E56)</f>
        <v>328500</v>
      </c>
      <c r="G56" s="22">
        <f>SUM(F56)</f>
        <v>328500</v>
      </c>
      <c r="H56" s="14"/>
      <c r="J56" s="11" t="s">
        <v>19</v>
      </c>
      <c r="K56" s="655">
        <f>SUM(K32)</f>
        <v>854100</v>
      </c>
      <c r="L56" s="22">
        <f>SUM(K56)</f>
        <v>854100</v>
      </c>
      <c r="M56" s="22">
        <f>SUM(L56)</f>
        <v>854100</v>
      </c>
      <c r="N56" s="22">
        <f>SUM(M56)</f>
        <v>854100</v>
      </c>
      <c r="O56" s="14"/>
      <c r="Q56" s="11" t="s">
        <v>19</v>
      </c>
      <c r="R56" s="655">
        <f>SUM(R32)</f>
        <v>183960</v>
      </c>
      <c r="S56" s="22">
        <f>SUM(R56)</f>
        <v>183960</v>
      </c>
      <c r="T56" s="22">
        <f>SUM(S56)</f>
        <v>183960</v>
      </c>
      <c r="U56" s="22">
        <f>SUM(T56)</f>
        <v>183960</v>
      </c>
      <c r="V56" s="14"/>
      <c r="X56" s="11" t="s">
        <v>19</v>
      </c>
      <c r="Y56" s="655">
        <f>SUM(Y32)</f>
        <v>361350</v>
      </c>
      <c r="Z56" s="22">
        <f>SUM(Y56)</f>
        <v>361350</v>
      </c>
      <c r="AA56" s="22">
        <f>SUM(Z56)</f>
        <v>361350</v>
      </c>
      <c r="AB56" s="22">
        <f>SUM(AA56)</f>
        <v>361350</v>
      </c>
      <c r="AC56" s="14"/>
      <c r="AE56" s="11" t="s">
        <v>19</v>
      </c>
      <c r="AF56" s="655">
        <f>SUM(AF32)</f>
        <v>229950</v>
      </c>
      <c r="AG56" s="22">
        <f>SUM(AF56)</f>
        <v>229950</v>
      </c>
      <c r="AH56" s="22">
        <f>SUM(AG56)</f>
        <v>229950</v>
      </c>
      <c r="AI56" s="22">
        <f>SUM(AH56)</f>
        <v>229950</v>
      </c>
      <c r="AJ56" s="14"/>
      <c r="AL56" s="11" t="s">
        <v>19</v>
      </c>
      <c r="AM56" s="655">
        <f>SUM(AM32)</f>
        <v>308352</v>
      </c>
      <c r="AN56" s="22">
        <f>SUM(AM56)</f>
        <v>308352</v>
      </c>
      <c r="AO56" s="22">
        <f>SUM(AN56)</f>
        <v>308352</v>
      </c>
      <c r="AP56" s="22">
        <f>SUM(AO56)</f>
        <v>308352</v>
      </c>
      <c r="AQ56" s="14"/>
      <c r="AS56" s="11" t="s">
        <v>19</v>
      </c>
      <c r="AT56" s="655">
        <f>SUM(AT32)</f>
        <v>262800</v>
      </c>
      <c r="AU56" s="22">
        <f>SUM(AT56)</f>
        <v>262800</v>
      </c>
      <c r="AV56" s="22">
        <f>SUM(AU56)</f>
        <v>262800</v>
      </c>
      <c r="AW56" s="22">
        <f>SUM(AV56)</f>
        <v>262800</v>
      </c>
      <c r="AX56" s="14"/>
      <c r="AZ56" s="11" t="s">
        <v>19</v>
      </c>
      <c r="BA56" s="655">
        <f>SUM(BA32)</f>
        <v>229950</v>
      </c>
      <c r="BB56" s="22">
        <f>SUM(BA56)</f>
        <v>229950</v>
      </c>
      <c r="BC56" s="22">
        <f>SUM(BB56)</f>
        <v>229950</v>
      </c>
      <c r="BD56" s="22">
        <f>SUM(BC56)</f>
        <v>229950</v>
      </c>
      <c r="BE56" s="14"/>
      <c r="BG56" s="11" t="s">
        <v>19</v>
      </c>
      <c r="BH56" s="655">
        <f>SUM(BH32)</f>
        <v>164250</v>
      </c>
      <c r="BI56" s="22">
        <f>SUM(BH56)</f>
        <v>164250</v>
      </c>
      <c r="BJ56" s="22">
        <f>SUM(BI56)</f>
        <v>164250</v>
      </c>
      <c r="BK56" s="22">
        <f>SUM(BJ56)</f>
        <v>164250</v>
      </c>
      <c r="BL56" s="14"/>
      <c r="BN56" s="11" t="s">
        <v>19</v>
      </c>
      <c r="BO56" s="655">
        <f>SUM(BO32)</f>
        <v>131400</v>
      </c>
      <c r="BP56" s="22">
        <f>SUM(BO56)</f>
        <v>131400</v>
      </c>
      <c r="BQ56" s="22">
        <f>SUM(BP56)</f>
        <v>131400</v>
      </c>
      <c r="BR56" s="22">
        <f>SUM(BQ56)</f>
        <v>131400</v>
      </c>
      <c r="BS56" s="14"/>
      <c r="BU56" s="11" t="s">
        <v>19</v>
      </c>
      <c r="BV56" s="655">
        <f>SUM(BV32)</f>
        <v>52560</v>
      </c>
      <c r="BW56" s="22">
        <f>SUM(BV56)</f>
        <v>52560</v>
      </c>
      <c r="BX56" s="22">
        <f>SUM(BW56)</f>
        <v>52560</v>
      </c>
      <c r="BY56" s="22">
        <f>SUM(BX56)</f>
        <v>52560</v>
      </c>
      <c r="BZ56" s="14"/>
      <c r="CB56" s="11" t="s">
        <v>744</v>
      </c>
      <c r="CC56" s="655">
        <v>5000</v>
      </c>
      <c r="CD56" s="22">
        <f>SUM(CC56)</f>
        <v>5000</v>
      </c>
      <c r="CE56" s="22">
        <f>SUM(CD56)</f>
        <v>5000</v>
      </c>
      <c r="CF56" s="22">
        <f>SUM(CE56)</f>
        <v>5000</v>
      </c>
      <c r="CG56" s="14"/>
      <c r="CI56" s="11" t="s">
        <v>744</v>
      </c>
      <c r="CJ56" s="655">
        <v>500</v>
      </c>
      <c r="CK56" s="22">
        <f>SUM(CJ56)</f>
        <v>500</v>
      </c>
      <c r="CL56" s="22">
        <f>SUM(CK56)</f>
        <v>500</v>
      </c>
      <c r="CM56" s="22">
        <f>SUM(CL56)</f>
        <v>500</v>
      </c>
      <c r="CN56" s="14"/>
    </row>
    <row r="57" spans="3:92" x14ac:dyDescent="0.2">
      <c r="C57" s="6" t="s">
        <v>7</v>
      </c>
      <c r="D57" s="656">
        <f>+D56*D55</f>
        <v>19094062.5</v>
      </c>
      <c r="E57" s="24">
        <f>+E56*E55</f>
        <v>0</v>
      </c>
      <c r="F57" s="25">
        <f>+F56*F55</f>
        <v>0</v>
      </c>
      <c r="G57" s="25">
        <f>+G56*G55</f>
        <v>0</v>
      </c>
      <c r="H57" s="14"/>
      <c r="J57" s="6" t="s">
        <v>7</v>
      </c>
      <c r="K57" s="656">
        <f>+K56*K55</f>
        <v>9395100</v>
      </c>
      <c r="L57" s="24">
        <f>+L56*L55</f>
        <v>0</v>
      </c>
      <c r="M57" s="25">
        <f>+M56*M55</f>
        <v>0</v>
      </c>
      <c r="N57" s="25">
        <f>+N56*N55</f>
        <v>0</v>
      </c>
      <c r="O57" s="14"/>
      <c r="Q57" s="6" t="s">
        <v>7</v>
      </c>
      <c r="R57" s="656">
        <f>+R56*R55</f>
        <v>15636600</v>
      </c>
      <c r="S57" s="24">
        <f>+S56*S55</f>
        <v>0</v>
      </c>
      <c r="T57" s="25">
        <f>+T56*T55</f>
        <v>0</v>
      </c>
      <c r="U57" s="25">
        <f>+U56*U55</f>
        <v>0</v>
      </c>
      <c r="V57" s="14"/>
      <c r="X57" s="6" t="s">
        <v>7</v>
      </c>
      <c r="Y57" s="656">
        <f>+Y56*Y55</f>
        <v>3613500</v>
      </c>
      <c r="Z57" s="24">
        <f>+Z56*Z55</f>
        <v>0</v>
      </c>
      <c r="AA57" s="25">
        <f>+AA56*AA55</f>
        <v>0</v>
      </c>
      <c r="AB57" s="25">
        <f>+AB56*AB55</f>
        <v>0</v>
      </c>
      <c r="AC57" s="14"/>
      <c r="AE57" s="6" t="s">
        <v>7</v>
      </c>
      <c r="AF57" s="656">
        <f>+AF56*AF55</f>
        <v>11497500</v>
      </c>
      <c r="AG57" s="24">
        <f>+AG56*AG55</f>
        <v>0</v>
      </c>
      <c r="AH57" s="25">
        <f>+AH56*AH55</f>
        <v>0</v>
      </c>
      <c r="AI57" s="25">
        <f>+AI56*AI55</f>
        <v>0</v>
      </c>
      <c r="AJ57" s="14"/>
      <c r="AL57" s="6" t="s">
        <v>7</v>
      </c>
      <c r="AM57" s="656">
        <f>+AM56*AM55</f>
        <v>7462118.3999999994</v>
      </c>
      <c r="AN57" s="24">
        <f>+AN56*AN55</f>
        <v>0</v>
      </c>
      <c r="AO57" s="25">
        <f>+AO56*AO55</f>
        <v>0</v>
      </c>
      <c r="AP57" s="25">
        <f>+AP56*AP55</f>
        <v>0</v>
      </c>
      <c r="AQ57" s="14"/>
      <c r="AS57" s="6" t="s">
        <v>7</v>
      </c>
      <c r="AT57" s="656">
        <f>+AT56*AT55</f>
        <v>57947400</v>
      </c>
      <c r="AU57" s="24">
        <f>+AU56*AU55</f>
        <v>0</v>
      </c>
      <c r="AV57" s="25">
        <f>+AV56*AV55</f>
        <v>0</v>
      </c>
      <c r="AW57" s="25">
        <f>+AW56*AW55</f>
        <v>0</v>
      </c>
      <c r="AX57" s="14"/>
      <c r="AZ57" s="6" t="s">
        <v>7</v>
      </c>
      <c r="BA57" s="656">
        <f>+BA56*BA55</f>
        <v>19013990.625</v>
      </c>
      <c r="BB57" s="24">
        <f>+BB56*BB55</f>
        <v>0</v>
      </c>
      <c r="BC57" s="25">
        <f>+BC56*BC55</f>
        <v>0</v>
      </c>
      <c r="BD57" s="25">
        <f>+BD56*BD55</f>
        <v>0</v>
      </c>
      <c r="BE57" s="14"/>
      <c r="BG57" s="6" t="s">
        <v>7</v>
      </c>
      <c r="BH57" s="656">
        <f>+BH56*BH55</f>
        <v>45271406.25</v>
      </c>
      <c r="BI57" s="24">
        <f>+BI56*BI55</f>
        <v>0</v>
      </c>
      <c r="BJ57" s="25">
        <f>+BJ56*BJ55</f>
        <v>0</v>
      </c>
      <c r="BK57" s="25">
        <f>+BK56*BK55</f>
        <v>0</v>
      </c>
      <c r="BL57" s="14"/>
      <c r="BN57" s="6" t="s">
        <v>7</v>
      </c>
      <c r="BO57" s="656">
        <f>+BO56*BO55</f>
        <v>14486850</v>
      </c>
      <c r="BP57" s="24">
        <f>+BP56*BP55</f>
        <v>0</v>
      </c>
      <c r="BQ57" s="25">
        <f>+BQ56*BQ55</f>
        <v>0</v>
      </c>
      <c r="BR57" s="25">
        <f>+BR56*BR55</f>
        <v>0</v>
      </c>
      <c r="BS57" s="14"/>
      <c r="BU57" s="6" t="s">
        <v>7</v>
      </c>
      <c r="BV57" s="656">
        <f>+BV56*BV55</f>
        <v>12719520.000000002</v>
      </c>
      <c r="BW57" s="24">
        <f>+BW56*BW55</f>
        <v>0</v>
      </c>
      <c r="BX57" s="25">
        <f>+BX56*BX55</f>
        <v>0</v>
      </c>
      <c r="BY57" s="25">
        <f>+BY56*BY55</f>
        <v>0</v>
      </c>
      <c r="BZ57" s="14"/>
      <c r="CB57" s="6" t="s">
        <v>7</v>
      </c>
      <c r="CC57" s="656">
        <f>+CC56*CC55</f>
        <v>12500000</v>
      </c>
      <c r="CD57" s="24">
        <f>+CD56*CD55</f>
        <v>0</v>
      </c>
      <c r="CE57" s="25">
        <f>+CE56*CE55</f>
        <v>0</v>
      </c>
      <c r="CF57" s="25">
        <f>+CF56*CF55</f>
        <v>0</v>
      </c>
      <c r="CG57" s="14"/>
      <c r="CI57" s="6" t="s">
        <v>7</v>
      </c>
      <c r="CJ57" s="656">
        <f>+CJ56*CJ55</f>
        <v>5000000</v>
      </c>
      <c r="CK57" s="24">
        <f>+CK56*CK55</f>
        <v>0</v>
      </c>
      <c r="CL57" s="25">
        <f>+CL56*CL55</f>
        <v>0</v>
      </c>
      <c r="CM57" s="25">
        <f>+CM56*CM55</f>
        <v>0</v>
      </c>
      <c r="CN57" s="14"/>
    </row>
    <row r="58" spans="3:92" x14ac:dyDescent="0.2">
      <c r="C58" s="16" t="s">
        <v>8</v>
      </c>
      <c r="D58" s="655">
        <f>+D57</f>
        <v>19094062.5</v>
      </c>
      <c r="E58" s="22">
        <f>+D58+E57</f>
        <v>19094062.5</v>
      </c>
      <c r="F58" s="23">
        <f>+E58+F57</f>
        <v>19094062.5</v>
      </c>
      <c r="G58" s="23">
        <f>+F58+G57</f>
        <v>19094062.5</v>
      </c>
      <c r="H58" s="14"/>
      <c r="J58" s="16" t="s">
        <v>8</v>
      </c>
      <c r="K58" s="655">
        <f>+K57</f>
        <v>9395100</v>
      </c>
      <c r="L58" s="22">
        <f>+K58+L57</f>
        <v>9395100</v>
      </c>
      <c r="M58" s="23">
        <f>+L58+M57</f>
        <v>9395100</v>
      </c>
      <c r="N58" s="23">
        <f>+M58+N57</f>
        <v>9395100</v>
      </c>
      <c r="O58" s="14"/>
      <c r="Q58" s="16" t="s">
        <v>8</v>
      </c>
      <c r="R58" s="655">
        <f>+R57</f>
        <v>15636600</v>
      </c>
      <c r="S58" s="22">
        <f>+R58+S57</f>
        <v>15636600</v>
      </c>
      <c r="T58" s="23">
        <f>+S58+T57</f>
        <v>15636600</v>
      </c>
      <c r="U58" s="23">
        <f>+T58+U57</f>
        <v>15636600</v>
      </c>
      <c r="V58" s="14"/>
      <c r="X58" s="16" t="s">
        <v>8</v>
      </c>
      <c r="Y58" s="655">
        <f>+Y57</f>
        <v>3613500</v>
      </c>
      <c r="Z58" s="22">
        <f>+Y58+Z57</f>
        <v>3613500</v>
      </c>
      <c r="AA58" s="23">
        <f>+Z58+AA57</f>
        <v>3613500</v>
      </c>
      <c r="AB58" s="23">
        <f>+AA58+AB57</f>
        <v>3613500</v>
      </c>
      <c r="AC58" s="14"/>
      <c r="AE58" s="16" t="s">
        <v>8</v>
      </c>
      <c r="AF58" s="655">
        <f>+AF57</f>
        <v>11497500</v>
      </c>
      <c r="AG58" s="22">
        <f>+AF58+AG57</f>
        <v>11497500</v>
      </c>
      <c r="AH58" s="23">
        <f>+AG58+AH57</f>
        <v>11497500</v>
      </c>
      <c r="AI58" s="23">
        <f>+AH58+AI57</f>
        <v>11497500</v>
      </c>
      <c r="AJ58" s="14"/>
      <c r="AL58" s="16" t="s">
        <v>8</v>
      </c>
      <c r="AM58" s="655">
        <f>+AM57</f>
        <v>7462118.3999999994</v>
      </c>
      <c r="AN58" s="22">
        <f>+AM58+AN57</f>
        <v>7462118.3999999994</v>
      </c>
      <c r="AO58" s="23">
        <f>+AN58+AO57</f>
        <v>7462118.3999999994</v>
      </c>
      <c r="AP58" s="23">
        <f>+AO58+AP57</f>
        <v>7462118.3999999994</v>
      </c>
      <c r="AQ58" s="14"/>
      <c r="AS58" s="16" t="s">
        <v>8</v>
      </c>
      <c r="AT58" s="655">
        <f>+AT57</f>
        <v>57947400</v>
      </c>
      <c r="AU58" s="22">
        <f>+AT58+AU57</f>
        <v>57947400</v>
      </c>
      <c r="AV58" s="23">
        <f>+AU58+AV57</f>
        <v>57947400</v>
      </c>
      <c r="AW58" s="23">
        <f>+AV58+AW57</f>
        <v>57947400</v>
      </c>
      <c r="AX58" s="14"/>
      <c r="AZ58" s="16" t="s">
        <v>8</v>
      </c>
      <c r="BA58" s="655">
        <f>+BA57</f>
        <v>19013990.625</v>
      </c>
      <c r="BB58" s="22">
        <f>+BA58+BB57</f>
        <v>19013990.625</v>
      </c>
      <c r="BC58" s="23">
        <f>+BB58+BC57</f>
        <v>19013990.625</v>
      </c>
      <c r="BD58" s="23">
        <f>+BC58+BD57</f>
        <v>19013990.625</v>
      </c>
      <c r="BE58" s="14"/>
      <c r="BG58" s="16" t="s">
        <v>8</v>
      </c>
      <c r="BH58" s="655">
        <f>+BH57</f>
        <v>45271406.25</v>
      </c>
      <c r="BI58" s="22">
        <f>+BH58+BI57</f>
        <v>45271406.25</v>
      </c>
      <c r="BJ58" s="23">
        <f>+BI58+BJ57</f>
        <v>45271406.25</v>
      </c>
      <c r="BK58" s="23">
        <f>+BJ58+BK57</f>
        <v>45271406.25</v>
      </c>
      <c r="BL58" s="14"/>
      <c r="BN58" s="16" t="s">
        <v>8</v>
      </c>
      <c r="BO58" s="655">
        <f>+BO57</f>
        <v>14486850</v>
      </c>
      <c r="BP58" s="22">
        <f>+BO58+BP57</f>
        <v>14486850</v>
      </c>
      <c r="BQ58" s="23">
        <f>+BP58+BQ57</f>
        <v>14486850</v>
      </c>
      <c r="BR58" s="23">
        <f>+BQ58+BR57</f>
        <v>14486850</v>
      </c>
      <c r="BS58" s="14"/>
      <c r="BU58" s="16" t="s">
        <v>8</v>
      </c>
      <c r="BV58" s="655">
        <f>+BV57</f>
        <v>12719520.000000002</v>
      </c>
      <c r="BW58" s="22">
        <f>+BV58+BW57</f>
        <v>12719520.000000002</v>
      </c>
      <c r="BX58" s="23">
        <f>+BW58+BX57</f>
        <v>12719520.000000002</v>
      </c>
      <c r="BY58" s="23">
        <f>+BX58+BY57</f>
        <v>12719520.000000002</v>
      </c>
      <c r="BZ58" s="14"/>
      <c r="CB58" s="16" t="s">
        <v>8</v>
      </c>
      <c r="CC58" s="655">
        <f>+CC57</f>
        <v>12500000</v>
      </c>
      <c r="CD58" s="22">
        <f>+CC58+CD57</f>
        <v>12500000</v>
      </c>
      <c r="CE58" s="23">
        <f>+CD58+CE57</f>
        <v>12500000</v>
      </c>
      <c r="CF58" s="23">
        <f>+CE58+CF57</f>
        <v>12500000</v>
      </c>
      <c r="CG58" s="14"/>
      <c r="CI58" s="16" t="s">
        <v>8</v>
      </c>
      <c r="CJ58" s="655">
        <f>+CJ57</f>
        <v>5000000</v>
      </c>
      <c r="CK58" s="22">
        <f>+CJ58+CK57</f>
        <v>5000000</v>
      </c>
      <c r="CL58" s="23">
        <f>+CK58+CL57</f>
        <v>5000000</v>
      </c>
      <c r="CM58" s="23">
        <f>+CL58+CM57</f>
        <v>5000000</v>
      </c>
      <c r="CN58" s="14"/>
    </row>
    <row r="59" spans="3:92" x14ac:dyDescent="0.2">
      <c r="C59" s="7"/>
      <c r="D59" s="656"/>
      <c r="E59" s="26"/>
      <c r="F59" s="27"/>
      <c r="G59" s="27"/>
      <c r="H59" s="14"/>
      <c r="J59" s="7"/>
      <c r="K59" s="656"/>
      <c r="L59" s="26"/>
      <c r="M59" s="27"/>
      <c r="N59" s="27"/>
      <c r="O59" s="14"/>
      <c r="Q59" s="7"/>
      <c r="R59" s="656"/>
      <c r="S59" s="26"/>
      <c r="T59" s="27"/>
      <c r="U59" s="27"/>
      <c r="V59" s="14"/>
      <c r="X59" s="7"/>
      <c r="Y59" s="656"/>
      <c r="Z59" s="26"/>
      <c r="AA59" s="27"/>
      <c r="AB59" s="27"/>
      <c r="AC59" s="14"/>
      <c r="AE59" s="7"/>
      <c r="AF59" s="656"/>
      <c r="AG59" s="26"/>
      <c r="AH59" s="27"/>
      <c r="AI59" s="27"/>
      <c r="AJ59" s="14"/>
      <c r="AL59" s="7"/>
      <c r="AM59" s="656"/>
      <c r="AN59" s="26"/>
      <c r="AO59" s="27"/>
      <c r="AP59" s="27"/>
      <c r="AQ59" s="14"/>
      <c r="AS59" s="7"/>
      <c r="AT59" s="656"/>
      <c r="AU59" s="26"/>
      <c r="AV59" s="27"/>
      <c r="AW59" s="27"/>
      <c r="AX59" s="14"/>
      <c r="AZ59" s="7"/>
      <c r="BA59" s="656"/>
      <c r="BB59" s="26"/>
      <c r="BC59" s="27"/>
      <c r="BD59" s="27"/>
      <c r="BE59" s="14"/>
      <c r="BG59" s="7"/>
      <c r="BH59" s="656"/>
      <c r="BI59" s="26"/>
      <c r="BJ59" s="27"/>
      <c r="BK59" s="27"/>
      <c r="BL59" s="14"/>
      <c r="BN59" s="7"/>
      <c r="BO59" s="656"/>
      <c r="BP59" s="26"/>
      <c r="BQ59" s="27"/>
      <c r="BR59" s="27"/>
      <c r="BS59" s="14"/>
      <c r="BU59" s="7"/>
      <c r="BV59" s="656"/>
      <c r="BW59" s="26"/>
      <c r="BX59" s="27"/>
      <c r="BY59" s="27"/>
      <c r="BZ59" s="14"/>
      <c r="CB59" s="7"/>
      <c r="CC59" s="656"/>
      <c r="CD59" s="26"/>
      <c r="CE59" s="27"/>
      <c r="CF59" s="27"/>
      <c r="CG59" s="14"/>
      <c r="CI59" s="7"/>
      <c r="CJ59" s="656"/>
      <c r="CK59" s="26"/>
      <c r="CL59" s="27"/>
      <c r="CM59" s="27"/>
      <c r="CN59" s="14"/>
    </row>
    <row r="60" spans="3:92" x14ac:dyDescent="0.2">
      <c r="C60" s="17" t="s">
        <v>628</v>
      </c>
      <c r="D60" s="671">
        <f>SUM('Coûts de product° Agricole'!F18)/1000</f>
        <v>2.90625</v>
      </c>
      <c r="E60" s="101"/>
      <c r="F60" s="102"/>
      <c r="G60" s="102"/>
      <c r="H60" s="672"/>
      <c r="J60" s="17" t="s">
        <v>628</v>
      </c>
      <c r="K60" s="671">
        <f>SUM('Coûts de product° Agricole'!F36)/1000</f>
        <v>1.1000000000000001</v>
      </c>
      <c r="L60" s="101"/>
      <c r="M60" s="102"/>
      <c r="N60" s="102"/>
      <c r="O60" s="672"/>
      <c r="Q60" s="17" t="s">
        <v>628</v>
      </c>
      <c r="R60" s="671">
        <f>SUM('Coûts de product° Agricole'!F54)/1000</f>
        <v>4.25</v>
      </c>
      <c r="S60" s="101"/>
      <c r="T60" s="102"/>
      <c r="U60" s="102"/>
      <c r="V60" s="672"/>
      <c r="X60" s="17" t="s">
        <v>628</v>
      </c>
      <c r="Y60" s="671">
        <f>SUM('Coûts de product° Agricole'!G72)/1000</f>
        <v>1</v>
      </c>
      <c r="Z60" s="101"/>
      <c r="AA60" s="102"/>
      <c r="AB60" s="102"/>
      <c r="AC60" s="672"/>
      <c r="AE60" s="17" t="s">
        <v>628</v>
      </c>
      <c r="AF60" s="671">
        <f>SUM('Coûts de product° Agricole'!F92)/1000</f>
        <v>10</v>
      </c>
      <c r="AG60" s="101"/>
      <c r="AH60" s="102"/>
      <c r="AI60" s="102"/>
      <c r="AJ60" s="672"/>
      <c r="AL60" s="17" t="s">
        <v>628</v>
      </c>
      <c r="AM60" s="671">
        <f>SUM('Coûts de product° Agricole'!F110)/1000</f>
        <v>2.42</v>
      </c>
      <c r="AN60" s="101"/>
      <c r="AO60" s="102"/>
      <c r="AP60" s="102"/>
      <c r="AQ60" s="672"/>
      <c r="AS60" s="17" t="s">
        <v>628</v>
      </c>
      <c r="AT60" s="671">
        <f>SUM('Coûts de product° Agricole'!F128)/1000</f>
        <v>22.05</v>
      </c>
      <c r="AU60" s="101"/>
      <c r="AV60" s="102"/>
      <c r="AW60" s="102"/>
      <c r="AX60" s="672"/>
      <c r="AZ60" s="17" t="s">
        <v>628</v>
      </c>
      <c r="BA60" s="671">
        <f>SUM('Coûts de product° Agricole'!F146)/1000</f>
        <v>16.537500000000001</v>
      </c>
      <c r="BB60" s="101"/>
      <c r="BC60" s="102"/>
      <c r="BD60" s="102"/>
      <c r="BE60" s="672"/>
      <c r="BG60" s="17" t="s">
        <v>628</v>
      </c>
      <c r="BH60" s="671">
        <f>SUM('Coûts de product° Agricole'!F164)/1000</f>
        <v>27.5625</v>
      </c>
      <c r="BI60" s="101"/>
      <c r="BJ60" s="102"/>
      <c r="BK60" s="102"/>
      <c r="BL60" s="672"/>
      <c r="BN60" s="17" t="s">
        <v>628</v>
      </c>
      <c r="BO60" s="671">
        <f>SUM('Coûts de product° Agricole'!F182)/1000</f>
        <v>22.05</v>
      </c>
      <c r="BP60" s="101"/>
      <c r="BQ60" s="102"/>
      <c r="BR60" s="102"/>
      <c r="BS60" s="672"/>
      <c r="BU60" s="17" t="s">
        <v>628</v>
      </c>
      <c r="BV60" s="671">
        <f>SUM('Coûts de product° Agricole'!F200)/1000</f>
        <v>24.200000000000003</v>
      </c>
      <c r="BW60" s="101"/>
      <c r="BX60" s="102"/>
      <c r="BY60" s="102"/>
      <c r="BZ60" s="672"/>
      <c r="CB60" s="17" t="s">
        <v>816</v>
      </c>
      <c r="CC60" s="671">
        <v>500</v>
      </c>
      <c r="CD60" s="101"/>
      <c r="CE60" s="102"/>
      <c r="CF60" s="102"/>
      <c r="CG60" s="672"/>
      <c r="CI60" s="17" t="s">
        <v>816</v>
      </c>
      <c r="CJ60" s="671">
        <v>2000</v>
      </c>
      <c r="CK60" s="101"/>
      <c r="CL60" s="102"/>
      <c r="CM60" s="102"/>
      <c r="CN60" s="672"/>
    </row>
    <row r="61" spans="3:92" x14ac:dyDescent="0.2">
      <c r="C61" s="11" t="s">
        <v>629</v>
      </c>
      <c r="D61" s="655">
        <v>20</v>
      </c>
      <c r="E61" s="22"/>
      <c r="F61" s="23">
        <v>0</v>
      </c>
      <c r="G61" s="22"/>
      <c r="H61" s="38">
        <f>+SUM(D61:G61)</f>
        <v>20</v>
      </c>
      <c r="J61" s="11" t="s">
        <v>629</v>
      </c>
      <c r="K61" s="655">
        <v>10</v>
      </c>
      <c r="L61" s="22"/>
      <c r="M61" s="23">
        <v>0</v>
      </c>
      <c r="N61" s="22"/>
      <c r="O61" s="38">
        <f>+SUM(K61:N61)</f>
        <v>10</v>
      </c>
      <c r="Q61" s="11" t="s">
        <v>629</v>
      </c>
      <c r="R61" s="655">
        <v>20</v>
      </c>
      <c r="S61" s="22"/>
      <c r="T61" s="23">
        <v>0</v>
      </c>
      <c r="U61" s="22"/>
      <c r="V61" s="38">
        <f>+SUM(R61:U61)</f>
        <v>20</v>
      </c>
      <c r="X61" s="11" t="s">
        <v>629</v>
      </c>
      <c r="Y61" s="655">
        <v>10</v>
      </c>
      <c r="Z61" s="22"/>
      <c r="AA61" s="23">
        <v>0</v>
      </c>
      <c r="AB61" s="22"/>
      <c r="AC61" s="38">
        <f>+SUM(Y61:AB61)</f>
        <v>10</v>
      </c>
      <c r="AE61" s="11" t="s">
        <v>629</v>
      </c>
      <c r="AF61" s="655">
        <v>5</v>
      </c>
      <c r="AG61" s="22"/>
      <c r="AH61" s="23">
        <v>0</v>
      </c>
      <c r="AI61" s="22"/>
      <c r="AJ61" s="38">
        <f>+SUM(AF61:AI61)</f>
        <v>5</v>
      </c>
      <c r="AL61" s="11" t="s">
        <v>629</v>
      </c>
      <c r="AM61" s="655">
        <v>10</v>
      </c>
      <c r="AN61" s="22"/>
      <c r="AO61" s="23">
        <v>0</v>
      </c>
      <c r="AP61" s="22"/>
      <c r="AQ61" s="38"/>
      <c r="AS61" s="11" t="s">
        <v>629</v>
      </c>
      <c r="AT61" s="655">
        <v>10</v>
      </c>
      <c r="AU61" s="22"/>
      <c r="AV61" s="23">
        <v>0</v>
      </c>
      <c r="AW61" s="22"/>
      <c r="AX61" s="38"/>
      <c r="AZ61" s="11" t="s">
        <v>629</v>
      </c>
      <c r="BA61" s="655">
        <v>5</v>
      </c>
      <c r="BB61" s="22"/>
      <c r="BC61" s="23">
        <v>0</v>
      </c>
      <c r="BD61" s="22"/>
      <c r="BE61" s="38"/>
      <c r="BG61" s="11" t="s">
        <v>629</v>
      </c>
      <c r="BH61" s="655">
        <v>10</v>
      </c>
      <c r="BI61" s="22"/>
      <c r="BJ61" s="23">
        <v>0</v>
      </c>
      <c r="BK61" s="22"/>
      <c r="BL61" s="38"/>
      <c r="BN61" s="11" t="s">
        <v>629</v>
      </c>
      <c r="BO61" s="655">
        <v>5</v>
      </c>
      <c r="BP61" s="22"/>
      <c r="BQ61" s="23">
        <v>0</v>
      </c>
      <c r="BR61" s="22"/>
      <c r="BS61" s="38"/>
      <c r="BU61" s="11" t="s">
        <v>629</v>
      </c>
      <c r="BV61" s="655">
        <v>10</v>
      </c>
      <c r="BW61" s="22"/>
      <c r="BX61" s="23">
        <v>0</v>
      </c>
      <c r="BY61" s="22"/>
      <c r="BZ61" s="38"/>
      <c r="CB61" s="11" t="s">
        <v>629</v>
      </c>
      <c r="CC61" s="655">
        <v>5</v>
      </c>
      <c r="CD61" s="22"/>
      <c r="CE61" s="23">
        <v>0</v>
      </c>
      <c r="CF61" s="22"/>
      <c r="CG61" s="38"/>
      <c r="CI61" s="11" t="s">
        <v>629</v>
      </c>
      <c r="CJ61" s="655">
        <v>5</v>
      </c>
      <c r="CK61" s="22"/>
      <c r="CL61" s="23">
        <v>0</v>
      </c>
      <c r="CM61" s="22"/>
      <c r="CN61" s="38"/>
    </row>
    <row r="62" spans="3:92" x14ac:dyDescent="0.2">
      <c r="C62" s="7"/>
      <c r="D62" s="656"/>
      <c r="E62" s="24"/>
      <c r="F62" s="24"/>
      <c r="G62" s="24"/>
      <c r="H62" s="14"/>
      <c r="J62" s="7"/>
      <c r="K62" s="656"/>
      <c r="L62" s="24"/>
      <c r="M62" s="24"/>
      <c r="N62" s="24"/>
      <c r="O62" s="14"/>
      <c r="Q62" s="7"/>
      <c r="R62" s="656"/>
      <c r="S62" s="24"/>
      <c r="T62" s="24"/>
      <c r="U62" s="24"/>
      <c r="V62" s="14"/>
      <c r="X62" s="7"/>
      <c r="Y62" s="656"/>
      <c r="Z62" s="24"/>
      <c r="AA62" s="24"/>
      <c r="AB62" s="24"/>
      <c r="AC62" s="14"/>
      <c r="AE62" s="7"/>
      <c r="AF62" s="656"/>
      <c r="AG62" s="24"/>
      <c r="AH62" s="24"/>
      <c r="AI62" s="24"/>
      <c r="AJ62" s="14"/>
      <c r="AL62" s="7"/>
      <c r="AM62" s="656"/>
      <c r="AN62" s="24"/>
      <c r="AO62" s="24"/>
      <c r="AP62" s="24"/>
      <c r="AQ62" s="14"/>
      <c r="AS62" s="7"/>
      <c r="AT62" s="656"/>
      <c r="AU62" s="24"/>
      <c r="AV62" s="24"/>
      <c r="AW62" s="24"/>
      <c r="AX62" s="14"/>
      <c r="AZ62" s="7"/>
      <c r="BA62" s="656"/>
      <c r="BB62" s="24"/>
      <c r="BC62" s="24"/>
      <c r="BD62" s="24"/>
      <c r="BE62" s="14"/>
      <c r="BG62" s="7"/>
      <c r="BH62" s="656"/>
      <c r="BI62" s="24"/>
      <c r="BJ62" s="24"/>
      <c r="BK62" s="24"/>
      <c r="BL62" s="14"/>
      <c r="BN62" s="7"/>
      <c r="BO62" s="656"/>
      <c r="BP62" s="24"/>
      <c r="BQ62" s="24"/>
      <c r="BR62" s="24"/>
      <c r="BS62" s="14"/>
      <c r="BU62" s="7"/>
      <c r="BV62" s="656"/>
      <c r="BW62" s="24"/>
      <c r="BX62" s="24"/>
      <c r="BY62" s="24"/>
      <c r="BZ62" s="14"/>
      <c r="CB62" s="7"/>
      <c r="CC62" s="656"/>
      <c r="CD62" s="24"/>
      <c r="CE62" s="24"/>
      <c r="CF62" s="24"/>
      <c r="CG62" s="14"/>
      <c r="CI62" s="7"/>
      <c r="CJ62" s="656"/>
      <c r="CK62" s="24"/>
      <c r="CL62" s="24"/>
      <c r="CM62" s="24"/>
      <c r="CN62" s="14"/>
    </row>
    <row r="63" spans="3:92" x14ac:dyDescent="0.2">
      <c r="C63" s="15"/>
      <c r="D63" s="655"/>
      <c r="E63" s="22"/>
      <c r="F63" s="23"/>
      <c r="G63" s="22"/>
      <c r="H63" s="14"/>
      <c r="J63" s="15"/>
      <c r="K63" s="655"/>
      <c r="L63" s="22"/>
      <c r="M63" s="23"/>
      <c r="N63" s="22"/>
      <c r="O63" s="14"/>
      <c r="Q63" s="15"/>
      <c r="R63" s="655"/>
      <c r="S63" s="22"/>
      <c r="T63" s="23"/>
      <c r="U63" s="22"/>
      <c r="V63" s="14"/>
      <c r="X63" s="15"/>
      <c r="Y63" s="655"/>
      <c r="Z63" s="22"/>
      <c r="AA63" s="23"/>
      <c r="AB63" s="22"/>
      <c r="AC63" s="14"/>
      <c r="AE63" s="15"/>
      <c r="AF63" s="655"/>
      <c r="AG63" s="22"/>
      <c r="AH63" s="23"/>
      <c r="AI63" s="22"/>
      <c r="AJ63" s="14"/>
      <c r="AL63" s="15"/>
      <c r="AM63" s="655"/>
      <c r="AN63" s="22"/>
      <c r="AO63" s="23"/>
      <c r="AP63" s="22"/>
      <c r="AQ63" s="14"/>
      <c r="AS63" s="15"/>
      <c r="AT63" s="655"/>
      <c r="AU63" s="22"/>
      <c r="AV63" s="23"/>
      <c r="AW63" s="22"/>
      <c r="AX63" s="14"/>
      <c r="AZ63" s="15"/>
      <c r="BA63" s="655"/>
      <c r="BB63" s="22"/>
      <c r="BC63" s="23"/>
      <c r="BD63" s="22"/>
      <c r="BE63" s="14"/>
      <c r="BG63" s="15"/>
      <c r="BH63" s="655"/>
      <c r="BI63" s="22"/>
      <c r="BJ63" s="23"/>
      <c r="BK63" s="22"/>
      <c r="BL63" s="14"/>
      <c r="BN63" s="15"/>
      <c r="BO63" s="655"/>
      <c r="BP63" s="22"/>
      <c r="BQ63" s="23"/>
      <c r="BR63" s="22"/>
      <c r="BS63" s="14"/>
      <c r="BU63" s="15"/>
      <c r="BV63" s="655"/>
      <c r="BW63" s="22"/>
      <c r="BX63" s="23"/>
      <c r="BY63" s="22"/>
      <c r="BZ63" s="14"/>
      <c r="CB63" s="15"/>
      <c r="CC63" s="655"/>
      <c r="CD63" s="22"/>
      <c r="CE63" s="23"/>
      <c r="CF63" s="22"/>
      <c r="CG63" s="14"/>
      <c r="CI63" s="15"/>
      <c r="CJ63" s="655"/>
      <c r="CK63" s="22"/>
      <c r="CL63" s="23"/>
      <c r="CM63" s="22"/>
      <c r="CN63" s="14"/>
    </row>
    <row r="64" spans="3:92" x14ac:dyDescent="0.2">
      <c r="C64" s="12"/>
      <c r="D64" s="657"/>
      <c r="E64" s="28"/>
      <c r="F64" s="29"/>
      <c r="G64" s="28"/>
      <c r="H64" s="14"/>
      <c r="J64" s="12"/>
      <c r="K64" s="657"/>
      <c r="L64" s="28"/>
      <c r="M64" s="29"/>
      <c r="N64" s="28"/>
      <c r="O64" s="14"/>
      <c r="Q64" s="12"/>
      <c r="R64" s="657"/>
      <c r="S64" s="28"/>
      <c r="T64" s="29"/>
      <c r="U64" s="28"/>
      <c r="V64" s="14"/>
      <c r="X64" s="12"/>
      <c r="Y64" s="657"/>
      <c r="Z64" s="28"/>
      <c r="AA64" s="29"/>
      <c r="AB64" s="28"/>
      <c r="AC64" s="14"/>
      <c r="AE64" s="12"/>
      <c r="AF64" s="657"/>
      <c r="AG64" s="28"/>
      <c r="AH64" s="29"/>
      <c r="AI64" s="28"/>
      <c r="AJ64" s="14"/>
      <c r="AL64" s="12"/>
      <c r="AM64" s="657"/>
      <c r="AN64" s="28"/>
      <c r="AO64" s="29"/>
      <c r="AP64" s="28"/>
      <c r="AQ64" s="14"/>
      <c r="AS64" s="12"/>
      <c r="AT64" s="657"/>
      <c r="AU64" s="28"/>
      <c r="AV64" s="29"/>
      <c r="AW64" s="28"/>
      <c r="AX64" s="14"/>
      <c r="AZ64" s="12"/>
      <c r="BA64" s="657"/>
      <c r="BB64" s="28"/>
      <c r="BC64" s="29"/>
      <c r="BD64" s="28"/>
      <c r="BE64" s="14"/>
      <c r="BG64" s="12"/>
      <c r="BH64" s="657"/>
      <c r="BI64" s="28"/>
      <c r="BJ64" s="29"/>
      <c r="BK64" s="28"/>
      <c r="BL64" s="14"/>
      <c r="BN64" s="12"/>
      <c r="BO64" s="657"/>
      <c r="BP64" s="28"/>
      <c r="BQ64" s="29"/>
      <c r="BR64" s="28"/>
      <c r="BS64" s="14"/>
      <c r="BU64" s="12"/>
      <c r="BV64" s="657"/>
      <c r="BW64" s="28"/>
      <c r="BX64" s="29"/>
      <c r="BY64" s="28"/>
      <c r="BZ64" s="14"/>
      <c r="CB64" s="12"/>
      <c r="CC64" s="657"/>
      <c r="CD64" s="28"/>
      <c r="CE64" s="29"/>
      <c r="CF64" s="28"/>
      <c r="CG64" s="14"/>
      <c r="CI64" s="12"/>
      <c r="CJ64" s="657"/>
      <c r="CK64" s="28"/>
      <c r="CL64" s="29"/>
      <c r="CM64" s="28"/>
      <c r="CN64" s="14"/>
    </row>
    <row r="65" spans="3:92" x14ac:dyDescent="0.2">
      <c r="C65" s="7"/>
      <c r="D65" s="656"/>
      <c r="E65" s="26"/>
      <c r="F65" s="27"/>
      <c r="G65" s="27"/>
      <c r="H65" s="14"/>
      <c r="J65" s="7"/>
      <c r="K65" s="656"/>
      <c r="L65" s="26"/>
      <c r="M65" s="27"/>
      <c r="N65" s="27"/>
      <c r="O65" s="14"/>
      <c r="Q65" s="7"/>
      <c r="R65" s="656"/>
      <c r="S65" s="26"/>
      <c r="T65" s="27"/>
      <c r="U65" s="27"/>
      <c r="V65" s="14"/>
      <c r="X65" s="7"/>
      <c r="Y65" s="656"/>
      <c r="Z65" s="26"/>
      <c r="AA65" s="27"/>
      <c r="AB65" s="27"/>
      <c r="AC65" s="14"/>
      <c r="AE65" s="7"/>
      <c r="AF65" s="656"/>
      <c r="AG65" s="26"/>
      <c r="AH65" s="27"/>
      <c r="AI65" s="27"/>
      <c r="AJ65" s="14"/>
      <c r="AL65" s="7"/>
      <c r="AM65" s="656"/>
      <c r="AN65" s="26"/>
      <c r="AO65" s="27"/>
      <c r="AP65" s="27"/>
      <c r="AQ65" s="14"/>
      <c r="AS65" s="7"/>
      <c r="AT65" s="656"/>
      <c r="AU65" s="26"/>
      <c r="AV65" s="27"/>
      <c r="AW65" s="27"/>
      <c r="AX65" s="14"/>
      <c r="AZ65" s="7"/>
      <c r="BA65" s="656"/>
      <c r="BB65" s="26"/>
      <c r="BC65" s="27"/>
      <c r="BD65" s="27"/>
      <c r="BE65" s="14"/>
      <c r="BG65" s="7"/>
      <c r="BH65" s="656"/>
      <c r="BI65" s="26"/>
      <c r="BJ65" s="27"/>
      <c r="BK65" s="27"/>
      <c r="BL65" s="14"/>
      <c r="BN65" s="7"/>
      <c r="BO65" s="656"/>
      <c r="BP65" s="26"/>
      <c r="BQ65" s="27"/>
      <c r="BR65" s="27"/>
      <c r="BS65" s="14"/>
      <c r="BU65" s="7"/>
      <c r="BV65" s="656"/>
      <c r="BW65" s="26"/>
      <c r="BX65" s="27"/>
      <c r="BY65" s="27"/>
      <c r="BZ65" s="14"/>
      <c r="CB65" s="7"/>
      <c r="CC65" s="656"/>
      <c r="CD65" s="26"/>
      <c r="CE65" s="27"/>
      <c r="CF65" s="27"/>
      <c r="CG65" s="14"/>
      <c r="CI65" s="7"/>
      <c r="CJ65" s="656"/>
      <c r="CK65" s="26"/>
      <c r="CL65" s="27"/>
      <c r="CM65" s="27"/>
      <c r="CN65" s="14"/>
    </row>
    <row r="66" spans="3:92" x14ac:dyDescent="0.2">
      <c r="C66" s="17" t="s">
        <v>732</v>
      </c>
      <c r="D66" s="656">
        <f>SUM(D55)*2</f>
        <v>116.25</v>
      </c>
      <c r="E66" s="26"/>
      <c r="F66" s="27"/>
      <c r="G66" s="27"/>
      <c r="H66" s="14"/>
      <c r="J66" s="17" t="s">
        <v>732</v>
      </c>
      <c r="K66" s="656">
        <f>SUM(K55)*2</f>
        <v>22</v>
      </c>
      <c r="L66" s="26"/>
      <c r="M66" s="27"/>
      <c r="N66" s="27"/>
      <c r="O66" s="14"/>
      <c r="Q66" s="17" t="s">
        <v>732</v>
      </c>
      <c r="R66" s="656">
        <f>SUM(R55)*2</f>
        <v>170</v>
      </c>
      <c r="S66" s="26"/>
      <c r="T66" s="27"/>
      <c r="U66" s="27"/>
      <c r="V66" s="14"/>
      <c r="X66" s="17" t="s">
        <v>732</v>
      </c>
      <c r="Y66" s="656">
        <f>SUM(Y55)*2</f>
        <v>20</v>
      </c>
      <c r="Z66" s="26"/>
      <c r="AA66" s="27"/>
      <c r="AB66" s="27"/>
      <c r="AC66" s="14"/>
      <c r="AE66" s="17" t="s">
        <v>732</v>
      </c>
      <c r="AF66" s="656">
        <f>SUM(AF55)*2</f>
        <v>100</v>
      </c>
      <c r="AG66" s="26"/>
      <c r="AH66" s="27"/>
      <c r="AI66" s="27"/>
      <c r="AJ66" s="14"/>
      <c r="AL66" s="17" t="s">
        <v>732</v>
      </c>
      <c r="AM66" s="656">
        <f>SUM(AM55)*2</f>
        <v>48.4</v>
      </c>
      <c r="AN66" s="26"/>
      <c r="AO66" s="27"/>
      <c r="AP66" s="27"/>
      <c r="AQ66" s="14"/>
      <c r="AS66" s="17" t="s">
        <v>732</v>
      </c>
      <c r="AT66" s="656">
        <f>SUM(AT55)</f>
        <v>220.5</v>
      </c>
      <c r="AU66" s="26"/>
      <c r="AV66" s="27"/>
      <c r="AW66" s="27"/>
      <c r="AX66" s="14"/>
      <c r="AZ66" s="17" t="s">
        <v>732</v>
      </c>
      <c r="BA66" s="656">
        <f>SUM(BA55)</f>
        <v>82.6875</v>
      </c>
      <c r="BB66" s="26"/>
      <c r="BC66" s="27"/>
      <c r="BD66" s="27"/>
      <c r="BE66" s="14"/>
      <c r="BG66" s="17" t="s">
        <v>732</v>
      </c>
      <c r="BH66" s="656">
        <f>SUM(BH55)</f>
        <v>275.625</v>
      </c>
      <c r="BI66" s="26"/>
      <c r="BJ66" s="27"/>
      <c r="BK66" s="27"/>
      <c r="BL66" s="14"/>
      <c r="BN66" s="17" t="s">
        <v>732</v>
      </c>
      <c r="BO66" s="656">
        <f>SUM(BO55)</f>
        <v>110.25</v>
      </c>
      <c r="BP66" s="26"/>
      <c r="BQ66" s="27"/>
      <c r="BR66" s="27"/>
      <c r="BS66" s="14"/>
      <c r="BU66" s="17" t="s">
        <v>732</v>
      </c>
      <c r="BV66" s="656">
        <f>SUM(BV55)</f>
        <v>242.00000000000003</v>
      </c>
      <c r="BW66" s="26"/>
      <c r="BX66" s="27"/>
      <c r="BY66" s="27"/>
      <c r="BZ66" s="14"/>
      <c r="CB66" s="17" t="s">
        <v>732</v>
      </c>
      <c r="CC66" s="656"/>
      <c r="CD66" s="26"/>
      <c r="CE66" s="27"/>
      <c r="CF66" s="27"/>
      <c r="CG66" s="14"/>
      <c r="CI66" s="17" t="s">
        <v>732</v>
      </c>
      <c r="CJ66" s="656"/>
      <c r="CK66" s="26"/>
      <c r="CL66" s="27"/>
      <c r="CM66" s="27"/>
      <c r="CN66" s="14"/>
    </row>
    <row r="67" spans="3:92" x14ac:dyDescent="0.2">
      <c r="C67" s="11" t="s">
        <v>630</v>
      </c>
      <c r="D67" s="655">
        <f>SUM(D55)*2</f>
        <v>116.25</v>
      </c>
      <c r="E67" s="22"/>
      <c r="F67" s="23">
        <v>0</v>
      </c>
      <c r="G67" s="23">
        <v>0</v>
      </c>
      <c r="H67" s="38">
        <f>+SUM(D67:G67)</f>
        <v>116.25</v>
      </c>
      <c r="J67" s="11" t="s">
        <v>630</v>
      </c>
      <c r="K67" s="655">
        <f>SUM(K55)*2</f>
        <v>22</v>
      </c>
      <c r="L67" s="22"/>
      <c r="M67" s="23">
        <v>0</v>
      </c>
      <c r="N67" s="23">
        <v>0</v>
      </c>
      <c r="O67" s="38">
        <f>+SUM(K67:N67)</f>
        <v>22</v>
      </c>
      <c r="Q67" s="11" t="s">
        <v>630</v>
      </c>
      <c r="R67" s="655">
        <f>SUM(R55)*2</f>
        <v>170</v>
      </c>
      <c r="S67" s="22"/>
      <c r="T67" s="23">
        <v>0</v>
      </c>
      <c r="U67" s="23">
        <v>0</v>
      </c>
      <c r="V67" s="38">
        <f>+SUM(R67:U67)</f>
        <v>170</v>
      </c>
      <c r="X67" s="11" t="s">
        <v>630</v>
      </c>
      <c r="Y67" s="655">
        <f>SUM(Y55)*2</f>
        <v>20</v>
      </c>
      <c r="Z67" s="22"/>
      <c r="AA67" s="23">
        <v>0</v>
      </c>
      <c r="AB67" s="23">
        <v>0</v>
      </c>
      <c r="AC67" s="38">
        <f>+SUM(Y67:AB67)</f>
        <v>20</v>
      </c>
      <c r="AE67" s="11" t="s">
        <v>630</v>
      </c>
      <c r="AF67" s="655">
        <f>SUM(AF55)*2</f>
        <v>100</v>
      </c>
      <c r="AG67" s="22"/>
      <c r="AH67" s="23">
        <v>0</v>
      </c>
      <c r="AI67" s="23">
        <v>0</v>
      </c>
      <c r="AJ67" s="38">
        <f>+SUM(AF67:AI67)</f>
        <v>100</v>
      </c>
      <c r="AL67" s="11" t="s">
        <v>630</v>
      </c>
      <c r="AM67" s="655">
        <f>SUM(AM55)*2</f>
        <v>48.4</v>
      </c>
      <c r="AN67" s="22"/>
      <c r="AO67" s="23">
        <v>0</v>
      </c>
      <c r="AP67" s="23">
        <v>0</v>
      </c>
      <c r="AQ67" s="38">
        <f>+SUM(AM67:AP67)</f>
        <v>48.4</v>
      </c>
      <c r="AS67" s="11" t="s">
        <v>630</v>
      </c>
      <c r="AT67" s="655">
        <f>SUM(AT55)*2</f>
        <v>441</v>
      </c>
      <c r="AU67" s="22"/>
      <c r="AV67" s="23">
        <v>0</v>
      </c>
      <c r="AW67" s="23">
        <v>0</v>
      </c>
      <c r="AX67" s="38">
        <f>+SUM(AT67:AW67)</f>
        <v>441</v>
      </c>
      <c r="AZ67" s="11" t="s">
        <v>630</v>
      </c>
      <c r="BA67" s="655">
        <f>SUM(BA55)*2</f>
        <v>165.375</v>
      </c>
      <c r="BB67" s="22"/>
      <c r="BC67" s="23">
        <v>0</v>
      </c>
      <c r="BD67" s="23">
        <v>0</v>
      </c>
      <c r="BE67" s="38">
        <f>+SUM(BA67:BD67)</f>
        <v>165.375</v>
      </c>
      <c r="BG67" s="11" t="s">
        <v>630</v>
      </c>
      <c r="BH67" s="655">
        <f>SUM(BH55)*2</f>
        <v>551.25</v>
      </c>
      <c r="BI67" s="22"/>
      <c r="BJ67" s="23">
        <v>0</v>
      </c>
      <c r="BK67" s="23">
        <v>0</v>
      </c>
      <c r="BL67" s="38">
        <f>+SUM(BH67:BK67)</f>
        <v>551.25</v>
      </c>
      <c r="BN67" s="11" t="s">
        <v>630</v>
      </c>
      <c r="BO67" s="655">
        <f>SUM(BO55)*2</f>
        <v>220.5</v>
      </c>
      <c r="BP67" s="22"/>
      <c r="BQ67" s="23">
        <v>0</v>
      </c>
      <c r="BR67" s="23">
        <v>0</v>
      </c>
      <c r="BS67" s="38">
        <f>+SUM(BO67:BR67)</f>
        <v>220.5</v>
      </c>
      <c r="BU67" s="11" t="s">
        <v>630</v>
      </c>
      <c r="BV67" s="655">
        <f>SUM(BV55)*2</f>
        <v>484.00000000000006</v>
      </c>
      <c r="BW67" s="22"/>
      <c r="BX67" s="23">
        <v>0</v>
      </c>
      <c r="BY67" s="23">
        <v>0</v>
      </c>
      <c r="BZ67" s="38">
        <f>+SUM(BV67:BY67)</f>
        <v>484.00000000000006</v>
      </c>
      <c r="CB67" s="11" t="s">
        <v>630</v>
      </c>
      <c r="CC67" s="655"/>
      <c r="CD67" s="22"/>
      <c r="CE67" s="23">
        <v>0</v>
      </c>
      <c r="CF67" s="23">
        <v>0</v>
      </c>
      <c r="CG67" s="38">
        <f>+SUM(CC67:CF67)</f>
        <v>0</v>
      </c>
      <c r="CI67" s="11" t="s">
        <v>630</v>
      </c>
      <c r="CJ67" s="655"/>
      <c r="CK67" s="22"/>
      <c r="CL67" s="23">
        <v>0</v>
      </c>
      <c r="CM67" s="23">
        <v>0</v>
      </c>
      <c r="CN67" s="38">
        <f>+SUM(CJ67:CM67)</f>
        <v>0</v>
      </c>
    </row>
    <row r="68" spans="3:92" x14ac:dyDescent="0.2">
      <c r="C68" s="7" t="s">
        <v>19</v>
      </c>
      <c r="D68" s="656">
        <f>SUM(D44)</f>
        <v>25000</v>
      </c>
      <c r="E68" s="24">
        <f>+D68</f>
        <v>25000</v>
      </c>
      <c r="F68" s="24">
        <f>+E68</f>
        <v>25000</v>
      </c>
      <c r="G68" s="24">
        <f>+F68</f>
        <v>25000</v>
      </c>
      <c r="H68" s="14"/>
      <c r="J68" s="7" t="s">
        <v>19</v>
      </c>
      <c r="K68" s="656">
        <f>SUM(K44)</f>
        <v>25000</v>
      </c>
      <c r="L68" s="24">
        <f>+K68</f>
        <v>25000</v>
      </c>
      <c r="M68" s="24">
        <f>+L68</f>
        <v>25000</v>
      </c>
      <c r="N68" s="24">
        <f>+M68</f>
        <v>25000</v>
      </c>
      <c r="O68" s="14"/>
      <c r="Q68" s="7" t="s">
        <v>19</v>
      </c>
      <c r="R68" s="656">
        <f>SUM(R44)</f>
        <v>25000</v>
      </c>
      <c r="S68" s="24">
        <f>+R68</f>
        <v>25000</v>
      </c>
      <c r="T68" s="24">
        <f>+S68</f>
        <v>25000</v>
      </c>
      <c r="U68" s="24">
        <f>+T68</f>
        <v>25000</v>
      </c>
      <c r="V68" s="14"/>
      <c r="X68" s="7" t="s">
        <v>19</v>
      </c>
      <c r="Y68" s="656">
        <f>SUM(Y44)</f>
        <v>25000</v>
      </c>
      <c r="Z68" s="24">
        <f>+Y68</f>
        <v>25000</v>
      </c>
      <c r="AA68" s="24">
        <f>+Z68</f>
        <v>25000</v>
      </c>
      <c r="AB68" s="24">
        <f>+AA68</f>
        <v>25000</v>
      </c>
      <c r="AC68" s="14"/>
      <c r="AE68" s="7" t="s">
        <v>19</v>
      </c>
      <c r="AF68" s="656">
        <f>SUM(AF44)</f>
        <v>25000</v>
      </c>
      <c r="AG68" s="24">
        <f>+AF68</f>
        <v>25000</v>
      </c>
      <c r="AH68" s="24">
        <f>+AG68</f>
        <v>25000</v>
      </c>
      <c r="AI68" s="24">
        <f>+AH68</f>
        <v>25000</v>
      </c>
      <c r="AJ68" s="14"/>
      <c r="AL68" s="7" t="s">
        <v>19</v>
      </c>
      <c r="AM68" s="656">
        <f>SUM(AM44)</f>
        <v>25000</v>
      </c>
      <c r="AN68" s="24">
        <f>+AM68</f>
        <v>25000</v>
      </c>
      <c r="AO68" s="24">
        <f>+AN68</f>
        <v>25000</v>
      </c>
      <c r="AP68" s="24">
        <f>+AO68</f>
        <v>25000</v>
      </c>
      <c r="AQ68" s="14"/>
      <c r="AS68" s="7" t="s">
        <v>19</v>
      </c>
      <c r="AT68" s="656">
        <f>SUM(AT44)</f>
        <v>2000</v>
      </c>
      <c r="AU68" s="24">
        <f>+AT68</f>
        <v>2000</v>
      </c>
      <c r="AV68" s="24">
        <f>+AU68</f>
        <v>2000</v>
      </c>
      <c r="AW68" s="24">
        <f>+AV68</f>
        <v>2000</v>
      </c>
      <c r="AX68" s="14"/>
      <c r="AZ68" s="7" t="s">
        <v>19</v>
      </c>
      <c r="BA68" s="656">
        <f>SUM(BA44)</f>
        <v>2000</v>
      </c>
      <c r="BB68" s="24">
        <f>+BA68</f>
        <v>2000</v>
      </c>
      <c r="BC68" s="24">
        <f>+BB68</f>
        <v>2000</v>
      </c>
      <c r="BD68" s="24">
        <f>+BC68</f>
        <v>2000</v>
      </c>
      <c r="BE68" s="14"/>
      <c r="BG68" s="7" t="s">
        <v>19</v>
      </c>
      <c r="BH68" s="656">
        <f>SUM(BH44)</f>
        <v>2000</v>
      </c>
      <c r="BI68" s="24">
        <f>+BH68</f>
        <v>2000</v>
      </c>
      <c r="BJ68" s="24">
        <f>+BI68</f>
        <v>2000</v>
      </c>
      <c r="BK68" s="24">
        <f>+BJ68</f>
        <v>2000</v>
      </c>
      <c r="BL68" s="14"/>
      <c r="BN68" s="7" t="s">
        <v>19</v>
      </c>
      <c r="BO68" s="656">
        <f>SUM(BO44)</f>
        <v>2000</v>
      </c>
      <c r="BP68" s="24">
        <f>+BO68</f>
        <v>2000</v>
      </c>
      <c r="BQ68" s="24">
        <f>+BP68</f>
        <v>2000</v>
      </c>
      <c r="BR68" s="24">
        <f>+BQ68</f>
        <v>2000</v>
      </c>
      <c r="BS68" s="14"/>
      <c r="BU68" s="7" t="s">
        <v>19</v>
      </c>
      <c r="BV68" s="656">
        <f>SUM(BV44)</f>
        <v>2000</v>
      </c>
      <c r="BW68" s="24">
        <f>+BV68</f>
        <v>2000</v>
      </c>
      <c r="BX68" s="24">
        <f>+BW68</f>
        <v>2000</v>
      </c>
      <c r="BY68" s="24">
        <f>+BX68</f>
        <v>2000</v>
      </c>
      <c r="BZ68" s="14"/>
      <c r="CB68" s="7" t="s">
        <v>19</v>
      </c>
      <c r="CC68" s="656">
        <f>SUM(CC44)</f>
        <v>2000</v>
      </c>
      <c r="CD68" s="24">
        <f>+CC68</f>
        <v>2000</v>
      </c>
      <c r="CE68" s="24">
        <f>+CD68</f>
        <v>2000</v>
      </c>
      <c r="CF68" s="24">
        <f>+CE68</f>
        <v>2000</v>
      </c>
      <c r="CG68" s="14"/>
      <c r="CI68" s="7" t="s">
        <v>19</v>
      </c>
      <c r="CJ68" s="656">
        <f>SUM(CJ44)</f>
        <v>2000</v>
      </c>
      <c r="CK68" s="24">
        <f>+CJ68</f>
        <v>2000</v>
      </c>
      <c r="CL68" s="24">
        <f>+CK68</f>
        <v>2000</v>
      </c>
      <c r="CM68" s="24">
        <f>+CL68</f>
        <v>2000</v>
      </c>
      <c r="CN68" s="14"/>
    </row>
    <row r="69" spans="3:92" x14ac:dyDescent="0.2">
      <c r="C69" s="15" t="s">
        <v>7</v>
      </c>
      <c r="D69" s="655">
        <f>+D68*D67</f>
        <v>2906250</v>
      </c>
      <c r="E69" s="22">
        <f>+E68*E67</f>
        <v>0</v>
      </c>
      <c r="F69" s="23">
        <f>+F68*F67</f>
        <v>0</v>
      </c>
      <c r="G69" s="23">
        <f>+G68*G67</f>
        <v>0</v>
      </c>
      <c r="H69" s="14"/>
      <c r="J69" s="15" t="s">
        <v>7</v>
      </c>
      <c r="K69" s="655">
        <f>+K68*K67</f>
        <v>550000</v>
      </c>
      <c r="L69" s="22">
        <f>+L68*L67</f>
        <v>0</v>
      </c>
      <c r="M69" s="23">
        <f>+M68*M67</f>
        <v>0</v>
      </c>
      <c r="N69" s="23">
        <f>+N68*N67</f>
        <v>0</v>
      </c>
      <c r="O69" s="14"/>
      <c r="Q69" s="15" t="s">
        <v>7</v>
      </c>
      <c r="R69" s="655">
        <f>+R68*R67</f>
        <v>4250000</v>
      </c>
      <c r="S69" s="22">
        <f>+S68*S67</f>
        <v>0</v>
      </c>
      <c r="T69" s="23">
        <f>+T68*T67</f>
        <v>0</v>
      </c>
      <c r="U69" s="23">
        <f>+U68*U67</f>
        <v>0</v>
      </c>
      <c r="V69" s="14"/>
      <c r="X69" s="15" t="s">
        <v>7</v>
      </c>
      <c r="Y69" s="655">
        <f>+Y68*Y67</f>
        <v>500000</v>
      </c>
      <c r="Z69" s="22">
        <f>+Z68*Z67</f>
        <v>0</v>
      </c>
      <c r="AA69" s="23">
        <f>+AA68*AA67</f>
        <v>0</v>
      </c>
      <c r="AB69" s="23">
        <f>+AB68*AB67</f>
        <v>0</v>
      </c>
      <c r="AC69" s="14"/>
      <c r="AE69" s="15" t="s">
        <v>7</v>
      </c>
      <c r="AF69" s="655">
        <f>+AF68*AF67</f>
        <v>2500000</v>
      </c>
      <c r="AG69" s="22">
        <f>+AG68*AG67</f>
        <v>0</v>
      </c>
      <c r="AH69" s="23">
        <f>+AH68*AH67</f>
        <v>0</v>
      </c>
      <c r="AI69" s="23">
        <f>+AI68*AI67</f>
        <v>0</v>
      </c>
      <c r="AJ69" s="14"/>
      <c r="AL69" s="15" t="s">
        <v>7</v>
      </c>
      <c r="AM69" s="655">
        <f>+AM68*AM67</f>
        <v>1210000</v>
      </c>
      <c r="AN69" s="22">
        <f>+AN68*AN67</f>
        <v>0</v>
      </c>
      <c r="AO69" s="23">
        <f>+AO68*AO67</f>
        <v>0</v>
      </c>
      <c r="AP69" s="23">
        <f>+AP68*AP67</f>
        <v>0</v>
      </c>
      <c r="AQ69" s="14"/>
      <c r="AS69" s="15" t="s">
        <v>7</v>
      </c>
      <c r="AT69" s="655">
        <f>+AT68*AT67</f>
        <v>882000</v>
      </c>
      <c r="AU69" s="22">
        <f>+AU68*AU67</f>
        <v>0</v>
      </c>
      <c r="AV69" s="23">
        <f>+AV68*AV67</f>
        <v>0</v>
      </c>
      <c r="AW69" s="23">
        <f>+AW68*AW67</f>
        <v>0</v>
      </c>
      <c r="AX69" s="14"/>
      <c r="AZ69" s="15" t="s">
        <v>7</v>
      </c>
      <c r="BA69" s="655">
        <f>+BA68*BA67</f>
        <v>330750</v>
      </c>
      <c r="BB69" s="22">
        <f>+BB68*BB67</f>
        <v>0</v>
      </c>
      <c r="BC69" s="23">
        <f>+BC68*BC67</f>
        <v>0</v>
      </c>
      <c r="BD69" s="23">
        <f>+BD68*BD67</f>
        <v>0</v>
      </c>
      <c r="BE69" s="14"/>
      <c r="BG69" s="15" t="s">
        <v>7</v>
      </c>
      <c r="BH69" s="655">
        <f>+BH68*BH67</f>
        <v>1102500</v>
      </c>
      <c r="BI69" s="22">
        <f>+BI68*BI67</f>
        <v>0</v>
      </c>
      <c r="BJ69" s="23">
        <f>+BJ68*BJ67</f>
        <v>0</v>
      </c>
      <c r="BK69" s="23">
        <f>+BK68*BK67</f>
        <v>0</v>
      </c>
      <c r="BL69" s="14"/>
      <c r="BN69" s="15" t="s">
        <v>7</v>
      </c>
      <c r="BO69" s="655">
        <f>+BO68*BO67</f>
        <v>441000</v>
      </c>
      <c r="BP69" s="22">
        <f>+BP68*BP67</f>
        <v>0</v>
      </c>
      <c r="BQ69" s="23">
        <f>+BQ68*BQ67</f>
        <v>0</v>
      </c>
      <c r="BR69" s="23">
        <f>+BR68*BR67</f>
        <v>0</v>
      </c>
      <c r="BS69" s="14"/>
      <c r="BU69" s="15" t="s">
        <v>7</v>
      </c>
      <c r="BV69" s="655">
        <f>+BV68*BV67</f>
        <v>968000.00000000012</v>
      </c>
      <c r="BW69" s="22">
        <f>+BW68*BW67</f>
        <v>0</v>
      </c>
      <c r="BX69" s="23">
        <f>+BX68*BX67</f>
        <v>0</v>
      </c>
      <c r="BY69" s="23">
        <f>+BY68*BY67</f>
        <v>0</v>
      </c>
      <c r="BZ69" s="14"/>
      <c r="CB69" s="15" t="s">
        <v>7</v>
      </c>
      <c r="CC69" s="655">
        <f>+CC68*CC67</f>
        <v>0</v>
      </c>
      <c r="CD69" s="22">
        <f>+CD68*CD67</f>
        <v>0</v>
      </c>
      <c r="CE69" s="23">
        <f>+CE68*CE67</f>
        <v>0</v>
      </c>
      <c r="CF69" s="23">
        <f>+CF68*CF67</f>
        <v>0</v>
      </c>
      <c r="CG69" s="14"/>
      <c r="CI69" s="15" t="s">
        <v>7</v>
      </c>
      <c r="CJ69" s="655">
        <f>+CJ68*CJ67</f>
        <v>0</v>
      </c>
      <c r="CK69" s="22">
        <f>+CK68*CK67</f>
        <v>0</v>
      </c>
      <c r="CL69" s="23">
        <f>+CL68*CL67</f>
        <v>0</v>
      </c>
      <c r="CM69" s="23">
        <f>+CM68*CM67</f>
        <v>0</v>
      </c>
      <c r="CN69" s="14"/>
    </row>
    <row r="70" spans="3:92" x14ac:dyDescent="0.2">
      <c r="C70" s="12" t="s">
        <v>8</v>
      </c>
      <c r="D70" s="656">
        <f>+D69</f>
        <v>2906250</v>
      </c>
      <c r="E70" s="24">
        <f>+D70+E69</f>
        <v>2906250</v>
      </c>
      <c r="F70" s="25">
        <f>+E70+F69</f>
        <v>2906250</v>
      </c>
      <c r="G70" s="25">
        <f>+F70+G69</f>
        <v>2906250</v>
      </c>
      <c r="H70" s="14"/>
      <c r="J70" s="12" t="s">
        <v>8</v>
      </c>
      <c r="K70" s="656">
        <f>+K69</f>
        <v>550000</v>
      </c>
      <c r="L70" s="24">
        <f>+K70+L69</f>
        <v>550000</v>
      </c>
      <c r="M70" s="25">
        <f>+L70+M69</f>
        <v>550000</v>
      </c>
      <c r="N70" s="25">
        <f>+M70+N69</f>
        <v>550000</v>
      </c>
      <c r="O70" s="14"/>
      <c r="Q70" s="12" t="s">
        <v>8</v>
      </c>
      <c r="R70" s="656">
        <f>+R69</f>
        <v>4250000</v>
      </c>
      <c r="S70" s="24">
        <f>+R70+S69</f>
        <v>4250000</v>
      </c>
      <c r="T70" s="25">
        <f>+S70+T69</f>
        <v>4250000</v>
      </c>
      <c r="U70" s="25">
        <f>+T70+U69</f>
        <v>4250000</v>
      </c>
      <c r="V70" s="14"/>
      <c r="X70" s="12" t="s">
        <v>8</v>
      </c>
      <c r="Y70" s="656">
        <f>+Y69</f>
        <v>500000</v>
      </c>
      <c r="Z70" s="24">
        <f>+Y70+Z69</f>
        <v>500000</v>
      </c>
      <c r="AA70" s="25">
        <f>+Z70+AA69</f>
        <v>500000</v>
      </c>
      <c r="AB70" s="25">
        <f>+AA70+AB69</f>
        <v>500000</v>
      </c>
      <c r="AC70" s="14"/>
      <c r="AE70" s="12" t="s">
        <v>8</v>
      </c>
      <c r="AF70" s="656">
        <f>+AF69</f>
        <v>2500000</v>
      </c>
      <c r="AG70" s="24">
        <f>+AF70+AG69</f>
        <v>2500000</v>
      </c>
      <c r="AH70" s="25">
        <f>+AG70+AH69</f>
        <v>2500000</v>
      </c>
      <c r="AI70" s="25">
        <f>+AH70+AI69</f>
        <v>2500000</v>
      </c>
      <c r="AJ70" s="14"/>
      <c r="AL70" s="12" t="s">
        <v>8</v>
      </c>
      <c r="AM70" s="656">
        <f>+AM69</f>
        <v>1210000</v>
      </c>
      <c r="AN70" s="24">
        <f>+AM70+AN69</f>
        <v>1210000</v>
      </c>
      <c r="AO70" s="25">
        <f>+AN70+AO69</f>
        <v>1210000</v>
      </c>
      <c r="AP70" s="25">
        <f>+AO70+AP69</f>
        <v>1210000</v>
      </c>
      <c r="AQ70" s="14"/>
      <c r="AS70" s="12" t="s">
        <v>8</v>
      </c>
      <c r="AT70" s="656">
        <f>+AT69</f>
        <v>882000</v>
      </c>
      <c r="AU70" s="24">
        <f>+AT70+AU69</f>
        <v>882000</v>
      </c>
      <c r="AV70" s="25">
        <f>+AU70+AV69</f>
        <v>882000</v>
      </c>
      <c r="AW70" s="25">
        <f>+AV70+AW69</f>
        <v>882000</v>
      </c>
      <c r="AX70" s="14"/>
      <c r="AZ70" s="12" t="s">
        <v>8</v>
      </c>
      <c r="BA70" s="656">
        <f>+BA69</f>
        <v>330750</v>
      </c>
      <c r="BB70" s="24">
        <f>+BA70+BB69</f>
        <v>330750</v>
      </c>
      <c r="BC70" s="25">
        <f>+BB70+BC69</f>
        <v>330750</v>
      </c>
      <c r="BD70" s="25">
        <f>+BC70+BD69</f>
        <v>330750</v>
      </c>
      <c r="BE70" s="14"/>
      <c r="BG70" s="12" t="s">
        <v>8</v>
      </c>
      <c r="BH70" s="656">
        <f>+BH69</f>
        <v>1102500</v>
      </c>
      <c r="BI70" s="24">
        <f>+BH70+BI69</f>
        <v>1102500</v>
      </c>
      <c r="BJ70" s="25">
        <f>+BI70+BJ69</f>
        <v>1102500</v>
      </c>
      <c r="BK70" s="25">
        <f>+BJ70+BK69</f>
        <v>1102500</v>
      </c>
      <c r="BL70" s="14"/>
      <c r="BN70" s="12" t="s">
        <v>8</v>
      </c>
      <c r="BO70" s="656">
        <f>+BO69</f>
        <v>441000</v>
      </c>
      <c r="BP70" s="24">
        <f>+BO70+BP69</f>
        <v>441000</v>
      </c>
      <c r="BQ70" s="25">
        <f>+BP70+BQ69</f>
        <v>441000</v>
      </c>
      <c r="BR70" s="25">
        <f>+BQ70+BR69</f>
        <v>441000</v>
      </c>
      <c r="BS70" s="14"/>
      <c r="BU70" s="12" t="s">
        <v>8</v>
      </c>
      <c r="BV70" s="656">
        <f>+BV69</f>
        <v>968000.00000000012</v>
      </c>
      <c r="BW70" s="24">
        <f>+BV70+BW69</f>
        <v>968000.00000000012</v>
      </c>
      <c r="BX70" s="25">
        <f>+BW70+BX69</f>
        <v>968000.00000000012</v>
      </c>
      <c r="BY70" s="25">
        <f>+BX70+BY69</f>
        <v>968000.00000000012</v>
      </c>
      <c r="BZ70" s="14"/>
      <c r="CB70" s="12" t="s">
        <v>8</v>
      </c>
      <c r="CC70" s="656">
        <f>+CC69</f>
        <v>0</v>
      </c>
      <c r="CD70" s="24">
        <f>+CC70+CD69</f>
        <v>0</v>
      </c>
      <c r="CE70" s="25">
        <f>+CD70+CE69</f>
        <v>0</v>
      </c>
      <c r="CF70" s="25">
        <f>+CE70+CF69</f>
        <v>0</v>
      </c>
      <c r="CG70" s="14"/>
      <c r="CI70" s="12" t="s">
        <v>8</v>
      </c>
      <c r="CJ70" s="656">
        <f>+CJ69</f>
        <v>0</v>
      </c>
      <c r="CK70" s="24">
        <f>+CJ70+CK69</f>
        <v>0</v>
      </c>
      <c r="CL70" s="25">
        <f>+CK70+CL69</f>
        <v>0</v>
      </c>
      <c r="CM70" s="25">
        <f>+CL70+CM69</f>
        <v>0</v>
      </c>
      <c r="CN70" s="14"/>
    </row>
    <row r="71" spans="3:92" x14ac:dyDescent="0.2">
      <c r="C71" s="8"/>
      <c r="D71" s="660"/>
      <c r="E71" s="34"/>
      <c r="F71" s="35"/>
      <c r="G71" s="35"/>
      <c r="H71" s="14"/>
      <c r="J71" s="8"/>
      <c r="K71" s="660"/>
      <c r="L71" s="34"/>
      <c r="M71" s="35"/>
      <c r="N71" s="35"/>
      <c r="O71" s="14"/>
      <c r="Q71" s="8"/>
      <c r="R71" s="660"/>
      <c r="S71" s="34"/>
      <c r="T71" s="35"/>
      <c r="U71" s="35"/>
      <c r="V71" s="14"/>
      <c r="X71" s="8"/>
      <c r="Y71" s="660"/>
      <c r="Z71" s="34"/>
      <c r="AA71" s="35"/>
      <c r="AB71" s="35"/>
      <c r="AC71" s="14"/>
      <c r="AE71" s="8"/>
      <c r="AF71" s="660"/>
      <c r="AG71" s="34"/>
      <c r="AH71" s="35"/>
      <c r="AI71" s="35"/>
      <c r="AJ71" s="14"/>
      <c r="AL71" s="8"/>
      <c r="AM71" s="660"/>
      <c r="AN71" s="34"/>
      <c r="AO71" s="35"/>
      <c r="AP71" s="35"/>
      <c r="AQ71" s="14"/>
      <c r="AS71" s="8"/>
      <c r="AT71" s="660"/>
      <c r="AU71" s="34"/>
      <c r="AV71" s="35"/>
      <c r="AW71" s="35"/>
      <c r="AX71" s="14"/>
      <c r="AZ71" s="8"/>
      <c r="BA71" s="660"/>
      <c r="BB71" s="34"/>
      <c r="BC71" s="35"/>
      <c r="BD71" s="35"/>
      <c r="BE71" s="14"/>
      <c r="BG71" s="8"/>
      <c r="BH71" s="660"/>
      <c r="BI71" s="34"/>
      <c r="BJ71" s="35"/>
      <c r="BK71" s="35"/>
      <c r="BL71" s="14"/>
      <c r="BN71" s="8"/>
      <c r="BO71" s="660"/>
      <c r="BP71" s="34"/>
      <c r="BQ71" s="35"/>
      <c r="BR71" s="35"/>
      <c r="BS71" s="14"/>
      <c r="BU71" s="8"/>
      <c r="BV71" s="660"/>
      <c r="BW71" s="34"/>
      <c r="BX71" s="35"/>
      <c r="BY71" s="35"/>
      <c r="BZ71" s="14"/>
      <c r="CB71" s="8"/>
      <c r="CC71" s="660"/>
      <c r="CD71" s="34"/>
      <c r="CE71" s="35"/>
      <c r="CF71" s="35"/>
      <c r="CG71" s="14"/>
      <c r="CI71" s="8"/>
      <c r="CJ71" s="660"/>
      <c r="CK71" s="34"/>
      <c r="CL71" s="35"/>
      <c r="CM71" s="35"/>
      <c r="CN71" s="14"/>
    </row>
    <row r="72" spans="3:92" x14ac:dyDescent="0.2">
      <c r="C72" s="13" t="s">
        <v>15</v>
      </c>
      <c r="D72" s="661">
        <f>+D57+D63+D69</f>
        <v>22000312.5</v>
      </c>
      <c r="E72" s="36">
        <f>+E69+E63+E57</f>
        <v>0</v>
      </c>
      <c r="F72" s="36">
        <f>+F69+F63+F57</f>
        <v>0</v>
      </c>
      <c r="G72" s="36">
        <f>+G69+G63+G57</f>
        <v>0</v>
      </c>
      <c r="H72" s="853">
        <f>+SUM(H55:H71)</f>
        <v>194.375</v>
      </c>
      <c r="J72" s="13" t="s">
        <v>15</v>
      </c>
      <c r="K72" s="661">
        <f>+K57+K63+K69</f>
        <v>9945100</v>
      </c>
      <c r="L72" s="36">
        <f>+L69+L63+L57</f>
        <v>0</v>
      </c>
      <c r="M72" s="36">
        <f>+M69+M63+M57</f>
        <v>0</v>
      </c>
      <c r="N72" s="36">
        <f>+N69+N63+N57</f>
        <v>0</v>
      </c>
      <c r="O72" s="853">
        <f>+SUM(O55:O71)</f>
        <v>43</v>
      </c>
      <c r="Q72" s="13" t="s">
        <v>15</v>
      </c>
      <c r="R72" s="661">
        <f>+R57+R63+R69</f>
        <v>19886600</v>
      </c>
      <c r="S72" s="36">
        <f>+S69+S63+S57</f>
        <v>0</v>
      </c>
      <c r="T72" s="36">
        <f>+T69+T63+T57</f>
        <v>0</v>
      </c>
      <c r="U72" s="36">
        <f>+U69+U63+U57</f>
        <v>0</v>
      </c>
      <c r="V72" s="853">
        <f>+SUM(V55:V71)</f>
        <v>275</v>
      </c>
      <c r="X72" s="13" t="s">
        <v>15</v>
      </c>
      <c r="Y72" s="661">
        <f>+Y57+Y63+Y69</f>
        <v>4113500</v>
      </c>
      <c r="Z72" s="36">
        <f>+Z69+Z63+Z57</f>
        <v>0</v>
      </c>
      <c r="AA72" s="36">
        <f>+AA69+AA63+AA57</f>
        <v>0</v>
      </c>
      <c r="AB72" s="36">
        <f>+AB69+AB63+AB57</f>
        <v>0</v>
      </c>
      <c r="AC72" s="853">
        <f>+SUM(AC55:AC71)</f>
        <v>40</v>
      </c>
      <c r="AE72" s="13" t="s">
        <v>15</v>
      </c>
      <c r="AF72" s="661">
        <f>+AF57+AF63+AF69</f>
        <v>13997500</v>
      </c>
      <c r="AG72" s="36">
        <f>+AG69+AG63+AG57</f>
        <v>0</v>
      </c>
      <c r="AH72" s="36">
        <f>+AH69+AH63+AH57</f>
        <v>0</v>
      </c>
      <c r="AI72" s="36">
        <f>+AI69+AI63+AI57</f>
        <v>0</v>
      </c>
      <c r="AJ72" s="853">
        <f>+SUM(AJ55:AJ71)</f>
        <v>155</v>
      </c>
      <c r="AL72" s="13" t="s">
        <v>15</v>
      </c>
      <c r="AM72" s="661">
        <f>+AM57+AM63+AM69</f>
        <v>8672118.3999999985</v>
      </c>
      <c r="AN72" s="36">
        <f>+AN69+AN63+AN57</f>
        <v>0</v>
      </c>
      <c r="AO72" s="36">
        <f>+AO69+AO63+AO57</f>
        <v>0</v>
      </c>
      <c r="AP72" s="36">
        <f>+AP69+AP63+AP57</f>
        <v>0</v>
      </c>
      <c r="AQ72" s="853">
        <f>+SUM(AQ55:AQ71)</f>
        <v>72.599999999999994</v>
      </c>
      <c r="AS72" s="13" t="s">
        <v>15</v>
      </c>
      <c r="AT72" s="661">
        <f>+AT57+AT63+AT69</f>
        <v>58829400</v>
      </c>
      <c r="AU72" s="36">
        <f>+AU69+AU63+AU57</f>
        <v>0</v>
      </c>
      <c r="AV72" s="36">
        <f>+AV69+AV63+AV57</f>
        <v>0</v>
      </c>
      <c r="AW72" s="36">
        <f>+AW69+AW63+AW57</f>
        <v>0</v>
      </c>
      <c r="AX72" s="853">
        <f>+SUM(AX55:AX71)</f>
        <v>661.5</v>
      </c>
      <c r="AZ72" s="13" t="s">
        <v>15</v>
      </c>
      <c r="BA72" s="661">
        <f>+BA57+BA63+BA69</f>
        <v>19344740.625</v>
      </c>
      <c r="BB72" s="36">
        <f>+BB69+BB63+BB57</f>
        <v>0</v>
      </c>
      <c r="BC72" s="36">
        <f>+BC69+BC63+BC57</f>
        <v>0</v>
      </c>
      <c r="BD72" s="36">
        <f>+BD69+BD63+BD57</f>
        <v>0</v>
      </c>
      <c r="BE72" s="853">
        <f>+SUM(BE55:BE71)</f>
        <v>248.0625</v>
      </c>
      <c r="BG72" s="13" t="s">
        <v>15</v>
      </c>
      <c r="BH72" s="661">
        <f>+BH57+BH63+BH69</f>
        <v>46373906.25</v>
      </c>
      <c r="BI72" s="36">
        <f>+BI69+BI63+BI57</f>
        <v>0</v>
      </c>
      <c r="BJ72" s="36">
        <f>+BJ69+BJ63+BJ57</f>
        <v>0</v>
      </c>
      <c r="BK72" s="36">
        <f>+BK69+BK63+BK57</f>
        <v>0</v>
      </c>
      <c r="BL72" s="853">
        <f>+SUM(BL55:BL71)</f>
        <v>826.875</v>
      </c>
      <c r="BN72" s="13" t="s">
        <v>15</v>
      </c>
      <c r="BO72" s="661">
        <f>+BO57+BO63+BO69</f>
        <v>14927850</v>
      </c>
      <c r="BP72" s="36">
        <f>+BP69+BP63+BP57</f>
        <v>0</v>
      </c>
      <c r="BQ72" s="36">
        <f>+BQ69+BQ63+BQ57</f>
        <v>0</v>
      </c>
      <c r="BR72" s="36">
        <f>+BR69+BR63+BR57</f>
        <v>0</v>
      </c>
      <c r="BS72" s="853">
        <f>+SUM(BS55:BS71)</f>
        <v>330.75</v>
      </c>
      <c r="BU72" s="13" t="s">
        <v>15</v>
      </c>
      <c r="BV72" s="661">
        <f>+BV57+BV63+BV69</f>
        <v>13687520.000000002</v>
      </c>
      <c r="BW72" s="36">
        <f>+BW69+BW63+BW57</f>
        <v>0</v>
      </c>
      <c r="BX72" s="36">
        <f>+BX69+BX63+BX57</f>
        <v>0</v>
      </c>
      <c r="BY72" s="36">
        <f>+BY69+BY63+BY57</f>
        <v>0</v>
      </c>
      <c r="BZ72" s="853">
        <f>+SUM(BZ55:BZ71)</f>
        <v>726.00000000000011</v>
      </c>
      <c r="CB72" s="13" t="s">
        <v>15</v>
      </c>
      <c r="CC72" s="661">
        <f>+CC57+CC63+CC69</f>
        <v>12500000</v>
      </c>
      <c r="CD72" s="36">
        <f>+CD69+CD63+CD57</f>
        <v>0</v>
      </c>
      <c r="CE72" s="36">
        <f>+CE69+CE63+CE57</f>
        <v>0</v>
      </c>
      <c r="CF72" s="36">
        <f>+CF69+CF63+CF57</f>
        <v>0</v>
      </c>
      <c r="CG72" s="853">
        <f>+SUM(CG55:CG71)</f>
        <v>2500</v>
      </c>
      <c r="CI72" s="13" t="s">
        <v>15</v>
      </c>
      <c r="CJ72" s="661">
        <f>+CJ57+CJ63+CJ69</f>
        <v>5000000</v>
      </c>
      <c r="CK72" s="36">
        <f>+CK69+CK63+CK57</f>
        <v>0</v>
      </c>
      <c r="CL72" s="36">
        <f>+CL69+CL63+CL57</f>
        <v>0</v>
      </c>
      <c r="CM72" s="36">
        <f>+CM69+CM63+CM57</f>
        <v>0</v>
      </c>
      <c r="CN72" s="853">
        <f>+SUM(CN55:CN71)</f>
        <v>10000</v>
      </c>
    </row>
    <row r="73" spans="3:92" x14ac:dyDescent="0.2">
      <c r="C73" s="299" t="s">
        <v>733</v>
      </c>
      <c r="D73" s="662">
        <f>+D72</f>
        <v>22000312.5</v>
      </c>
      <c r="E73" s="300">
        <f>+D73+E72</f>
        <v>22000312.5</v>
      </c>
      <c r="F73" s="300">
        <f>+E73+F72</f>
        <v>22000312.5</v>
      </c>
      <c r="G73" s="300">
        <f>+F73+G72</f>
        <v>22000312.5</v>
      </c>
      <c r="H73" s="854"/>
      <c r="J73" s="299" t="s">
        <v>733</v>
      </c>
      <c r="K73" s="662">
        <f>+K72</f>
        <v>9945100</v>
      </c>
      <c r="L73" s="300">
        <f>+K73+L72</f>
        <v>9945100</v>
      </c>
      <c r="M73" s="300">
        <f>+L73+M72</f>
        <v>9945100</v>
      </c>
      <c r="N73" s="300">
        <f>+M73+N72</f>
        <v>9945100</v>
      </c>
      <c r="O73" s="854"/>
      <c r="Q73" s="299" t="s">
        <v>733</v>
      </c>
      <c r="R73" s="662">
        <f>+R72</f>
        <v>19886600</v>
      </c>
      <c r="S73" s="300">
        <f>+R73+S72</f>
        <v>19886600</v>
      </c>
      <c r="T73" s="300">
        <f>+S73+T72</f>
        <v>19886600</v>
      </c>
      <c r="U73" s="300">
        <f>+T73+U72</f>
        <v>19886600</v>
      </c>
      <c r="V73" s="854"/>
      <c r="X73" s="299" t="s">
        <v>733</v>
      </c>
      <c r="Y73" s="662">
        <f>+Y72</f>
        <v>4113500</v>
      </c>
      <c r="Z73" s="300">
        <f>+Y73+Z72</f>
        <v>4113500</v>
      </c>
      <c r="AA73" s="300">
        <f>+Z73+AA72</f>
        <v>4113500</v>
      </c>
      <c r="AB73" s="300">
        <f>+AA73+AB72</f>
        <v>4113500</v>
      </c>
      <c r="AC73" s="854"/>
      <c r="AE73" s="299" t="s">
        <v>733</v>
      </c>
      <c r="AF73" s="662">
        <f>+AF72</f>
        <v>13997500</v>
      </c>
      <c r="AG73" s="300">
        <f>+AF73+AG72</f>
        <v>13997500</v>
      </c>
      <c r="AH73" s="300">
        <f>+AG73+AH72</f>
        <v>13997500</v>
      </c>
      <c r="AI73" s="300">
        <f>+AH73+AI72</f>
        <v>13997500</v>
      </c>
      <c r="AJ73" s="854"/>
      <c r="AL73" s="299" t="s">
        <v>733</v>
      </c>
      <c r="AM73" s="662">
        <f>+AM72</f>
        <v>8672118.3999999985</v>
      </c>
      <c r="AN73" s="300">
        <f>+AM73+AN72</f>
        <v>8672118.3999999985</v>
      </c>
      <c r="AO73" s="300">
        <f>+AN73+AO72</f>
        <v>8672118.3999999985</v>
      </c>
      <c r="AP73" s="300">
        <f>+AO73+AP72</f>
        <v>8672118.3999999985</v>
      </c>
      <c r="AQ73" s="854"/>
      <c r="AS73" s="299" t="s">
        <v>733</v>
      </c>
      <c r="AT73" s="662">
        <f>+AT72</f>
        <v>58829400</v>
      </c>
      <c r="AU73" s="300">
        <f>+AT73+AU72</f>
        <v>58829400</v>
      </c>
      <c r="AV73" s="300">
        <f>+AU73+AV72</f>
        <v>58829400</v>
      </c>
      <c r="AW73" s="300">
        <f>+AV73+AW72</f>
        <v>58829400</v>
      </c>
      <c r="AX73" s="854"/>
      <c r="AZ73" s="299" t="s">
        <v>733</v>
      </c>
      <c r="BA73" s="662">
        <f>+BA72</f>
        <v>19344740.625</v>
      </c>
      <c r="BB73" s="300">
        <f>+BA73+BB72</f>
        <v>19344740.625</v>
      </c>
      <c r="BC73" s="300">
        <f>+BB73+BC72</f>
        <v>19344740.625</v>
      </c>
      <c r="BD73" s="300">
        <f>+BC73+BD72</f>
        <v>19344740.625</v>
      </c>
      <c r="BE73" s="854"/>
      <c r="BG73" s="299" t="s">
        <v>733</v>
      </c>
      <c r="BH73" s="662">
        <f>+BH72</f>
        <v>46373906.25</v>
      </c>
      <c r="BI73" s="300">
        <f>+BH73+BI72</f>
        <v>46373906.25</v>
      </c>
      <c r="BJ73" s="300">
        <f>+BI73+BJ72</f>
        <v>46373906.25</v>
      </c>
      <c r="BK73" s="300">
        <f>+BJ73+BK72</f>
        <v>46373906.25</v>
      </c>
      <c r="BL73" s="854"/>
      <c r="BN73" s="299" t="s">
        <v>733</v>
      </c>
      <c r="BO73" s="662">
        <f>+BO72</f>
        <v>14927850</v>
      </c>
      <c r="BP73" s="300">
        <f>+BO73+BP72</f>
        <v>14927850</v>
      </c>
      <c r="BQ73" s="300">
        <f>+BP73+BQ72</f>
        <v>14927850</v>
      </c>
      <c r="BR73" s="300">
        <f>+BQ73+BR72</f>
        <v>14927850</v>
      </c>
      <c r="BS73" s="854"/>
      <c r="BU73" s="299" t="s">
        <v>733</v>
      </c>
      <c r="BV73" s="662">
        <f>+BV72</f>
        <v>13687520.000000002</v>
      </c>
      <c r="BW73" s="300">
        <f>+BV73+BW72</f>
        <v>13687520.000000002</v>
      </c>
      <c r="BX73" s="300">
        <f>+BW73+BX72</f>
        <v>13687520.000000002</v>
      </c>
      <c r="BY73" s="300">
        <f>+BX73+BY72</f>
        <v>13687520.000000002</v>
      </c>
      <c r="BZ73" s="854"/>
      <c r="CB73" s="299" t="s">
        <v>733</v>
      </c>
      <c r="CC73" s="662">
        <f>+CC72</f>
        <v>12500000</v>
      </c>
      <c r="CD73" s="300">
        <f>+CC73+CD72</f>
        <v>12500000</v>
      </c>
      <c r="CE73" s="300">
        <f>+CD73+CE72</f>
        <v>12500000</v>
      </c>
      <c r="CF73" s="300">
        <f>+CE73+CF72</f>
        <v>12500000</v>
      </c>
      <c r="CG73" s="854"/>
      <c r="CI73" s="299" t="s">
        <v>733</v>
      </c>
      <c r="CJ73" s="662">
        <f>+CJ72</f>
        <v>5000000</v>
      </c>
      <c r="CK73" s="300">
        <f>+CJ73+CK72</f>
        <v>5000000</v>
      </c>
      <c r="CL73" s="300">
        <f>+CK73+CL72</f>
        <v>5000000</v>
      </c>
      <c r="CM73" s="300">
        <f>+CL73+CM72</f>
        <v>5000000</v>
      </c>
      <c r="CN73" s="854"/>
    </row>
    <row r="75" spans="3:92" x14ac:dyDescent="0.2">
      <c r="E75" s="1"/>
      <c r="F75" s="1"/>
      <c r="L75" s="1"/>
      <c r="M75" s="1"/>
      <c r="S75" s="1"/>
      <c r="T75" s="1"/>
      <c r="Z75" s="1"/>
      <c r="AA75" s="1"/>
      <c r="AG75" s="1"/>
      <c r="AH75" s="1"/>
      <c r="AN75" s="1"/>
      <c r="AO75" s="1"/>
      <c r="AU75" s="1"/>
      <c r="AV75" s="1"/>
      <c r="BB75" s="1"/>
      <c r="BC75" s="1"/>
      <c r="BI75" s="1"/>
      <c r="BJ75" s="1"/>
      <c r="BP75" s="1"/>
      <c r="BQ75" s="1"/>
      <c r="BW75" s="1"/>
      <c r="BX75" s="1"/>
      <c r="CD75" s="1"/>
      <c r="CE75" s="1"/>
      <c r="CK75" s="1"/>
      <c r="CL75" s="1"/>
    </row>
    <row r="76" spans="3:92" x14ac:dyDescent="0.2">
      <c r="C76" s="858" t="s">
        <v>634</v>
      </c>
      <c r="D76" s="859"/>
      <c r="E76" s="859"/>
      <c r="F76" s="859"/>
      <c r="G76" s="859"/>
      <c r="H76" s="860"/>
      <c r="J76" s="858" t="s">
        <v>643</v>
      </c>
      <c r="K76" s="859"/>
      <c r="L76" s="859"/>
      <c r="M76" s="859"/>
      <c r="N76" s="859"/>
      <c r="O76" s="860"/>
      <c r="Q76" s="858" t="s">
        <v>716</v>
      </c>
      <c r="R76" s="859"/>
      <c r="S76" s="859"/>
      <c r="T76" s="859"/>
      <c r="U76" s="859"/>
      <c r="V76" s="860"/>
      <c r="X76" s="858" t="s">
        <v>654</v>
      </c>
      <c r="Y76" s="859"/>
      <c r="Z76" s="859"/>
      <c r="AA76" s="859"/>
      <c r="AB76" s="859"/>
      <c r="AC76" s="860"/>
      <c r="AE76" s="858" t="s">
        <v>660</v>
      </c>
      <c r="AF76" s="859"/>
      <c r="AG76" s="859"/>
      <c r="AH76" s="859"/>
      <c r="AI76" s="859"/>
      <c r="AJ76" s="860"/>
      <c r="AL76" s="858" t="s">
        <v>668</v>
      </c>
      <c r="AM76" s="859"/>
      <c r="AN76" s="859"/>
      <c r="AO76" s="859"/>
      <c r="AP76" s="859"/>
      <c r="AQ76" s="860"/>
      <c r="AS76" s="858" t="s">
        <v>675</v>
      </c>
      <c r="AT76" s="859"/>
      <c r="AU76" s="859"/>
      <c r="AV76" s="859"/>
      <c r="AW76" s="859"/>
      <c r="AX76" s="860"/>
      <c r="AZ76" s="858" t="s">
        <v>683</v>
      </c>
      <c r="BA76" s="859"/>
      <c r="BB76" s="859"/>
      <c r="BC76" s="859"/>
      <c r="BD76" s="859"/>
      <c r="BE76" s="860"/>
      <c r="BG76" s="858" t="s">
        <v>690</v>
      </c>
      <c r="BH76" s="859"/>
      <c r="BI76" s="859"/>
      <c r="BJ76" s="859"/>
      <c r="BK76" s="859"/>
      <c r="BL76" s="860"/>
      <c r="BN76" s="858" t="s">
        <v>700</v>
      </c>
      <c r="BO76" s="859"/>
      <c r="BP76" s="859"/>
      <c r="BQ76" s="859"/>
      <c r="BR76" s="859"/>
      <c r="BS76" s="860"/>
      <c r="BU76" s="858" t="s">
        <v>708</v>
      </c>
      <c r="BV76" s="859"/>
      <c r="BW76" s="859"/>
      <c r="BX76" s="859"/>
      <c r="BY76" s="859"/>
      <c r="BZ76" s="860"/>
      <c r="CB76" s="858" t="s">
        <v>736</v>
      </c>
      <c r="CC76" s="859"/>
      <c r="CD76" s="859"/>
      <c r="CE76" s="859"/>
      <c r="CF76" s="859"/>
      <c r="CG76" s="860"/>
      <c r="CI76" s="858" t="s">
        <v>750</v>
      </c>
      <c r="CJ76" s="859"/>
      <c r="CK76" s="859"/>
      <c r="CL76" s="859"/>
      <c r="CM76" s="859"/>
      <c r="CN76" s="860"/>
    </row>
    <row r="77" spans="3:92" x14ac:dyDescent="0.2">
      <c r="C77" s="9" t="s">
        <v>6</v>
      </c>
      <c r="D77" s="663" t="s">
        <v>9</v>
      </c>
      <c r="E77" s="10" t="s">
        <v>106</v>
      </c>
      <c r="F77" s="10" t="s">
        <v>10</v>
      </c>
      <c r="G77" s="10" t="s">
        <v>11</v>
      </c>
      <c r="H77" s="39" t="s">
        <v>16</v>
      </c>
      <c r="J77" s="9" t="s">
        <v>6</v>
      </c>
      <c r="K77" s="663" t="s">
        <v>9</v>
      </c>
      <c r="L77" s="10" t="s">
        <v>106</v>
      </c>
      <c r="M77" s="10" t="s">
        <v>10</v>
      </c>
      <c r="N77" s="10" t="s">
        <v>11</v>
      </c>
      <c r="O77" s="39" t="s">
        <v>16</v>
      </c>
      <c r="Q77" s="9" t="s">
        <v>6</v>
      </c>
      <c r="R77" s="663" t="s">
        <v>9</v>
      </c>
      <c r="S77" s="10" t="s">
        <v>106</v>
      </c>
      <c r="T77" s="10" t="s">
        <v>10</v>
      </c>
      <c r="U77" s="10" t="s">
        <v>11</v>
      </c>
      <c r="V77" s="39" t="s">
        <v>16</v>
      </c>
      <c r="X77" s="9" t="s">
        <v>6</v>
      </c>
      <c r="Y77" s="663" t="s">
        <v>9</v>
      </c>
      <c r="Z77" s="10" t="s">
        <v>106</v>
      </c>
      <c r="AA77" s="10" t="s">
        <v>10</v>
      </c>
      <c r="AB77" s="10" t="s">
        <v>11</v>
      </c>
      <c r="AC77" s="39" t="s">
        <v>16</v>
      </c>
      <c r="AE77" s="9" t="s">
        <v>6</v>
      </c>
      <c r="AF77" s="663" t="s">
        <v>9</v>
      </c>
      <c r="AG77" s="10" t="s">
        <v>106</v>
      </c>
      <c r="AH77" s="10" t="s">
        <v>10</v>
      </c>
      <c r="AI77" s="10" t="s">
        <v>11</v>
      </c>
      <c r="AJ77" s="39" t="s">
        <v>16</v>
      </c>
      <c r="AL77" s="9" t="s">
        <v>6</v>
      </c>
      <c r="AM77" s="663" t="s">
        <v>9</v>
      </c>
      <c r="AN77" s="10" t="s">
        <v>106</v>
      </c>
      <c r="AO77" s="10" t="s">
        <v>10</v>
      </c>
      <c r="AP77" s="10" t="s">
        <v>11</v>
      </c>
      <c r="AQ77" s="39" t="s">
        <v>16</v>
      </c>
      <c r="AS77" s="9" t="s">
        <v>6</v>
      </c>
      <c r="AT77" s="663" t="s">
        <v>9</v>
      </c>
      <c r="AU77" s="10" t="s">
        <v>106</v>
      </c>
      <c r="AV77" s="10" t="s">
        <v>10</v>
      </c>
      <c r="AW77" s="10" t="s">
        <v>11</v>
      </c>
      <c r="AX77" s="39" t="s">
        <v>16</v>
      </c>
      <c r="AZ77" s="9" t="s">
        <v>6</v>
      </c>
      <c r="BA77" s="663" t="s">
        <v>9</v>
      </c>
      <c r="BB77" s="10" t="s">
        <v>106</v>
      </c>
      <c r="BC77" s="10" t="s">
        <v>10</v>
      </c>
      <c r="BD77" s="10" t="s">
        <v>11</v>
      </c>
      <c r="BE77" s="39" t="s">
        <v>16</v>
      </c>
      <c r="BG77" s="9" t="s">
        <v>6</v>
      </c>
      <c r="BH77" s="663" t="s">
        <v>9</v>
      </c>
      <c r="BI77" s="10" t="s">
        <v>106</v>
      </c>
      <c r="BJ77" s="10" t="s">
        <v>10</v>
      </c>
      <c r="BK77" s="10" t="s">
        <v>11</v>
      </c>
      <c r="BL77" s="39" t="s">
        <v>16</v>
      </c>
      <c r="BN77" s="9" t="s">
        <v>6</v>
      </c>
      <c r="BO77" s="663" t="s">
        <v>9</v>
      </c>
      <c r="BP77" s="10" t="s">
        <v>106</v>
      </c>
      <c r="BQ77" s="10" t="s">
        <v>10</v>
      </c>
      <c r="BR77" s="10" t="s">
        <v>11</v>
      </c>
      <c r="BS77" s="39" t="s">
        <v>16</v>
      </c>
      <c r="BU77" s="9" t="s">
        <v>6</v>
      </c>
      <c r="BV77" s="663" t="s">
        <v>9</v>
      </c>
      <c r="BW77" s="10" t="s">
        <v>106</v>
      </c>
      <c r="BX77" s="10" t="s">
        <v>10</v>
      </c>
      <c r="BY77" s="10" t="s">
        <v>11</v>
      </c>
      <c r="BZ77" s="39" t="s">
        <v>16</v>
      </c>
      <c r="CB77" s="9" t="s">
        <v>6</v>
      </c>
      <c r="CC77" s="663" t="s">
        <v>9</v>
      </c>
      <c r="CD77" s="10" t="s">
        <v>106</v>
      </c>
      <c r="CE77" s="10" t="s">
        <v>10</v>
      </c>
      <c r="CF77" s="10" t="s">
        <v>11</v>
      </c>
      <c r="CG77" s="39" t="s">
        <v>16</v>
      </c>
      <c r="CI77" s="9" t="s">
        <v>6</v>
      </c>
      <c r="CJ77" s="663" t="s">
        <v>9</v>
      </c>
      <c r="CK77" s="10" t="s">
        <v>106</v>
      </c>
      <c r="CL77" s="10" t="s">
        <v>10</v>
      </c>
      <c r="CM77" s="10" t="s">
        <v>11</v>
      </c>
      <c r="CN77" s="39" t="s">
        <v>16</v>
      </c>
    </row>
    <row r="78" spans="3:92" x14ac:dyDescent="0.2">
      <c r="C78" s="18" t="s">
        <v>637</v>
      </c>
      <c r="D78" s="654">
        <f>SUM(D83*D84)</f>
        <v>63.75</v>
      </c>
      <c r="E78" s="20"/>
      <c r="F78" s="21"/>
      <c r="G78" s="21"/>
      <c r="H78" s="38">
        <f>SUM(D78:G78)</f>
        <v>63.75</v>
      </c>
      <c r="J78" s="18" t="s">
        <v>637</v>
      </c>
      <c r="K78" s="654">
        <f>SUM(K83*K84)</f>
        <v>11</v>
      </c>
      <c r="L78" s="20"/>
      <c r="M78" s="21"/>
      <c r="N78" s="21"/>
      <c r="O78" s="38">
        <f>SUM(K78:N78)</f>
        <v>11</v>
      </c>
      <c r="Q78" s="18" t="s">
        <v>637</v>
      </c>
      <c r="R78" s="654">
        <f>SUM(R83*R84)</f>
        <v>90</v>
      </c>
      <c r="S78" s="20"/>
      <c r="T78" s="21"/>
      <c r="U78" s="21"/>
      <c r="V78" s="38">
        <f>SUM(R78:U78)</f>
        <v>90</v>
      </c>
      <c r="X78" s="18" t="s">
        <v>637</v>
      </c>
      <c r="Y78" s="654">
        <f>SUM(Y83*Y84)</f>
        <v>10</v>
      </c>
      <c r="Z78" s="20"/>
      <c r="AA78" s="21"/>
      <c r="AB78" s="21"/>
      <c r="AC78" s="38">
        <f>SUM(Y78:AB78)</f>
        <v>10</v>
      </c>
      <c r="AE78" s="18" t="s">
        <v>637</v>
      </c>
      <c r="AF78" s="654">
        <f>SUM(AF83*AF84)</f>
        <v>55</v>
      </c>
      <c r="AG78" s="20"/>
      <c r="AH78" s="21"/>
      <c r="AI78" s="21"/>
      <c r="AJ78" s="38">
        <f>SUM(AF78:AI78)</f>
        <v>55</v>
      </c>
      <c r="AL78" s="18" t="s">
        <v>637</v>
      </c>
      <c r="AM78" s="654">
        <f>SUM(AM83*AM84)</f>
        <v>26.619999999999997</v>
      </c>
      <c r="AN78" s="20"/>
      <c r="AO78" s="21"/>
      <c r="AP78" s="21"/>
      <c r="AQ78" s="38">
        <f>SUM(AM78:AP78)</f>
        <v>26.619999999999997</v>
      </c>
      <c r="AS78" s="18" t="s">
        <v>637</v>
      </c>
      <c r="AT78" s="654">
        <f>SUM(AT83*AT84)</f>
        <v>231.52500000000001</v>
      </c>
      <c r="AU78" s="20"/>
      <c r="AV78" s="21"/>
      <c r="AW78" s="21"/>
      <c r="AX78" s="38">
        <f>SUM(AT78:AW78)</f>
        <v>231.52500000000001</v>
      </c>
      <c r="AZ78" s="18" t="s">
        <v>637</v>
      </c>
      <c r="BA78" s="654">
        <f>SUM(BA83*BA84)</f>
        <v>86.821874999999991</v>
      </c>
      <c r="BB78" s="20"/>
      <c r="BC78" s="21"/>
      <c r="BD78" s="21"/>
      <c r="BE78" s="38">
        <f>SUM(BA78:BD78)</f>
        <v>86.821874999999991</v>
      </c>
      <c r="BG78" s="18" t="s">
        <v>637</v>
      </c>
      <c r="BH78" s="654">
        <f>SUM(BH83*BH84)</f>
        <v>289.40625</v>
      </c>
      <c r="BI78" s="20"/>
      <c r="BJ78" s="21"/>
      <c r="BK78" s="21"/>
      <c r="BL78" s="38">
        <f>SUM(BH78:BK78)</f>
        <v>289.40625</v>
      </c>
      <c r="BN78" s="18" t="s">
        <v>637</v>
      </c>
      <c r="BO78" s="654">
        <f>SUM(BO83*BO84)</f>
        <v>115.7625</v>
      </c>
      <c r="BP78" s="20"/>
      <c r="BQ78" s="21"/>
      <c r="BR78" s="21"/>
      <c r="BS78" s="38">
        <f>SUM(BO78:BR78)</f>
        <v>115.7625</v>
      </c>
      <c r="BU78" s="18" t="s">
        <v>637</v>
      </c>
      <c r="BV78" s="654">
        <f>SUM(BV83*BV84)</f>
        <v>266.2000000000001</v>
      </c>
      <c r="BW78" s="20"/>
      <c r="BX78" s="21"/>
      <c r="BY78" s="21"/>
      <c r="BZ78" s="38">
        <f>SUM(BV78:BY78)</f>
        <v>266.2000000000001</v>
      </c>
      <c r="CB78" s="18" t="s">
        <v>741</v>
      </c>
      <c r="CC78" s="654">
        <f>SUM(CC83*CC84)</f>
        <v>2500</v>
      </c>
      <c r="CD78" s="20"/>
      <c r="CE78" s="21"/>
      <c r="CF78" s="21"/>
      <c r="CG78" s="38">
        <f>SUM(CC78:CF78)</f>
        <v>2500</v>
      </c>
      <c r="CI78" s="18" t="s">
        <v>741</v>
      </c>
      <c r="CJ78" s="654">
        <f>SUM(CJ83*CJ84)</f>
        <v>10000</v>
      </c>
      <c r="CK78" s="20"/>
      <c r="CL78" s="21"/>
      <c r="CM78" s="21"/>
      <c r="CN78" s="38">
        <f>SUM(CJ78:CM78)</f>
        <v>10000</v>
      </c>
    </row>
    <row r="79" spans="3:92" x14ac:dyDescent="0.2">
      <c r="C79" s="11" t="s">
        <v>19</v>
      </c>
      <c r="D79" s="655">
        <f>SUM(D56)</f>
        <v>328500</v>
      </c>
      <c r="E79" s="22">
        <f>SUM(D79)</f>
        <v>328500</v>
      </c>
      <c r="F79" s="22">
        <f>SUM(E79)</f>
        <v>328500</v>
      </c>
      <c r="G79" s="22">
        <f>SUM(F79)</f>
        <v>328500</v>
      </c>
      <c r="H79" s="14"/>
      <c r="J79" s="11" t="s">
        <v>19</v>
      </c>
      <c r="K79" s="655">
        <f>SUM(K56)</f>
        <v>854100</v>
      </c>
      <c r="L79" s="22">
        <f>SUM(K79)</f>
        <v>854100</v>
      </c>
      <c r="M79" s="22">
        <f>SUM(L79)</f>
        <v>854100</v>
      </c>
      <c r="N79" s="22">
        <f>SUM(M79)</f>
        <v>854100</v>
      </c>
      <c r="O79" s="14"/>
      <c r="Q79" s="11" t="s">
        <v>19</v>
      </c>
      <c r="R79" s="655">
        <f>SUM(R56)</f>
        <v>183960</v>
      </c>
      <c r="S79" s="22">
        <f>SUM(R79)</f>
        <v>183960</v>
      </c>
      <c r="T79" s="22">
        <f>SUM(S79)</f>
        <v>183960</v>
      </c>
      <c r="U79" s="22">
        <f>SUM(T79)</f>
        <v>183960</v>
      </c>
      <c r="V79" s="14"/>
      <c r="X79" s="11" t="s">
        <v>19</v>
      </c>
      <c r="Y79" s="655">
        <f>SUM(Y56)</f>
        <v>361350</v>
      </c>
      <c r="Z79" s="22">
        <f>SUM(Y79)</f>
        <v>361350</v>
      </c>
      <c r="AA79" s="22">
        <f>SUM(Z79)</f>
        <v>361350</v>
      </c>
      <c r="AB79" s="22">
        <f>SUM(AA79)</f>
        <v>361350</v>
      </c>
      <c r="AC79" s="14"/>
      <c r="AE79" s="11" t="s">
        <v>19</v>
      </c>
      <c r="AF79" s="655">
        <f>SUM(AF56)</f>
        <v>229950</v>
      </c>
      <c r="AG79" s="22">
        <f>SUM(AF79)</f>
        <v>229950</v>
      </c>
      <c r="AH79" s="22">
        <f>SUM(AG79)</f>
        <v>229950</v>
      </c>
      <c r="AI79" s="22">
        <f>SUM(AH79)</f>
        <v>229950</v>
      </c>
      <c r="AJ79" s="14"/>
      <c r="AL79" s="11" t="s">
        <v>19</v>
      </c>
      <c r="AM79" s="655">
        <f>SUM(AM56)</f>
        <v>308352</v>
      </c>
      <c r="AN79" s="22">
        <f>SUM(AM79)</f>
        <v>308352</v>
      </c>
      <c r="AO79" s="22">
        <f>SUM(AN79)</f>
        <v>308352</v>
      </c>
      <c r="AP79" s="22">
        <f>SUM(AO79)</f>
        <v>308352</v>
      </c>
      <c r="AQ79" s="14"/>
      <c r="AS79" s="11" t="s">
        <v>19</v>
      </c>
      <c r="AT79" s="655">
        <f>SUM(AT56)</f>
        <v>262800</v>
      </c>
      <c r="AU79" s="22">
        <f>SUM(AT79)</f>
        <v>262800</v>
      </c>
      <c r="AV79" s="22">
        <f>SUM(AU79)</f>
        <v>262800</v>
      </c>
      <c r="AW79" s="22">
        <f>SUM(AV79)</f>
        <v>262800</v>
      </c>
      <c r="AX79" s="14"/>
      <c r="AZ79" s="11" t="s">
        <v>19</v>
      </c>
      <c r="BA79" s="655">
        <f>SUM(BA56)</f>
        <v>229950</v>
      </c>
      <c r="BB79" s="22">
        <f>SUM(BA79)</f>
        <v>229950</v>
      </c>
      <c r="BC79" s="22">
        <f>SUM(BB79)</f>
        <v>229950</v>
      </c>
      <c r="BD79" s="22">
        <f>SUM(BC79)</f>
        <v>229950</v>
      </c>
      <c r="BE79" s="14"/>
      <c r="BG79" s="11" t="s">
        <v>19</v>
      </c>
      <c r="BH79" s="655">
        <f>SUM(BH56)</f>
        <v>164250</v>
      </c>
      <c r="BI79" s="22">
        <f>SUM(BH79)</f>
        <v>164250</v>
      </c>
      <c r="BJ79" s="22">
        <f>SUM(BI79)</f>
        <v>164250</v>
      </c>
      <c r="BK79" s="22">
        <f>SUM(BJ79)</f>
        <v>164250</v>
      </c>
      <c r="BL79" s="14"/>
      <c r="BN79" s="11" t="s">
        <v>19</v>
      </c>
      <c r="BO79" s="655">
        <f>SUM(BO56)</f>
        <v>131400</v>
      </c>
      <c r="BP79" s="22">
        <f>SUM(BO79)</f>
        <v>131400</v>
      </c>
      <c r="BQ79" s="22">
        <f>SUM(BP79)</f>
        <v>131400</v>
      </c>
      <c r="BR79" s="22">
        <f>SUM(BQ79)</f>
        <v>131400</v>
      </c>
      <c r="BS79" s="14"/>
      <c r="BU79" s="11" t="s">
        <v>19</v>
      </c>
      <c r="BV79" s="655">
        <f>SUM(BV56)</f>
        <v>52560</v>
      </c>
      <c r="BW79" s="22">
        <f>SUM(BV79)</f>
        <v>52560</v>
      </c>
      <c r="BX79" s="22">
        <f>SUM(BW79)</f>
        <v>52560</v>
      </c>
      <c r="BY79" s="22">
        <f>SUM(BX79)</f>
        <v>52560</v>
      </c>
      <c r="BZ79" s="14"/>
      <c r="CB79" s="11" t="s">
        <v>745</v>
      </c>
      <c r="CC79" s="655">
        <v>7500</v>
      </c>
      <c r="CD79" s="22">
        <f>SUM(CC79)</f>
        <v>7500</v>
      </c>
      <c r="CE79" s="22">
        <f>SUM(CD79)</f>
        <v>7500</v>
      </c>
      <c r="CF79" s="22">
        <f>SUM(CE79)</f>
        <v>7500</v>
      </c>
      <c r="CG79" s="14"/>
      <c r="CI79" s="11" t="s">
        <v>745</v>
      </c>
      <c r="CJ79" s="655">
        <v>1000</v>
      </c>
      <c r="CK79" s="22">
        <f>SUM(CJ79)</f>
        <v>1000</v>
      </c>
      <c r="CL79" s="22">
        <f>SUM(CK79)</f>
        <v>1000</v>
      </c>
      <c r="CM79" s="22">
        <f>SUM(CL79)</f>
        <v>1000</v>
      </c>
      <c r="CN79" s="14"/>
    </row>
    <row r="80" spans="3:92" x14ac:dyDescent="0.2">
      <c r="C80" s="6" t="s">
        <v>7</v>
      </c>
      <c r="D80" s="656">
        <f>+D79*D78</f>
        <v>20941875</v>
      </c>
      <c r="E80" s="24">
        <f>+E79*E78</f>
        <v>0</v>
      </c>
      <c r="F80" s="25">
        <f>+F79*F78</f>
        <v>0</v>
      </c>
      <c r="G80" s="25">
        <f>+G79*G78</f>
        <v>0</v>
      </c>
      <c r="H80" s="14"/>
      <c r="J80" s="6" t="s">
        <v>7</v>
      </c>
      <c r="K80" s="656">
        <f>+K79*K78</f>
        <v>9395100</v>
      </c>
      <c r="L80" s="24">
        <f>+L79*L78</f>
        <v>0</v>
      </c>
      <c r="M80" s="25">
        <f>+M79*M78</f>
        <v>0</v>
      </c>
      <c r="N80" s="25">
        <f>+N79*N78</f>
        <v>0</v>
      </c>
      <c r="O80" s="14"/>
      <c r="Q80" s="6" t="s">
        <v>7</v>
      </c>
      <c r="R80" s="656">
        <f>+R79*R78</f>
        <v>16556400</v>
      </c>
      <c r="S80" s="24">
        <f>+S79*S78</f>
        <v>0</v>
      </c>
      <c r="T80" s="25">
        <f>+T79*T78</f>
        <v>0</v>
      </c>
      <c r="U80" s="25">
        <f>+U79*U78</f>
        <v>0</v>
      </c>
      <c r="V80" s="14"/>
      <c r="X80" s="6" t="s">
        <v>7</v>
      </c>
      <c r="Y80" s="656">
        <f>+Y79*Y78</f>
        <v>3613500</v>
      </c>
      <c r="Z80" s="24">
        <f>+Z79*Z78</f>
        <v>0</v>
      </c>
      <c r="AA80" s="25">
        <f>+AA79*AA78</f>
        <v>0</v>
      </c>
      <c r="AB80" s="25">
        <f>+AB79*AB78</f>
        <v>0</v>
      </c>
      <c r="AC80" s="14"/>
      <c r="AE80" s="6" t="s">
        <v>7</v>
      </c>
      <c r="AF80" s="656">
        <f>+AF79*AF78</f>
        <v>12647250</v>
      </c>
      <c r="AG80" s="24">
        <f>+AG79*AG78</f>
        <v>0</v>
      </c>
      <c r="AH80" s="25">
        <f>+AH79*AH78</f>
        <v>0</v>
      </c>
      <c r="AI80" s="25">
        <f>+AI79*AI78</f>
        <v>0</v>
      </c>
      <c r="AJ80" s="14"/>
      <c r="AL80" s="6" t="s">
        <v>7</v>
      </c>
      <c r="AM80" s="656">
        <f>+AM79*AM78</f>
        <v>8208330.2399999993</v>
      </c>
      <c r="AN80" s="24">
        <f>+AN79*AN78</f>
        <v>0</v>
      </c>
      <c r="AO80" s="25">
        <f>+AO79*AO78</f>
        <v>0</v>
      </c>
      <c r="AP80" s="25">
        <f>+AP79*AP78</f>
        <v>0</v>
      </c>
      <c r="AQ80" s="14"/>
      <c r="AS80" s="6" t="s">
        <v>7</v>
      </c>
      <c r="AT80" s="656">
        <f>+AT79*AT78</f>
        <v>60844770</v>
      </c>
      <c r="AU80" s="24">
        <f>+AU79*AU78</f>
        <v>0</v>
      </c>
      <c r="AV80" s="25">
        <f>+AV79*AV78</f>
        <v>0</v>
      </c>
      <c r="AW80" s="25">
        <f>+AW79*AW78</f>
        <v>0</v>
      </c>
      <c r="AX80" s="14"/>
      <c r="AZ80" s="6" t="s">
        <v>7</v>
      </c>
      <c r="BA80" s="656">
        <f>+BA79*BA78</f>
        <v>19964690.156249996</v>
      </c>
      <c r="BB80" s="24">
        <f>+BB79*BB78</f>
        <v>0</v>
      </c>
      <c r="BC80" s="25">
        <f>+BC79*BC78</f>
        <v>0</v>
      </c>
      <c r="BD80" s="25">
        <f>+BD79*BD78</f>
        <v>0</v>
      </c>
      <c r="BE80" s="14"/>
      <c r="BG80" s="6" t="s">
        <v>7</v>
      </c>
      <c r="BH80" s="656">
        <f>+BH79*BH78</f>
        <v>47534976.5625</v>
      </c>
      <c r="BI80" s="24">
        <f>+BI79*BI78</f>
        <v>0</v>
      </c>
      <c r="BJ80" s="25">
        <f>+BJ79*BJ78</f>
        <v>0</v>
      </c>
      <c r="BK80" s="25">
        <f>+BK79*BK78</f>
        <v>0</v>
      </c>
      <c r="BL80" s="14"/>
      <c r="BN80" s="6" t="s">
        <v>7</v>
      </c>
      <c r="BO80" s="656">
        <f>+BO79*BO78</f>
        <v>15211192.5</v>
      </c>
      <c r="BP80" s="24">
        <f>+BP79*BP78</f>
        <v>0</v>
      </c>
      <c r="BQ80" s="25">
        <f>+BQ79*BQ78</f>
        <v>0</v>
      </c>
      <c r="BR80" s="25">
        <f>+BR79*BR78</f>
        <v>0</v>
      </c>
      <c r="BS80" s="14"/>
      <c r="BU80" s="6" t="s">
        <v>7</v>
      </c>
      <c r="BV80" s="656">
        <f>+BV79*BV78</f>
        <v>13991472.000000006</v>
      </c>
      <c r="BW80" s="24">
        <f>+BW79*BW78</f>
        <v>0</v>
      </c>
      <c r="BX80" s="25">
        <f>+BX79*BX78</f>
        <v>0</v>
      </c>
      <c r="BY80" s="25">
        <f>+BY79*BY78</f>
        <v>0</v>
      </c>
      <c r="BZ80" s="14"/>
      <c r="CB80" s="6" t="s">
        <v>7</v>
      </c>
      <c r="CC80" s="656">
        <f>+CC79*CC78</f>
        <v>18750000</v>
      </c>
      <c r="CD80" s="24">
        <f>+CD79*CD78</f>
        <v>0</v>
      </c>
      <c r="CE80" s="25">
        <f>+CE79*CE78</f>
        <v>0</v>
      </c>
      <c r="CF80" s="25">
        <f>+CF79*CF78</f>
        <v>0</v>
      </c>
      <c r="CG80" s="14"/>
      <c r="CI80" s="6" t="s">
        <v>7</v>
      </c>
      <c r="CJ80" s="656">
        <f>+CJ79*CJ78</f>
        <v>10000000</v>
      </c>
      <c r="CK80" s="24">
        <f>+CK79*CK78</f>
        <v>0</v>
      </c>
      <c r="CL80" s="25">
        <f>+CL79*CL78</f>
        <v>0</v>
      </c>
      <c r="CM80" s="25">
        <f>+CM79*CM78</f>
        <v>0</v>
      </c>
      <c r="CN80" s="14"/>
    </row>
    <row r="81" spans="3:92" x14ac:dyDescent="0.2">
      <c r="C81" s="16" t="s">
        <v>8</v>
      </c>
      <c r="D81" s="655">
        <f>+D80</f>
        <v>20941875</v>
      </c>
      <c r="E81" s="22">
        <f>+D81+E80</f>
        <v>20941875</v>
      </c>
      <c r="F81" s="23">
        <f>+E81+F80</f>
        <v>20941875</v>
      </c>
      <c r="G81" s="23">
        <f>+F81+G80</f>
        <v>20941875</v>
      </c>
      <c r="H81" s="14"/>
      <c r="J81" s="16" t="s">
        <v>8</v>
      </c>
      <c r="K81" s="655">
        <f>+K80</f>
        <v>9395100</v>
      </c>
      <c r="L81" s="22">
        <f>+K81+L80</f>
        <v>9395100</v>
      </c>
      <c r="M81" s="23">
        <f>+L81+M80</f>
        <v>9395100</v>
      </c>
      <c r="N81" s="23">
        <f>+M81+N80</f>
        <v>9395100</v>
      </c>
      <c r="O81" s="14"/>
      <c r="Q81" s="16" t="s">
        <v>8</v>
      </c>
      <c r="R81" s="655">
        <f>+R80</f>
        <v>16556400</v>
      </c>
      <c r="S81" s="22">
        <f>+R81+S80</f>
        <v>16556400</v>
      </c>
      <c r="T81" s="23">
        <f>+S81+T80</f>
        <v>16556400</v>
      </c>
      <c r="U81" s="23">
        <f>+T81+U80</f>
        <v>16556400</v>
      </c>
      <c r="V81" s="14"/>
      <c r="X81" s="16" t="s">
        <v>8</v>
      </c>
      <c r="Y81" s="655">
        <f>+Y80</f>
        <v>3613500</v>
      </c>
      <c r="Z81" s="22">
        <f>+Y81+Z80</f>
        <v>3613500</v>
      </c>
      <c r="AA81" s="23">
        <f>+Z81+AA80</f>
        <v>3613500</v>
      </c>
      <c r="AB81" s="23">
        <f>+AA81+AB80</f>
        <v>3613500</v>
      </c>
      <c r="AC81" s="14"/>
      <c r="AE81" s="16" t="s">
        <v>8</v>
      </c>
      <c r="AF81" s="655">
        <f>+AF80</f>
        <v>12647250</v>
      </c>
      <c r="AG81" s="22">
        <f>+AF81+AG80</f>
        <v>12647250</v>
      </c>
      <c r="AH81" s="23">
        <f>+AG81+AH80</f>
        <v>12647250</v>
      </c>
      <c r="AI81" s="23">
        <f>+AH81+AI80</f>
        <v>12647250</v>
      </c>
      <c r="AJ81" s="14"/>
      <c r="AL81" s="16" t="s">
        <v>8</v>
      </c>
      <c r="AM81" s="655">
        <f>+AM80</f>
        <v>8208330.2399999993</v>
      </c>
      <c r="AN81" s="22">
        <f>+AM81+AN80</f>
        <v>8208330.2399999993</v>
      </c>
      <c r="AO81" s="23">
        <f>+AN81+AO80</f>
        <v>8208330.2399999993</v>
      </c>
      <c r="AP81" s="23">
        <f>+AO81+AP80</f>
        <v>8208330.2399999993</v>
      </c>
      <c r="AQ81" s="14"/>
      <c r="AS81" s="16" t="s">
        <v>8</v>
      </c>
      <c r="AT81" s="655">
        <f>+AT80</f>
        <v>60844770</v>
      </c>
      <c r="AU81" s="22">
        <f>+AT81+AU80</f>
        <v>60844770</v>
      </c>
      <c r="AV81" s="23">
        <f>+AU81+AV80</f>
        <v>60844770</v>
      </c>
      <c r="AW81" s="23">
        <f>+AV81+AW80</f>
        <v>60844770</v>
      </c>
      <c r="AX81" s="14"/>
      <c r="AZ81" s="16" t="s">
        <v>8</v>
      </c>
      <c r="BA81" s="655">
        <f>+BA80</f>
        <v>19964690.156249996</v>
      </c>
      <c r="BB81" s="22">
        <f>+BA81+BB80</f>
        <v>19964690.156249996</v>
      </c>
      <c r="BC81" s="23">
        <f>+BB81+BC80</f>
        <v>19964690.156249996</v>
      </c>
      <c r="BD81" s="23">
        <f>+BC81+BD80</f>
        <v>19964690.156249996</v>
      </c>
      <c r="BE81" s="14"/>
      <c r="BG81" s="16" t="s">
        <v>8</v>
      </c>
      <c r="BH81" s="655">
        <f>+BH80</f>
        <v>47534976.5625</v>
      </c>
      <c r="BI81" s="22">
        <f>+BH81+BI80</f>
        <v>47534976.5625</v>
      </c>
      <c r="BJ81" s="23">
        <f>+BI81+BJ80</f>
        <v>47534976.5625</v>
      </c>
      <c r="BK81" s="23">
        <f>+BJ81+BK80</f>
        <v>47534976.5625</v>
      </c>
      <c r="BL81" s="14"/>
      <c r="BN81" s="16" t="s">
        <v>8</v>
      </c>
      <c r="BO81" s="655">
        <f>+BO80</f>
        <v>15211192.5</v>
      </c>
      <c r="BP81" s="22">
        <f>+BO81+BP80</f>
        <v>15211192.5</v>
      </c>
      <c r="BQ81" s="23">
        <f>+BP81+BQ80</f>
        <v>15211192.5</v>
      </c>
      <c r="BR81" s="23">
        <f>+BQ81+BR80</f>
        <v>15211192.5</v>
      </c>
      <c r="BS81" s="14"/>
      <c r="BU81" s="16" t="s">
        <v>8</v>
      </c>
      <c r="BV81" s="655">
        <f>+BV80</f>
        <v>13991472.000000006</v>
      </c>
      <c r="BW81" s="22">
        <f>+BV81+BW80</f>
        <v>13991472.000000006</v>
      </c>
      <c r="BX81" s="23">
        <f>+BW81+BX80</f>
        <v>13991472.000000006</v>
      </c>
      <c r="BY81" s="23">
        <f>+BX81+BY80</f>
        <v>13991472.000000006</v>
      </c>
      <c r="BZ81" s="14"/>
      <c r="CB81" s="16" t="s">
        <v>8</v>
      </c>
      <c r="CC81" s="655">
        <f>+CC80</f>
        <v>18750000</v>
      </c>
      <c r="CD81" s="22">
        <f>+CC81+CD80</f>
        <v>18750000</v>
      </c>
      <c r="CE81" s="23">
        <f>+CD81+CE80</f>
        <v>18750000</v>
      </c>
      <c r="CF81" s="23">
        <f>+CE81+CF80</f>
        <v>18750000</v>
      </c>
      <c r="CG81" s="14"/>
      <c r="CI81" s="16" t="s">
        <v>8</v>
      </c>
      <c r="CJ81" s="655">
        <f>+CJ80</f>
        <v>10000000</v>
      </c>
      <c r="CK81" s="22">
        <f>+CJ81+CK80</f>
        <v>10000000</v>
      </c>
      <c r="CL81" s="23">
        <f>+CK81+CL80</f>
        <v>10000000</v>
      </c>
      <c r="CM81" s="23">
        <f>+CL81+CM80</f>
        <v>10000000</v>
      </c>
      <c r="CN81" s="14"/>
    </row>
    <row r="82" spans="3:92" x14ac:dyDescent="0.2">
      <c r="C82" s="7"/>
      <c r="D82" s="656"/>
      <c r="E82" s="26"/>
      <c r="F82" s="27"/>
      <c r="G82" s="27"/>
      <c r="H82" s="14"/>
      <c r="J82" s="7"/>
      <c r="K82" s="656"/>
      <c r="L82" s="26"/>
      <c r="M82" s="27"/>
      <c r="N82" s="27"/>
      <c r="O82" s="14"/>
      <c r="Q82" s="7"/>
      <c r="R82" s="656"/>
      <c r="S82" s="26"/>
      <c r="T82" s="27"/>
      <c r="U82" s="27"/>
      <c r="V82" s="14"/>
      <c r="X82" s="7"/>
      <c r="Y82" s="656"/>
      <c r="Z82" s="26"/>
      <c r="AA82" s="27"/>
      <c r="AB82" s="27"/>
      <c r="AC82" s="14"/>
      <c r="AE82" s="7"/>
      <c r="AF82" s="656"/>
      <c r="AG82" s="26"/>
      <c r="AH82" s="27"/>
      <c r="AI82" s="27"/>
      <c r="AJ82" s="14"/>
      <c r="AL82" s="7"/>
      <c r="AM82" s="656"/>
      <c r="AN82" s="26"/>
      <c r="AO82" s="27"/>
      <c r="AP82" s="27"/>
      <c r="AQ82" s="14"/>
      <c r="AS82" s="7"/>
      <c r="AT82" s="656"/>
      <c r="AU82" s="26"/>
      <c r="AV82" s="27"/>
      <c r="AW82" s="27"/>
      <c r="AX82" s="14"/>
      <c r="AZ82" s="7"/>
      <c r="BA82" s="656"/>
      <c r="BB82" s="26"/>
      <c r="BC82" s="27"/>
      <c r="BD82" s="27"/>
      <c r="BE82" s="14"/>
      <c r="BG82" s="7"/>
      <c r="BH82" s="656"/>
      <c r="BI82" s="26"/>
      <c r="BJ82" s="27"/>
      <c r="BK82" s="27"/>
      <c r="BL82" s="14"/>
      <c r="BN82" s="7"/>
      <c r="BO82" s="656"/>
      <c r="BP82" s="26"/>
      <c r="BQ82" s="27"/>
      <c r="BR82" s="27"/>
      <c r="BS82" s="14"/>
      <c r="BU82" s="7"/>
      <c r="BV82" s="656"/>
      <c r="BW82" s="26"/>
      <c r="BX82" s="27"/>
      <c r="BY82" s="27"/>
      <c r="BZ82" s="14"/>
      <c r="CB82" s="7"/>
      <c r="CC82" s="656"/>
      <c r="CD82" s="26"/>
      <c r="CE82" s="27"/>
      <c r="CF82" s="27"/>
      <c r="CG82" s="14"/>
      <c r="CI82" s="7"/>
      <c r="CJ82" s="656"/>
      <c r="CK82" s="26"/>
      <c r="CL82" s="27"/>
      <c r="CM82" s="27"/>
      <c r="CN82" s="14"/>
    </row>
    <row r="83" spans="3:92" x14ac:dyDescent="0.2">
      <c r="C83" s="17" t="s">
        <v>628</v>
      </c>
      <c r="D83" s="671">
        <f>SUM('Coûts de product° Agricole'!G18)/1000</f>
        <v>3.1875</v>
      </c>
      <c r="E83" s="101"/>
      <c r="F83" s="102"/>
      <c r="G83" s="102"/>
      <c r="H83" s="672"/>
      <c r="J83" s="17" t="s">
        <v>628</v>
      </c>
      <c r="K83" s="671">
        <f>SUM('Coûts de product° Agricole'!G36)/1000</f>
        <v>1.1000000000000001</v>
      </c>
      <c r="L83" s="101"/>
      <c r="M83" s="102"/>
      <c r="N83" s="102"/>
      <c r="O83" s="672"/>
      <c r="Q83" s="17" t="s">
        <v>628</v>
      </c>
      <c r="R83" s="671">
        <f>SUM('Coûts de product° Agricole'!G54)/1000</f>
        <v>4.5</v>
      </c>
      <c r="S83" s="101"/>
      <c r="T83" s="102"/>
      <c r="U83" s="102"/>
      <c r="V83" s="672"/>
      <c r="X83" s="17" t="s">
        <v>628</v>
      </c>
      <c r="Y83" s="671">
        <f>SUM('Coûts de product° Agricole'!G72)/1000</f>
        <v>1</v>
      </c>
      <c r="Z83" s="101"/>
      <c r="AA83" s="102"/>
      <c r="AB83" s="102"/>
      <c r="AC83" s="672"/>
      <c r="AE83" s="17" t="s">
        <v>628</v>
      </c>
      <c r="AF83" s="671">
        <f>SUM('Coûts de product° Agricole'!G92)/1000</f>
        <v>11</v>
      </c>
      <c r="AG83" s="101"/>
      <c r="AH83" s="102"/>
      <c r="AI83" s="102"/>
      <c r="AJ83" s="672"/>
      <c r="AL83" s="17" t="s">
        <v>628</v>
      </c>
      <c r="AM83" s="671">
        <f>SUM('Coûts de product° Agricole'!G110)/1000</f>
        <v>2.6619999999999999</v>
      </c>
      <c r="AN83" s="101"/>
      <c r="AO83" s="102"/>
      <c r="AP83" s="102"/>
      <c r="AQ83" s="672"/>
      <c r="AS83" s="17" t="s">
        <v>628</v>
      </c>
      <c r="AT83" s="671">
        <f>SUM('Coûts de product° Agricole'!G128)/1000</f>
        <v>23.1525</v>
      </c>
      <c r="AU83" s="101"/>
      <c r="AV83" s="102"/>
      <c r="AW83" s="102"/>
      <c r="AX83" s="672"/>
      <c r="AZ83" s="17" t="s">
        <v>628</v>
      </c>
      <c r="BA83" s="671">
        <f>SUM('Coûts de product° Agricole'!G146)/1000</f>
        <v>17.364374999999999</v>
      </c>
      <c r="BB83" s="101"/>
      <c r="BC83" s="102"/>
      <c r="BD83" s="102"/>
      <c r="BE83" s="672"/>
      <c r="BG83" s="17" t="s">
        <v>628</v>
      </c>
      <c r="BH83" s="671">
        <f>SUM('Coûts de product° Agricole'!G164)/1000</f>
        <v>28.940625000000001</v>
      </c>
      <c r="BI83" s="101"/>
      <c r="BJ83" s="102"/>
      <c r="BK83" s="102"/>
      <c r="BL83" s="672"/>
      <c r="BN83" s="17" t="s">
        <v>628</v>
      </c>
      <c r="BO83" s="671">
        <f>SUM('Coûts de product° Agricole'!G182)/1000</f>
        <v>23.1525</v>
      </c>
      <c r="BP83" s="101"/>
      <c r="BQ83" s="102"/>
      <c r="BR83" s="102"/>
      <c r="BS83" s="672"/>
      <c r="BU83" s="17" t="s">
        <v>628</v>
      </c>
      <c r="BV83" s="671">
        <f>SUM('Coûts de product° Agricole'!G200)/1000</f>
        <v>26.620000000000008</v>
      </c>
      <c r="BW83" s="101"/>
      <c r="BX83" s="102"/>
      <c r="BY83" s="102"/>
      <c r="BZ83" s="672"/>
      <c r="CB83" s="17" t="s">
        <v>816</v>
      </c>
      <c r="CC83" s="671">
        <v>500</v>
      </c>
      <c r="CD83" s="101"/>
      <c r="CE83" s="102"/>
      <c r="CF83" s="102"/>
      <c r="CG83" s="672"/>
      <c r="CI83" s="17" t="s">
        <v>816</v>
      </c>
      <c r="CJ83" s="671">
        <v>2000</v>
      </c>
      <c r="CK83" s="101"/>
      <c r="CL83" s="102"/>
      <c r="CM83" s="102"/>
      <c r="CN83" s="672"/>
    </row>
    <row r="84" spans="3:92" x14ac:dyDescent="0.2">
      <c r="C84" s="11" t="s">
        <v>629</v>
      </c>
      <c r="D84" s="655">
        <v>20</v>
      </c>
      <c r="E84" s="22"/>
      <c r="F84" s="23"/>
      <c r="G84" s="22"/>
      <c r="H84" s="38"/>
      <c r="J84" s="11" t="s">
        <v>629</v>
      </c>
      <c r="K84" s="655">
        <v>10</v>
      </c>
      <c r="L84" s="22"/>
      <c r="M84" s="23"/>
      <c r="N84" s="22"/>
      <c r="O84" s="38"/>
      <c r="Q84" s="11" t="s">
        <v>629</v>
      </c>
      <c r="R84" s="655">
        <v>20</v>
      </c>
      <c r="S84" s="22"/>
      <c r="T84" s="23"/>
      <c r="U84" s="22"/>
      <c r="V84" s="38"/>
      <c r="X84" s="11" t="s">
        <v>629</v>
      </c>
      <c r="Y84" s="655">
        <v>10</v>
      </c>
      <c r="Z84" s="22"/>
      <c r="AA84" s="23"/>
      <c r="AB84" s="22"/>
      <c r="AC84" s="38"/>
      <c r="AE84" s="11" t="s">
        <v>629</v>
      </c>
      <c r="AF84" s="655">
        <v>5</v>
      </c>
      <c r="AG84" s="22"/>
      <c r="AH84" s="23"/>
      <c r="AI84" s="22"/>
      <c r="AJ84" s="38"/>
      <c r="AL84" s="11" t="s">
        <v>629</v>
      </c>
      <c r="AM84" s="655">
        <v>10</v>
      </c>
      <c r="AN84" s="22"/>
      <c r="AO84" s="23"/>
      <c r="AP84" s="22"/>
      <c r="AQ84" s="38"/>
      <c r="AS84" s="11" t="s">
        <v>629</v>
      </c>
      <c r="AT84" s="655">
        <v>10</v>
      </c>
      <c r="AU84" s="22"/>
      <c r="AV84" s="23"/>
      <c r="AW84" s="22"/>
      <c r="AX84" s="38"/>
      <c r="AZ84" s="11" t="s">
        <v>629</v>
      </c>
      <c r="BA84" s="655">
        <v>5</v>
      </c>
      <c r="BB84" s="22"/>
      <c r="BC84" s="23"/>
      <c r="BD84" s="22"/>
      <c r="BE84" s="38"/>
      <c r="BG84" s="11" t="s">
        <v>629</v>
      </c>
      <c r="BH84" s="655">
        <v>10</v>
      </c>
      <c r="BI84" s="22"/>
      <c r="BJ84" s="23"/>
      <c r="BK84" s="22"/>
      <c r="BL84" s="38"/>
      <c r="BN84" s="11" t="s">
        <v>629</v>
      </c>
      <c r="BO84" s="655">
        <v>5</v>
      </c>
      <c r="BP84" s="22"/>
      <c r="BQ84" s="23"/>
      <c r="BR84" s="22"/>
      <c r="BS84" s="38"/>
      <c r="BU84" s="11" t="s">
        <v>629</v>
      </c>
      <c r="BV84" s="655">
        <v>10</v>
      </c>
      <c r="BW84" s="22"/>
      <c r="BX84" s="23"/>
      <c r="BY84" s="22"/>
      <c r="BZ84" s="38"/>
      <c r="CB84" s="11" t="s">
        <v>629</v>
      </c>
      <c r="CC84" s="655">
        <v>5</v>
      </c>
      <c r="CD84" s="22"/>
      <c r="CE84" s="23"/>
      <c r="CF84" s="22"/>
      <c r="CG84" s="38"/>
      <c r="CI84" s="11" t="s">
        <v>629</v>
      </c>
      <c r="CJ84" s="655">
        <v>5</v>
      </c>
      <c r="CK84" s="22"/>
      <c r="CL84" s="23"/>
      <c r="CM84" s="22"/>
      <c r="CN84" s="38"/>
    </row>
    <row r="85" spans="3:92" x14ac:dyDescent="0.2">
      <c r="C85" s="7"/>
      <c r="D85" s="656"/>
      <c r="E85" s="24"/>
      <c r="F85" s="24"/>
      <c r="G85" s="24"/>
      <c r="H85" s="14"/>
      <c r="J85" s="7"/>
      <c r="K85" s="656"/>
      <c r="L85" s="24"/>
      <c r="M85" s="24"/>
      <c r="N85" s="24"/>
      <c r="O85" s="14"/>
      <c r="Q85" s="7"/>
      <c r="R85" s="656"/>
      <c r="S85" s="24"/>
      <c r="T85" s="24"/>
      <c r="U85" s="24"/>
      <c r="V85" s="14"/>
      <c r="X85" s="7"/>
      <c r="Y85" s="656"/>
      <c r="Z85" s="24"/>
      <c r="AA85" s="24"/>
      <c r="AB85" s="24"/>
      <c r="AC85" s="14"/>
      <c r="AE85" s="7"/>
      <c r="AF85" s="656"/>
      <c r="AG85" s="24"/>
      <c r="AH85" s="24"/>
      <c r="AI85" s="24"/>
      <c r="AJ85" s="14"/>
      <c r="AL85" s="7"/>
      <c r="AM85" s="656"/>
      <c r="AN85" s="24"/>
      <c r="AO85" s="24"/>
      <c r="AP85" s="24"/>
      <c r="AQ85" s="14"/>
      <c r="AS85" s="7"/>
      <c r="AT85" s="656"/>
      <c r="AU85" s="24"/>
      <c r="AV85" s="24"/>
      <c r="AW85" s="24"/>
      <c r="AX85" s="14"/>
      <c r="AZ85" s="7"/>
      <c r="BA85" s="656"/>
      <c r="BB85" s="24"/>
      <c r="BC85" s="24"/>
      <c r="BD85" s="24"/>
      <c r="BE85" s="14"/>
      <c r="BG85" s="7"/>
      <c r="BH85" s="656"/>
      <c r="BI85" s="24"/>
      <c r="BJ85" s="24"/>
      <c r="BK85" s="24"/>
      <c r="BL85" s="14"/>
      <c r="BN85" s="7"/>
      <c r="BO85" s="656"/>
      <c r="BP85" s="24"/>
      <c r="BQ85" s="24"/>
      <c r="BR85" s="24"/>
      <c r="BS85" s="14"/>
      <c r="BU85" s="7"/>
      <c r="BV85" s="656"/>
      <c r="BW85" s="24"/>
      <c r="BX85" s="24"/>
      <c r="BY85" s="24"/>
      <c r="BZ85" s="14"/>
      <c r="CB85" s="7"/>
      <c r="CC85" s="656"/>
      <c r="CD85" s="24"/>
      <c r="CE85" s="24"/>
      <c r="CF85" s="24"/>
      <c r="CG85" s="14"/>
      <c r="CI85" s="7"/>
      <c r="CJ85" s="656"/>
      <c r="CK85" s="24"/>
      <c r="CL85" s="24"/>
      <c r="CM85" s="24"/>
      <c r="CN85" s="14"/>
    </row>
    <row r="86" spans="3:92" x14ac:dyDescent="0.2">
      <c r="C86" s="15"/>
      <c r="D86" s="655"/>
      <c r="E86" s="22"/>
      <c r="F86" s="23"/>
      <c r="G86" s="22"/>
      <c r="H86" s="14"/>
      <c r="J86" s="15"/>
      <c r="K86" s="655"/>
      <c r="L86" s="22"/>
      <c r="M86" s="23"/>
      <c r="N86" s="22"/>
      <c r="O86" s="14"/>
      <c r="Q86" s="15"/>
      <c r="R86" s="655"/>
      <c r="S86" s="22"/>
      <c r="T86" s="23"/>
      <c r="U86" s="22"/>
      <c r="V86" s="14"/>
      <c r="X86" s="15"/>
      <c r="Y86" s="655"/>
      <c r="Z86" s="22"/>
      <c r="AA86" s="23"/>
      <c r="AB86" s="22"/>
      <c r="AC86" s="14"/>
      <c r="AE86" s="15"/>
      <c r="AF86" s="655"/>
      <c r="AG86" s="22"/>
      <c r="AH86" s="23"/>
      <c r="AI86" s="22"/>
      <c r="AJ86" s="14"/>
      <c r="AL86" s="15"/>
      <c r="AM86" s="655"/>
      <c r="AN86" s="22"/>
      <c r="AO86" s="23"/>
      <c r="AP86" s="22"/>
      <c r="AQ86" s="14"/>
      <c r="AS86" s="15"/>
      <c r="AT86" s="655"/>
      <c r="AU86" s="22"/>
      <c r="AV86" s="23"/>
      <c r="AW86" s="22"/>
      <c r="AX86" s="14"/>
      <c r="AZ86" s="15"/>
      <c r="BA86" s="655"/>
      <c r="BB86" s="22"/>
      <c r="BC86" s="23"/>
      <c r="BD86" s="22"/>
      <c r="BE86" s="14"/>
      <c r="BG86" s="15"/>
      <c r="BH86" s="655"/>
      <c r="BI86" s="22"/>
      <c r="BJ86" s="23"/>
      <c r="BK86" s="22"/>
      <c r="BL86" s="14"/>
      <c r="BN86" s="15"/>
      <c r="BO86" s="655"/>
      <c r="BP86" s="22"/>
      <c r="BQ86" s="23"/>
      <c r="BR86" s="22"/>
      <c r="BS86" s="14"/>
      <c r="BU86" s="15"/>
      <c r="BV86" s="655"/>
      <c r="BW86" s="22"/>
      <c r="BX86" s="23"/>
      <c r="BY86" s="22"/>
      <c r="BZ86" s="14"/>
      <c r="CB86" s="15"/>
      <c r="CC86" s="655"/>
      <c r="CD86" s="22"/>
      <c r="CE86" s="23"/>
      <c r="CF86" s="22"/>
      <c r="CG86" s="14"/>
      <c r="CI86" s="15"/>
      <c r="CJ86" s="655"/>
      <c r="CK86" s="22"/>
      <c r="CL86" s="23"/>
      <c r="CM86" s="22"/>
      <c r="CN86" s="14"/>
    </row>
    <row r="87" spans="3:92" x14ac:dyDescent="0.2">
      <c r="C87" s="12"/>
      <c r="D87" s="657"/>
      <c r="E87" s="28"/>
      <c r="F87" s="29"/>
      <c r="G87" s="28"/>
      <c r="H87" s="14"/>
      <c r="J87" s="12"/>
      <c r="K87" s="657"/>
      <c r="L87" s="28"/>
      <c r="M87" s="29"/>
      <c r="N87" s="28"/>
      <c r="O87" s="14"/>
      <c r="Q87" s="12"/>
      <c r="R87" s="657"/>
      <c r="S87" s="28"/>
      <c r="T87" s="29"/>
      <c r="U87" s="28"/>
      <c r="V87" s="14"/>
      <c r="X87" s="12"/>
      <c r="Y87" s="657"/>
      <c r="Z87" s="28"/>
      <c r="AA87" s="29"/>
      <c r="AB87" s="28"/>
      <c r="AC87" s="14"/>
      <c r="AE87" s="12"/>
      <c r="AF87" s="657"/>
      <c r="AG87" s="28"/>
      <c r="AH87" s="29"/>
      <c r="AI87" s="28"/>
      <c r="AJ87" s="14"/>
      <c r="AL87" s="12"/>
      <c r="AM87" s="657"/>
      <c r="AN87" s="28"/>
      <c r="AO87" s="29"/>
      <c r="AP87" s="28"/>
      <c r="AQ87" s="14"/>
      <c r="AS87" s="12"/>
      <c r="AT87" s="657"/>
      <c r="AU87" s="28"/>
      <c r="AV87" s="29"/>
      <c r="AW87" s="28"/>
      <c r="AX87" s="14"/>
      <c r="AZ87" s="12"/>
      <c r="BA87" s="657"/>
      <c r="BB87" s="28"/>
      <c r="BC87" s="29"/>
      <c r="BD87" s="28"/>
      <c r="BE87" s="14"/>
      <c r="BG87" s="12"/>
      <c r="BH87" s="657"/>
      <c r="BI87" s="28"/>
      <c r="BJ87" s="29"/>
      <c r="BK87" s="28"/>
      <c r="BL87" s="14"/>
      <c r="BN87" s="12"/>
      <c r="BO87" s="657"/>
      <c r="BP87" s="28"/>
      <c r="BQ87" s="29"/>
      <c r="BR87" s="28"/>
      <c r="BS87" s="14"/>
      <c r="BU87" s="12"/>
      <c r="BV87" s="657"/>
      <c r="BW87" s="28"/>
      <c r="BX87" s="29"/>
      <c r="BY87" s="28"/>
      <c r="BZ87" s="14"/>
      <c r="CB87" s="12"/>
      <c r="CC87" s="657"/>
      <c r="CD87" s="28"/>
      <c r="CE87" s="29"/>
      <c r="CF87" s="28"/>
      <c r="CG87" s="14"/>
      <c r="CI87" s="12"/>
      <c r="CJ87" s="657"/>
      <c r="CK87" s="28"/>
      <c r="CL87" s="29"/>
      <c r="CM87" s="28"/>
      <c r="CN87" s="14"/>
    </row>
    <row r="88" spans="3:92" x14ac:dyDescent="0.2">
      <c r="C88" s="7"/>
      <c r="D88" s="656"/>
      <c r="E88" s="26"/>
      <c r="F88" s="27"/>
      <c r="G88" s="27"/>
      <c r="H88" s="14"/>
      <c r="J88" s="7"/>
      <c r="K88" s="656"/>
      <c r="L88" s="26"/>
      <c r="M88" s="27"/>
      <c r="N88" s="27"/>
      <c r="O88" s="14"/>
      <c r="Q88" s="7"/>
      <c r="R88" s="656"/>
      <c r="S88" s="26"/>
      <c r="T88" s="27"/>
      <c r="U88" s="27"/>
      <c r="V88" s="14"/>
      <c r="X88" s="7"/>
      <c r="Y88" s="656"/>
      <c r="Z88" s="26"/>
      <c r="AA88" s="27"/>
      <c r="AB88" s="27"/>
      <c r="AC88" s="14"/>
      <c r="AE88" s="7"/>
      <c r="AF88" s="656"/>
      <c r="AG88" s="26"/>
      <c r="AH88" s="27"/>
      <c r="AI88" s="27"/>
      <c r="AJ88" s="14"/>
      <c r="AL88" s="7"/>
      <c r="AM88" s="656"/>
      <c r="AN88" s="26"/>
      <c r="AO88" s="27"/>
      <c r="AP88" s="27"/>
      <c r="AQ88" s="14"/>
      <c r="AS88" s="7"/>
      <c r="AT88" s="656"/>
      <c r="AU88" s="26"/>
      <c r="AV88" s="27"/>
      <c r="AW88" s="27"/>
      <c r="AX88" s="14"/>
      <c r="AZ88" s="7"/>
      <c r="BA88" s="656"/>
      <c r="BB88" s="26"/>
      <c r="BC88" s="27"/>
      <c r="BD88" s="27"/>
      <c r="BE88" s="14"/>
      <c r="BG88" s="7"/>
      <c r="BH88" s="656"/>
      <c r="BI88" s="26"/>
      <c r="BJ88" s="27"/>
      <c r="BK88" s="27"/>
      <c r="BL88" s="14"/>
      <c r="BN88" s="7"/>
      <c r="BO88" s="656"/>
      <c r="BP88" s="26"/>
      <c r="BQ88" s="27"/>
      <c r="BR88" s="27"/>
      <c r="BS88" s="14"/>
      <c r="BU88" s="7"/>
      <c r="BV88" s="656"/>
      <c r="BW88" s="26"/>
      <c r="BX88" s="27"/>
      <c r="BY88" s="27"/>
      <c r="BZ88" s="14"/>
      <c r="CB88" s="7"/>
      <c r="CC88" s="656"/>
      <c r="CD88" s="26"/>
      <c r="CE88" s="27"/>
      <c r="CF88" s="27"/>
      <c r="CG88" s="14"/>
      <c r="CI88" s="7"/>
      <c r="CJ88" s="656"/>
      <c r="CK88" s="26"/>
      <c r="CL88" s="27"/>
      <c r="CM88" s="27"/>
      <c r="CN88" s="14"/>
    </row>
    <row r="89" spans="3:92" x14ac:dyDescent="0.2">
      <c r="C89" s="17" t="s">
        <v>732</v>
      </c>
      <c r="D89" s="656"/>
      <c r="E89" s="26"/>
      <c r="F89" s="27"/>
      <c r="G89" s="27"/>
      <c r="H89" s="14"/>
      <c r="J89" s="17" t="s">
        <v>732</v>
      </c>
      <c r="K89" s="656"/>
      <c r="L89" s="26"/>
      <c r="M89" s="27"/>
      <c r="N89" s="27"/>
      <c r="O89" s="14"/>
      <c r="Q89" s="17" t="s">
        <v>732</v>
      </c>
      <c r="R89" s="656"/>
      <c r="S89" s="26"/>
      <c r="T89" s="27"/>
      <c r="U89" s="27"/>
      <c r="V89" s="14"/>
      <c r="X89" s="17" t="s">
        <v>732</v>
      </c>
      <c r="Y89" s="656"/>
      <c r="Z89" s="26"/>
      <c r="AA89" s="27"/>
      <c r="AB89" s="27"/>
      <c r="AC89" s="14"/>
      <c r="AE89" s="17" t="s">
        <v>732</v>
      </c>
      <c r="AF89" s="656"/>
      <c r="AG89" s="26"/>
      <c r="AH89" s="27"/>
      <c r="AI89" s="27"/>
      <c r="AJ89" s="14"/>
      <c r="AL89" s="17" t="s">
        <v>732</v>
      </c>
      <c r="AM89" s="656"/>
      <c r="AN89" s="26"/>
      <c r="AO89" s="27"/>
      <c r="AP89" s="27"/>
      <c r="AQ89" s="14"/>
      <c r="AS89" s="17" t="s">
        <v>732</v>
      </c>
      <c r="AT89" s="656"/>
      <c r="AU89" s="26"/>
      <c r="AV89" s="27"/>
      <c r="AW89" s="27"/>
      <c r="AX89" s="14"/>
      <c r="AZ89" s="17" t="s">
        <v>732</v>
      </c>
      <c r="BA89" s="656"/>
      <c r="BB89" s="26"/>
      <c r="BC89" s="27"/>
      <c r="BD89" s="27"/>
      <c r="BE89" s="14"/>
      <c r="BG89" s="17" t="s">
        <v>732</v>
      </c>
      <c r="BH89" s="656"/>
      <c r="BI89" s="26"/>
      <c r="BJ89" s="27"/>
      <c r="BK89" s="27"/>
      <c r="BL89" s="14"/>
      <c r="BN89" s="17" t="s">
        <v>732</v>
      </c>
      <c r="BO89" s="656"/>
      <c r="BP89" s="26"/>
      <c r="BQ89" s="27"/>
      <c r="BR89" s="27"/>
      <c r="BS89" s="14"/>
      <c r="BU89" s="17" t="s">
        <v>732</v>
      </c>
      <c r="BV89" s="656"/>
      <c r="BW89" s="26"/>
      <c r="BX89" s="27"/>
      <c r="BY89" s="27"/>
      <c r="BZ89" s="14"/>
      <c r="CB89" s="17" t="s">
        <v>732</v>
      </c>
      <c r="CC89" s="656"/>
      <c r="CD89" s="26"/>
      <c r="CE89" s="27"/>
      <c r="CF89" s="27"/>
      <c r="CG89" s="14"/>
      <c r="CI89" s="17" t="s">
        <v>732</v>
      </c>
      <c r="CJ89" s="656"/>
      <c r="CK89" s="26"/>
      <c r="CL89" s="27"/>
      <c r="CM89" s="27"/>
      <c r="CN89" s="14"/>
    </row>
    <row r="90" spans="3:92" x14ac:dyDescent="0.2">
      <c r="C90" s="11" t="s">
        <v>630</v>
      </c>
      <c r="D90" s="655">
        <f>SUM(D78)*2</f>
        <v>127.5</v>
      </c>
      <c r="E90" s="22">
        <f>SUM(E78)*1/3</f>
        <v>0</v>
      </c>
      <c r="F90" s="23"/>
      <c r="G90" s="23">
        <f>SUM(G78)*1/3</f>
        <v>0</v>
      </c>
      <c r="H90" s="38">
        <f>SUM(D90:G90)</f>
        <v>127.5</v>
      </c>
      <c r="J90" s="11" t="s">
        <v>630</v>
      </c>
      <c r="K90" s="655">
        <f>SUM(K78)*2</f>
        <v>22</v>
      </c>
      <c r="L90" s="22">
        <f>SUM(L78)*1/3</f>
        <v>0</v>
      </c>
      <c r="M90" s="23"/>
      <c r="N90" s="23">
        <f>SUM(N78)*1/3</f>
        <v>0</v>
      </c>
      <c r="O90" s="38">
        <f>SUM(K90:N90)</f>
        <v>22</v>
      </c>
      <c r="Q90" s="11" t="s">
        <v>630</v>
      </c>
      <c r="R90" s="655">
        <f>SUM(R78)*2</f>
        <v>180</v>
      </c>
      <c r="S90" s="22">
        <f>SUM(S78)*1/3</f>
        <v>0</v>
      </c>
      <c r="T90" s="23"/>
      <c r="U90" s="23">
        <f>SUM(U78)*1/3</f>
        <v>0</v>
      </c>
      <c r="V90" s="38">
        <f>SUM(R90:U90)</f>
        <v>180</v>
      </c>
      <c r="X90" s="11" t="s">
        <v>630</v>
      </c>
      <c r="Y90" s="655">
        <f>SUM(Y78)*2</f>
        <v>20</v>
      </c>
      <c r="Z90" s="22">
        <f>SUM(Z78)*1/3</f>
        <v>0</v>
      </c>
      <c r="AA90" s="23"/>
      <c r="AB90" s="23">
        <f>SUM(AB78)*1/3</f>
        <v>0</v>
      </c>
      <c r="AC90" s="38">
        <f>SUM(Y90:AB90)</f>
        <v>20</v>
      </c>
      <c r="AE90" s="11" t="s">
        <v>630</v>
      </c>
      <c r="AF90" s="655">
        <f>SUM(AF78)*2</f>
        <v>110</v>
      </c>
      <c r="AG90" s="22">
        <f>SUM(AG78)*1/3</f>
        <v>0</v>
      </c>
      <c r="AH90" s="23"/>
      <c r="AI90" s="23">
        <f>SUM(AI78)*1/3</f>
        <v>0</v>
      </c>
      <c r="AJ90" s="38">
        <f>SUM(AF90:AI90)</f>
        <v>110</v>
      </c>
      <c r="AL90" s="11" t="s">
        <v>630</v>
      </c>
      <c r="AM90" s="655">
        <f>SUM(AM78)*2</f>
        <v>53.239999999999995</v>
      </c>
      <c r="AN90" s="22">
        <f>SUM(AN78)*1/3</f>
        <v>0</v>
      </c>
      <c r="AO90" s="23"/>
      <c r="AP90" s="23">
        <f>SUM(AP78)*1/3</f>
        <v>0</v>
      </c>
      <c r="AQ90" s="38">
        <f>SUM(AM90:AP90)</f>
        <v>53.239999999999995</v>
      </c>
      <c r="AS90" s="11" t="s">
        <v>630</v>
      </c>
      <c r="AT90" s="655">
        <f>SUM(AT78)</f>
        <v>231.52500000000001</v>
      </c>
      <c r="AU90" s="22">
        <f>SUM(AU78)*1/3</f>
        <v>0</v>
      </c>
      <c r="AV90" s="23"/>
      <c r="AW90" s="23">
        <f>SUM(AW78)*1/3</f>
        <v>0</v>
      </c>
      <c r="AX90" s="38">
        <f>SUM(AT90:AW90)</f>
        <v>231.52500000000001</v>
      </c>
      <c r="AZ90" s="11" t="s">
        <v>630</v>
      </c>
      <c r="BA90" s="655">
        <f>SUM(BA78)</f>
        <v>86.821874999999991</v>
      </c>
      <c r="BB90" s="22">
        <f>SUM(BB78)*1/3</f>
        <v>0</v>
      </c>
      <c r="BC90" s="23"/>
      <c r="BD90" s="23">
        <f>SUM(BD78)*1/3</f>
        <v>0</v>
      </c>
      <c r="BE90" s="38">
        <f>SUM(BA90:BD90)</f>
        <v>86.821874999999991</v>
      </c>
      <c r="BG90" s="11" t="s">
        <v>630</v>
      </c>
      <c r="BH90" s="655">
        <f>SUM(BH78)</f>
        <v>289.40625</v>
      </c>
      <c r="BI90" s="22">
        <f>SUM(BI78)*1/3</f>
        <v>0</v>
      </c>
      <c r="BJ90" s="23"/>
      <c r="BK90" s="23">
        <f>SUM(BK78)*1/3</f>
        <v>0</v>
      </c>
      <c r="BL90" s="38">
        <f>SUM(BH90:BK90)</f>
        <v>289.40625</v>
      </c>
      <c r="BN90" s="11" t="s">
        <v>630</v>
      </c>
      <c r="BO90" s="655">
        <f>SUM(BO78)</f>
        <v>115.7625</v>
      </c>
      <c r="BP90" s="22">
        <f>SUM(BP78)*1/3</f>
        <v>0</v>
      </c>
      <c r="BQ90" s="23"/>
      <c r="BR90" s="23">
        <f>SUM(BR78)*1/3</f>
        <v>0</v>
      </c>
      <c r="BS90" s="38">
        <f>SUM(BO90:BR90)</f>
        <v>115.7625</v>
      </c>
      <c r="BU90" s="11" t="s">
        <v>630</v>
      </c>
      <c r="BV90" s="655">
        <f>SUM(BV78)</f>
        <v>266.2000000000001</v>
      </c>
      <c r="BW90" s="22">
        <f>SUM(BW78)*1/3</f>
        <v>0</v>
      </c>
      <c r="BX90" s="23"/>
      <c r="BY90" s="23">
        <f>SUM(BY78)*1/3</f>
        <v>0</v>
      </c>
      <c r="BZ90" s="38">
        <f>SUM(BV90:BY90)</f>
        <v>266.2000000000001</v>
      </c>
      <c r="CB90" s="11" t="s">
        <v>630</v>
      </c>
      <c r="CC90" s="655"/>
      <c r="CD90" s="22">
        <f>SUM(CD78)*1/3</f>
        <v>0</v>
      </c>
      <c r="CE90" s="23"/>
      <c r="CF90" s="23">
        <f>SUM(CF78)*1/3</f>
        <v>0</v>
      </c>
      <c r="CG90" s="38">
        <f>SUM(CC90:CF90)</f>
        <v>0</v>
      </c>
      <c r="CI90" s="11" t="s">
        <v>630</v>
      </c>
      <c r="CJ90" s="655"/>
      <c r="CK90" s="22">
        <f>SUM(CK78)*1/3</f>
        <v>0</v>
      </c>
      <c r="CL90" s="23"/>
      <c r="CM90" s="23">
        <f>SUM(CM78)*1/3</f>
        <v>0</v>
      </c>
      <c r="CN90" s="38">
        <f>SUM(CJ90:CM90)</f>
        <v>0</v>
      </c>
    </row>
    <row r="91" spans="3:92" x14ac:dyDescent="0.2">
      <c r="C91" s="7" t="s">
        <v>19</v>
      </c>
      <c r="D91" s="656">
        <f>SUM(D68)</f>
        <v>25000</v>
      </c>
      <c r="E91" s="24">
        <f>+D91</f>
        <v>25000</v>
      </c>
      <c r="F91" s="24">
        <f>+E91</f>
        <v>25000</v>
      </c>
      <c r="G91" s="24">
        <f>+F91</f>
        <v>25000</v>
      </c>
      <c r="H91" s="14"/>
      <c r="J91" s="7" t="s">
        <v>19</v>
      </c>
      <c r="K91" s="656">
        <f>SUM(K68)</f>
        <v>25000</v>
      </c>
      <c r="L91" s="24">
        <f>+K91</f>
        <v>25000</v>
      </c>
      <c r="M91" s="24">
        <f>+L91</f>
        <v>25000</v>
      </c>
      <c r="N91" s="24">
        <f>+M91</f>
        <v>25000</v>
      </c>
      <c r="O91" s="14"/>
      <c r="Q91" s="7" t="s">
        <v>19</v>
      </c>
      <c r="R91" s="656">
        <f>SUM(R68)</f>
        <v>25000</v>
      </c>
      <c r="S91" s="24">
        <f>+R91</f>
        <v>25000</v>
      </c>
      <c r="T91" s="24">
        <f>+S91</f>
        <v>25000</v>
      </c>
      <c r="U91" s="24">
        <f>+T91</f>
        <v>25000</v>
      </c>
      <c r="V91" s="14"/>
      <c r="X91" s="7" t="s">
        <v>19</v>
      </c>
      <c r="Y91" s="656">
        <f>SUM(Y68)</f>
        <v>25000</v>
      </c>
      <c r="Z91" s="24">
        <f>+Y91</f>
        <v>25000</v>
      </c>
      <c r="AA91" s="24">
        <f>+Z91</f>
        <v>25000</v>
      </c>
      <c r="AB91" s="24">
        <f>+AA91</f>
        <v>25000</v>
      </c>
      <c r="AC91" s="14"/>
      <c r="AE91" s="7" t="s">
        <v>19</v>
      </c>
      <c r="AF91" s="656">
        <f>SUM(AF68)</f>
        <v>25000</v>
      </c>
      <c r="AG91" s="24">
        <f>+AF91</f>
        <v>25000</v>
      </c>
      <c r="AH91" s="24">
        <f>+AG91</f>
        <v>25000</v>
      </c>
      <c r="AI91" s="24">
        <f>+AH91</f>
        <v>25000</v>
      </c>
      <c r="AJ91" s="14"/>
      <c r="AL91" s="7" t="s">
        <v>19</v>
      </c>
      <c r="AM91" s="656">
        <f>SUM(AM68)</f>
        <v>25000</v>
      </c>
      <c r="AN91" s="24">
        <f>+AM91</f>
        <v>25000</v>
      </c>
      <c r="AO91" s="24">
        <f>+AN91</f>
        <v>25000</v>
      </c>
      <c r="AP91" s="24">
        <f>+AO91</f>
        <v>25000</v>
      </c>
      <c r="AQ91" s="14"/>
      <c r="AS91" s="7" t="s">
        <v>19</v>
      </c>
      <c r="AT91" s="656">
        <f>SUM(AT68)</f>
        <v>2000</v>
      </c>
      <c r="AU91" s="24">
        <f>+AT91</f>
        <v>2000</v>
      </c>
      <c r="AV91" s="24">
        <f>+AU91</f>
        <v>2000</v>
      </c>
      <c r="AW91" s="24">
        <f>+AV91</f>
        <v>2000</v>
      </c>
      <c r="AX91" s="14"/>
      <c r="AZ91" s="7" t="s">
        <v>19</v>
      </c>
      <c r="BA91" s="656">
        <f>SUM(BA68)</f>
        <v>2000</v>
      </c>
      <c r="BB91" s="24">
        <f>+BA91</f>
        <v>2000</v>
      </c>
      <c r="BC91" s="24">
        <f>+BB91</f>
        <v>2000</v>
      </c>
      <c r="BD91" s="24">
        <f>+BC91</f>
        <v>2000</v>
      </c>
      <c r="BE91" s="14"/>
      <c r="BG91" s="7" t="s">
        <v>19</v>
      </c>
      <c r="BH91" s="656">
        <f>SUM(BH68)</f>
        <v>2000</v>
      </c>
      <c r="BI91" s="24">
        <f>+BH91</f>
        <v>2000</v>
      </c>
      <c r="BJ91" s="24">
        <f>+BI91</f>
        <v>2000</v>
      </c>
      <c r="BK91" s="24">
        <f>+BJ91</f>
        <v>2000</v>
      </c>
      <c r="BL91" s="14"/>
      <c r="BN91" s="7" t="s">
        <v>19</v>
      </c>
      <c r="BO91" s="656">
        <f>SUM(BO68)</f>
        <v>2000</v>
      </c>
      <c r="BP91" s="24">
        <f>+BO91</f>
        <v>2000</v>
      </c>
      <c r="BQ91" s="24">
        <f>+BP91</f>
        <v>2000</v>
      </c>
      <c r="BR91" s="24">
        <f>+BQ91</f>
        <v>2000</v>
      </c>
      <c r="BS91" s="14"/>
      <c r="BU91" s="7" t="s">
        <v>19</v>
      </c>
      <c r="BV91" s="656">
        <f>SUM(BV68)</f>
        <v>2000</v>
      </c>
      <c r="BW91" s="24">
        <f>+BV91</f>
        <v>2000</v>
      </c>
      <c r="BX91" s="24">
        <f>+BW91</f>
        <v>2000</v>
      </c>
      <c r="BY91" s="24">
        <f>+BX91</f>
        <v>2000</v>
      </c>
      <c r="BZ91" s="14"/>
      <c r="CB91" s="7" t="s">
        <v>19</v>
      </c>
      <c r="CC91" s="656">
        <f>SUM(CC68)</f>
        <v>2000</v>
      </c>
      <c r="CD91" s="24">
        <f>+CC91</f>
        <v>2000</v>
      </c>
      <c r="CE91" s="24">
        <f>+CD91</f>
        <v>2000</v>
      </c>
      <c r="CF91" s="24">
        <f>+CE91</f>
        <v>2000</v>
      </c>
      <c r="CG91" s="14"/>
      <c r="CI91" s="7" t="s">
        <v>19</v>
      </c>
      <c r="CJ91" s="656">
        <f>SUM(CJ68)</f>
        <v>2000</v>
      </c>
      <c r="CK91" s="24">
        <f>+CJ91</f>
        <v>2000</v>
      </c>
      <c r="CL91" s="24">
        <f>+CK91</f>
        <v>2000</v>
      </c>
      <c r="CM91" s="24">
        <f>+CL91</f>
        <v>2000</v>
      </c>
      <c r="CN91" s="14"/>
    </row>
    <row r="92" spans="3:92" x14ac:dyDescent="0.2">
      <c r="C92" s="15" t="s">
        <v>7</v>
      </c>
      <c r="D92" s="655">
        <f>+D91*D90</f>
        <v>3187500</v>
      </c>
      <c r="E92" s="22">
        <f>+E91*E90</f>
        <v>0</v>
      </c>
      <c r="F92" s="23">
        <f>+F91*F90</f>
        <v>0</v>
      </c>
      <c r="G92" s="23">
        <f>+G91*G90</f>
        <v>0</v>
      </c>
      <c r="H92" s="14"/>
      <c r="J92" s="15" t="s">
        <v>7</v>
      </c>
      <c r="K92" s="655">
        <f>+K91*K90</f>
        <v>550000</v>
      </c>
      <c r="L92" s="22">
        <f>+L91*L90</f>
        <v>0</v>
      </c>
      <c r="M92" s="23">
        <f>+M91*M90</f>
        <v>0</v>
      </c>
      <c r="N92" s="23">
        <f>+N91*N90</f>
        <v>0</v>
      </c>
      <c r="O92" s="14"/>
      <c r="Q92" s="15" t="s">
        <v>7</v>
      </c>
      <c r="R92" s="655">
        <f>+R91*R90</f>
        <v>4500000</v>
      </c>
      <c r="S92" s="22">
        <f>+S91*S90</f>
        <v>0</v>
      </c>
      <c r="T92" s="23">
        <f>+T91*T90</f>
        <v>0</v>
      </c>
      <c r="U92" s="23">
        <f>+U91*U90</f>
        <v>0</v>
      </c>
      <c r="V92" s="14"/>
      <c r="X92" s="15" t="s">
        <v>7</v>
      </c>
      <c r="Y92" s="655">
        <f>+Y91*Y90</f>
        <v>500000</v>
      </c>
      <c r="Z92" s="22">
        <f>+Z91*Z90</f>
        <v>0</v>
      </c>
      <c r="AA92" s="23">
        <f>+AA91*AA90</f>
        <v>0</v>
      </c>
      <c r="AB92" s="23">
        <f>+AB91*AB90</f>
        <v>0</v>
      </c>
      <c r="AC92" s="14"/>
      <c r="AE92" s="15" t="s">
        <v>7</v>
      </c>
      <c r="AF92" s="655">
        <f>+AF91*AF90</f>
        <v>2750000</v>
      </c>
      <c r="AG92" s="22">
        <f>+AG91*AG90</f>
        <v>0</v>
      </c>
      <c r="AH92" s="23">
        <f>+AH91*AH90</f>
        <v>0</v>
      </c>
      <c r="AI92" s="23">
        <f>+AI91*AI90</f>
        <v>0</v>
      </c>
      <c r="AJ92" s="14"/>
      <c r="AL92" s="15" t="s">
        <v>7</v>
      </c>
      <c r="AM92" s="655">
        <f>+AM91*AM90</f>
        <v>1330999.9999999998</v>
      </c>
      <c r="AN92" s="22">
        <f>+AN91*AN90</f>
        <v>0</v>
      </c>
      <c r="AO92" s="23">
        <f>+AO91*AO90</f>
        <v>0</v>
      </c>
      <c r="AP92" s="23">
        <f>+AP91*AP90</f>
        <v>0</v>
      </c>
      <c r="AQ92" s="14"/>
      <c r="AS92" s="15" t="s">
        <v>7</v>
      </c>
      <c r="AT92" s="655">
        <f>+AT91*AT90</f>
        <v>463050</v>
      </c>
      <c r="AU92" s="22">
        <f>+AU91*AU90</f>
        <v>0</v>
      </c>
      <c r="AV92" s="23">
        <f>+AV91*AV90</f>
        <v>0</v>
      </c>
      <c r="AW92" s="23">
        <f>+AW91*AW90</f>
        <v>0</v>
      </c>
      <c r="AX92" s="14"/>
      <c r="AZ92" s="15" t="s">
        <v>7</v>
      </c>
      <c r="BA92" s="655">
        <f>+BA91*BA90</f>
        <v>173643.74999999997</v>
      </c>
      <c r="BB92" s="22">
        <f>+BB91*BB90</f>
        <v>0</v>
      </c>
      <c r="BC92" s="23">
        <f>+BC91*BC90</f>
        <v>0</v>
      </c>
      <c r="BD92" s="23">
        <f>+BD91*BD90</f>
        <v>0</v>
      </c>
      <c r="BE92" s="14"/>
      <c r="BG92" s="15" t="s">
        <v>7</v>
      </c>
      <c r="BH92" s="655">
        <f>+BH91*BH90</f>
        <v>578812.5</v>
      </c>
      <c r="BI92" s="22">
        <f>+BI91*BI90</f>
        <v>0</v>
      </c>
      <c r="BJ92" s="23">
        <f>+BJ91*BJ90</f>
        <v>0</v>
      </c>
      <c r="BK92" s="23">
        <f>+BK91*BK90</f>
        <v>0</v>
      </c>
      <c r="BL92" s="14"/>
      <c r="BN92" s="15" t="s">
        <v>7</v>
      </c>
      <c r="BO92" s="655">
        <f>+BO91*BO90</f>
        <v>231525</v>
      </c>
      <c r="BP92" s="22">
        <f>+BP91*BP90</f>
        <v>0</v>
      </c>
      <c r="BQ92" s="23">
        <f>+BQ91*BQ90</f>
        <v>0</v>
      </c>
      <c r="BR92" s="23">
        <f>+BR91*BR90</f>
        <v>0</v>
      </c>
      <c r="BS92" s="14"/>
      <c r="BU92" s="15" t="s">
        <v>7</v>
      </c>
      <c r="BV92" s="655">
        <f>+BV91*BV90</f>
        <v>532400.00000000023</v>
      </c>
      <c r="BW92" s="22">
        <f>+BW91*BW90</f>
        <v>0</v>
      </c>
      <c r="BX92" s="23">
        <f>+BX91*BX90</f>
        <v>0</v>
      </c>
      <c r="BY92" s="23">
        <f>+BY91*BY90</f>
        <v>0</v>
      </c>
      <c r="BZ92" s="14"/>
      <c r="CB92" s="15" t="s">
        <v>7</v>
      </c>
      <c r="CC92" s="655">
        <f>+CC91*CC90</f>
        <v>0</v>
      </c>
      <c r="CD92" s="22">
        <f>+CD91*CD90</f>
        <v>0</v>
      </c>
      <c r="CE92" s="23">
        <f>+CE91*CE90</f>
        <v>0</v>
      </c>
      <c r="CF92" s="23">
        <f>+CF91*CF90</f>
        <v>0</v>
      </c>
      <c r="CG92" s="14"/>
      <c r="CI92" s="15" t="s">
        <v>7</v>
      </c>
      <c r="CJ92" s="655">
        <f>+CJ91*CJ90</f>
        <v>0</v>
      </c>
      <c r="CK92" s="22">
        <f>+CK91*CK90</f>
        <v>0</v>
      </c>
      <c r="CL92" s="23">
        <f>+CL91*CL90</f>
        <v>0</v>
      </c>
      <c r="CM92" s="23">
        <f>+CM91*CM90</f>
        <v>0</v>
      </c>
      <c r="CN92" s="14"/>
    </row>
    <row r="93" spans="3:92" x14ac:dyDescent="0.2">
      <c r="C93" s="12" t="s">
        <v>8</v>
      </c>
      <c r="D93" s="656">
        <f>+D92</f>
        <v>3187500</v>
      </c>
      <c r="E93" s="24">
        <f>+D93+E92</f>
        <v>3187500</v>
      </c>
      <c r="F93" s="25">
        <f>+E93+F92</f>
        <v>3187500</v>
      </c>
      <c r="G93" s="25">
        <f>+F93+G92</f>
        <v>3187500</v>
      </c>
      <c r="H93" s="14"/>
      <c r="J93" s="12" t="s">
        <v>8</v>
      </c>
      <c r="K93" s="656">
        <f>+K92</f>
        <v>550000</v>
      </c>
      <c r="L93" s="24">
        <f>+K93+L92</f>
        <v>550000</v>
      </c>
      <c r="M93" s="25">
        <f>+L93+M92</f>
        <v>550000</v>
      </c>
      <c r="N93" s="25">
        <f>+M93+N92</f>
        <v>550000</v>
      </c>
      <c r="O93" s="14"/>
      <c r="Q93" s="12" t="s">
        <v>8</v>
      </c>
      <c r="R93" s="656">
        <f>+R92</f>
        <v>4500000</v>
      </c>
      <c r="S93" s="24">
        <f>+R93+S92</f>
        <v>4500000</v>
      </c>
      <c r="T93" s="25">
        <f>+S93+T92</f>
        <v>4500000</v>
      </c>
      <c r="U93" s="25">
        <f>+T93+U92</f>
        <v>4500000</v>
      </c>
      <c r="V93" s="14"/>
      <c r="X93" s="12" t="s">
        <v>8</v>
      </c>
      <c r="Y93" s="656">
        <f>+Y92</f>
        <v>500000</v>
      </c>
      <c r="Z93" s="24">
        <f>+Y93+Z92</f>
        <v>500000</v>
      </c>
      <c r="AA93" s="25">
        <f>+Z93+AA92</f>
        <v>500000</v>
      </c>
      <c r="AB93" s="25">
        <f>+AA93+AB92</f>
        <v>500000</v>
      </c>
      <c r="AC93" s="14"/>
      <c r="AE93" s="12" t="s">
        <v>8</v>
      </c>
      <c r="AF93" s="656">
        <f>+AF92</f>
        <v>2750000</v>
      </c>
      <c r="AG93" s="24">
        <f>+AF93+AG92</f>
        <v>2750000</v>
      </c>
      <c r="AH93" s="25">
        <f>+AG93+AH92</f>
        <v>2750000</v>
      </c>
      <c r="AI93" s="25">
        <f>+AH93+AI92</f>
        <v>2750000</v>
      </c>
      <c r="AJ93" s="14"/>
      <c r="AL93" s="12" t="s">
        <v>8</v>
      </c>
      <c r="AM93" s="656">
        <f>+AM92</f>
        <v>1330999.9999999998</v>
      </c>
      <c r="AN93" s="24">
        <f>+AM93+AN92</f>
        <v>1330999.9999999998</v>
      </c>
      <c r="AO93" s="25">
        <f>+AN93+AO92</f>
        <v>1330999.9999999998</v>
      </c>
      <c r="AP93" s="25">
        <f>+AO93+AP92</f>
        <v>1330999.9999999998</v>
      </c>
      <c r="AQ93" s="14"/>
      <c r="AS93" s="12" t="s">
        <v>8</v>
      </c>
      <c r="AT93" s="656">
        <f>+AT92</f>
        <v>463050</v>
      </c>
      <c r="AU93" s="24">
        <f>+AT93+AU92</f>
        <v>463050</v>
      </c>
      <c r="AV93" s="25">
        <f>+AU93+AV92</f>
        <v>463050</v>
      </c>
      <c r="AW93" s="25">
        <f>+AV93+AW92</f>
        <v>463050</v>
      </c>
      <c r="AX93" s="14"/>
      <c r="AZ93" s="12" t="s">
        <v>8</v>
      </c>
      <c r="BA93" s="656">
        <f>+BA92</f>
        <v>173643.74999999997</v>
      </c>
      <c r="BB93" s="24">
        <f>+BA93+BB92</f>
        <v>173643.74999999997</v>
      </c>
      <c r="BC93" s="25">
        <f>+BB93+BC92</f>
        <v>173643.74999999997</v>
      </c>
      <c r="BD93" s="25">
        <f>+BC93+BD92</f>
        <v>173643.74999999997</v>
      </c>
      <c r="BE93" s="14"/>
      <c r="BG93" s="12" t="s">
        <v>8</v>
      </c>
      <c r="BH93" s="656">
        <f>+BH92</f>
        <v>578812.5</v>
      </c>
      <c r="BI93" s="24">
        <f>+BH93+BI92</f>
        <v>578812.5</v>
      </c>
      <c r="BJ93" s="25">
        <f>+BI93+BJ92</f>
        <v>578812.5</v>
      </c>
      <c r="BK93" s="25">
        <f>+BJ93+BK92</f>
        <v>578812.5</v>
      </c>
      <c r="BL93" s="14"/>
      <c r="BN93" s="12" t="s">
        <v>8</v>
      </c>
      <c r="BO93" s="656">
        <f>+BO92</f>
        <v>231525</v>
      </c>
      <c r="BP93" s="24">
        <f>+BO93+BP92</f>
        <v>231525</v>
      </c>
      <c r="BQ93" s="25">
        <f>+BP93+BQ92</f>
        <v>231525</v>
      </c>
      <c r="BR93" s="25">
        <f>+BQ93+BR92</f>
        <v>231525</v>
      </c>
      <c r="BS93" s="14"/>
      <c r="BU93" s="12" t="s">
        <v>8</v>
      </c>
      <c r="BV93" s="656">
        <f>+BV92</f>
        <v>532400.00000000023</v>
      </c>
      <c r="BW93" s="24">
        <f>+BV93+BW92</f>
        <v>532400.00000000023</v>
      </c>
      <c r="BX93" s="25">
        <f>+BW93+BX92</f>
        <v>532400.00000000023</v>
      </c>
      <c r="BY93" s="25">
        <f>+BX93+BY92</f>
        <v>532400.00000000023</v>
      </c>
      <c r="BZ93" s="14"/>
      <c r="CB93" s="12" t="s">
        <v>8</v>
      </c>
      <c r="CC93" s="656">
        <f>+CC92</f>
        <v>0</v>
      </c>
      <c r="CD93" s="24">
        <f>+CC93+CD92</f>
        <v>0</v>
      </c>
      <c r="CE93" s="25">
        <f>+CD93+CE92</f>
        <v>0</v>
      </c>
      <c r="CF93" s="25">
        <f>+CE93+CF92</f>
        <v>0</v>
      </c>
      <c r="CG93" s="14"/>
      <c r="CI93" s="12" t="s">
        <v>8</v>
      </c>
      <c r="CJ93" s="656">
        <f>+CJ92</f>
        <v>0</v>
      </c>
      <c r="CK93" s="24">
        <f>+CJ93+CK92</f>
        <v>0</v>
      </c>
      <c r="CL93" s="25">
        <f>+CK93+CL92</f>
        <v>0</v>
      </c>
      <c r="CM93" s="25">
        <f>+CL93+CM92</f>
        <v>0</v>
      </c>
      <c r="CN93" s="14"/>
    </row>
    <row r="94" spans="3:92" x14ac:dyDescent="0.2">
      <c r="C94" s="8"/>
      <c r="D94" s="660"/>
      <c r="E94" s="34"/>
      <c r="F94" s="35"/>
      <c r="G94" s="35"/>
      <c r="H94" s="14"/>
      <c r="J94" s="8"/>
      <c r="K94" s="660"/>
      <c r="L94" s="34"/>
      <c r="M94" s="35"/>
      <c r="N94" s="35"/>
      <c r="O94" s="14"/>
      <c r="Q94" s="8"/>
      <c r="R94" s="660"/>
      <c r="S94" s="34"/>
      <c r="T94" s="35"/>
      <c r="U94" s="35"/>
      <c r="V94" s="14"/>
      <c r="X94" s="8"/>
      <c r="Y94" s="660"/>
      <c r="Z94" s="34"/>
      <c r="AA94" s="35"/>
      <c r="AB94" s="35"/>
      <c r="AC94" s="14"/>
      <c r="AE94" s="8"/>
      <c r="AF94" s="660"/>
      <c r="AG94" s="34"/>
      <c r="AH94" s="35"/>
      <c r="AI94" s="35"/>
      <c r="AJ94" s="14"/>
      <c r="AL94" s="8"/>
      <c r="AM94" s="660"/>
      <c r="AN94" s="34"/>
      <c r="AO94" s="35"/>
      <c r="AP94" s="35"/>
      <c r="AQ94" s="14"/>
      <c r="AS94" s="8"/>
      <c r="AT94" s="660"/>
      <c r="AU94" s="34"/>
      <c r="AV94" s="35"/>
      <c r="AW94" s="35"/>
      <c r="AX94" s="14"/>
      <c r="AZ94" s="8"/>
      <c r="BA94" s="660"/>
      <c r="BB94" s="34"/>
      <c r="BC94" s="35"/>
      <c r="BD94" s="35"/>
      <c r="BE94" s="14"/>
      <c r="BG94" s="8"/>
      <c r="BH94" s="660"/>
      <c r="BI94" s="34"/>
      <c r="BJ94" s="35"/>
      <c r="BK94" s="35"/>
      <c r="BL94" s="14"/>
      <c r="BN94" s="8"/>
      <c r="BO94" s="660"/>
      <c r="BP94" s="34"/>
      <c r="BQ94" s="35"/>
      <c r="BR94" s="35"/>
      <c r="BS94" s="14"/>
      <c r="BU94" s="8"/>
      <c r="BV94" s="660"/>
      <c r="BW94" s="34"/>
      <c r="BX94" s="35"/>
      <c r="BY94" s="35"/>
      <c r="BZ94" s="14"/>
      <c r="CB94" s="8"/>
      <c r="CC94" s="660"/>
      <c r="CD94" s="34"/>
      <c r="CE94" s="35"/>
      <c r="CF94" s="35"/>
      <c r="CG94" s="14"/>
      <c r="CI94" s="8"/>
      <c r="CJ94" s="660"/>
      <c r="CK94" s="34"/>
      <c r="CL94" s="35"/>
      <c r="CM94" s="35"/>
      <c r="CN94" s="14"/>
    </row>
    <row r="95" spans="3:92" x14ac:dyDescent="0.2">
      <c r="C95" s="13" t="s">
        <v>15</v>
      </c>
      <c r="D95" s="661">
        <f>+D80+D86+D92</f>
        <v>24129375</v>
      </c>
      <c r="E95" s="36">
        <f>+E92+E86+E80</f>
        <v>0</v>
      </c>
      <c r="F95" s="36">
        <f>+F92+F86+F80</f>
        <v>0</v>
      </c>
      <c r="G95" s="36">
        <f>+G92+G86+G80</f>
        <v>0</v>
      </c>
      <c r="H95" s="853">
        <f>+SUM(H78:H94)</f>
        <v>191.25</v>
      </c>
      <c r="J95" s="13" t="s">
        <v>15</v>
      </c>
      <c r="K95" s="661">
        <f>+K80+K86+K92</f>
        <v>9945100</v>
      </c>
      <c r="L95" s="36">
        <f>+L92+L86+L80</f>
        <v>0</v>
      </c>
      <c r="M95" s="36">
        <f>+M92+M86+M80</f>
        <v>0</v>
      </c>
      <c r="N95" s="36">
        <f>+N92+N86+N80</f>
        <v>0</v>
      </c>
      <c r="O95" s="853">
        <f>+SUM(O78:O94)</f>
        <v>33</v>
      </c>
      <c r="Q95" s="13" t="s">
        <v>15</v>
      </c>
      <c r="R95" s="661">
        <f>+R80+R86+R92</f>
        <v>21056400</v>
      </c>
      <c r="S95" s="36">
        <f>+S92+S86+S80</f>
        <v>0</v>
      </c>
      <c r="T95" s="36">
        <f>+T92+T86+T80</f>
        <v>0</v>
      </c>
      <c r="U95" s="36">
        <f>+U92+U86+U80</f>
        <v>0</v>
      </c>
      <c r="V95" s="853">
        <f>+SUM(V78:V94)</f>
        <v>270</v>
      </c>
      <c r="X95" s="13" t="s">
        <v>15</v>
      </c>
      <c r="Y95" s="661">
        <f>+Y80+Y86+Y92</f>
        <v>4113500</v>
      </c>
      <c r="Z95" s="36">
        <f>+Z92+Z86+Z80</f>
        <v>0</v>
      </c>
      <c r="AA95" s="36">
        <f>+AA92+AA86+AA80</f>
        <v>0</v>
      </c>
      <c r="AB95" s="36">
        <f>+AB92+AB86+AB80</f>
        <v>0</v>
      </c>
      <c r="AC95" s="853">
        <f>+SUM(AC78:AC94)</f>
        <v>30</v>
      </c>
      <c r="AE95" s="13" t="s">
        <v>15</v>
      </c>
      <c r="AF95" s="661">
        <f>+AF80+AF86+AF92</f>
        <v>15397250</v>
      </c>
      <c r="AG95" s="36">
        <f>+AG92+AG86+AG80</f>
        <v>0</v>
      </c>
      <c r="AH95" s="36">
        <f>+AH92+AH86+AH80</f>
        <v>0</v>
      </c>
      <c r="AI95" s="36">
        <f>+AI92+AI86+AI80</f>
        <v>0</v>
      </c>
      <c r="AJ95" s="853">
        <f>+SUM(AJ78:AJ94)</f>
        <v>165</v>
      </c>
      <c r="AL95" s="13" t="s">
        <v>15</v>
      </c>
      <c r="AM95" s="661">
        <f>+AM80+AM86+AM92</f>
        <v>9539330.2399999984</v>
      </c>
      <c r="AN95" s="36">
        <f>+AN92+AN86+AN80</f>
        <v>0</v>
      </c>
      <c r="AO95" s="36">
        <f>+AO92+AO86+AO80</f>
        <v>0</v>
      </c>
      <c r="AP95" s="36">
        <f>+AP92+AP86+AP80</f>
        <v>0</v>
      </c>
      <c r="AQ95" s="853">
        <f>+SUM(AQ78:AQ94)</f>
        <v>79.859999999999985</v>
      </c>
      <c r="AS95" s="13" t="s">
        <v>15</v>
      </c>
      <c r="AT95" s="661">
        <f>+AT80+AT86+AT92</f>
        <v>61307820</v>
      </c>
      <c r="AU95" s="36">
        <f>+AU92+AU86+AU80</f>
        <v>0</v>
      </c>
      <c r="AV95" s="36">
        <f>+AV92+AV86+AV80</f>
        <v>0</v>
      </c>
      <c r="AW95" s="36">
        <f>+AW92+AW86+AW80</f>
        <v>0</v>
      </c>
      <c r="AX95" s="853">
        <f>+SUM(AX78:AX94)</f>
        <v>463.05</v>
      </c>
      <c r="AZ95" s="13" t="s">
        <v>15</v>
      </c>
      <c r="BA95" s="661">
        <f>+BA80+BA86+BA92</f>
        <v>20138333.906249996</v>
      </c>
      <c r="BB95" s="36">
        <f>+BB92+BB86+BB80</f>
        <v>0</v>
      </c>
      <c r="BC95" s="36">
        <f>+BC92+BC86+BC80</f>
        <v>0</v>
      </c>
      <c r="BD95" s="36">
        <f>+BD92+BD86+BD80</f>
        <v>0</v>
      </c>
      <c r="BE95" s="853">
        <f>+SUM(BE78:BE94)</f>
        <v>173.64374999999998</v>
      </c>
      <c r="BG95" s="13" t="s">
        <v>15</v>
      </c>
      <c r="BH95" s="661">
        <f>+BH80+BH86+BH92</f>
        <v>48113789.0625</v>
      </c>
      <c r="BI95" s="36">
        <f>+BI92+BI86+BI80</f>
        <v>0</v>
      </c>
      <c r="BJ95" s="36">
        <f>+BJ92+BJ86+BJ80</f>
        <v>0</v>
      </c>
      <c r="BK95" s="36">
        <f>+BK92+BK86+BK80</f>
        <v>0</v>
      </c>
      <c r="BL95" s="853">
        <f>+SUM(BL78:BL94)</f>
        <v>578.8125</v>
      </c>
      <c r="BN95" s="13" t="s">
        <v>15</v>
      </c>
      <c r="BO95" s="661">
        <f>+BO80+BO86+BO92</f>
        <v>15442717.5</v>
      </c>
      <c r="BP95" s="36">
        <f>+BP92+BP86+BP80</f>
        <v>0</v>
      </c>
      <c r="BQ95" s="36">
        <f>+BQ92+BQ86+BQ80</f>
        <v>0</v>
      </c>
      <c r="BR95" s="36">
        <f>+BR92+BR86+BR80</f>
        <v>0</v>
      </c>
      <c r="BS95" s="853">
        <f>+SUM(BS78:BS94)</f>
        <v>231.52500000000001</v>
      </c>
      <c r="BU95" s="13" t="s">
        <v>15</v>
      </c>
      <c r="BV95" s="661">
        <f>+BV80+BV86+BV92</f>
        <v>14523872.000000006</v>
      </c>
      <c r="BW95" s="36">
        <f>+BW92+BW86+BW80</f>
        <v>0</v>
      </c>
      <c r="BX95" s="36">
        <f>+BX92+BX86+BX80</f>
        <v>0</v>
      </c>
      <c r="BY95" s="36">
        <f>+BY92+BY86+BY80</f>
        <v>0</v>
      </c>
      <c r="BZ95" s="853">
        <f>+SUM(BZ78:BZ94)</f>
        <v>532.4000000000002</v>
      </c>
      <c r="CB95" s="13" t="s">
        <v>15</v>
      </c>
      <c r="CC95" s="661">
        <f>+CC80+CC86+CC92</f>
        <v>18750000</v>
      </c>
      <c r="CD95" s="36">
        <f>+CD92+CD86+CD80</f>
        <v>0</v>
      </c>
      <c r="CE95" s="36">
        <f>+CE92+CE86+CE80</f>
        <v>0</v>
      </c>
      <c r="CF95" s="36">
        <f>+CF92+CF86+CF80</f>
        <v>0</v>
      </c>
      <c r="CG95" s="853">
        <f>+SUM(CG78:CG94)</f>
        <v>2500</v>
      </c>
      <c r="CI95" s="13" t="s">
        <v>15</v>
      </c>
      <c r="CJ95" s="661">
        <f>+CJ80+CJ86+CJ92</f>
        <v>10000000</v>
      </c>
      <c r="CK95" s="36">
        <f>+CK92+CK86+CK80</f>
        <v>0</v>
      </c>
      <c r="CL95" s="36">
        <f>+CL92+CL86+CL80</f>
        <v>0</v>
      </c>
      <c r="CM95" s="36">
        <f>+CM92+CM86+CM80</f>
        <v>0</v>
      </c>
      <c r="CN95" s="853">
        <f>+SUM(CN78:CN94)</f>
        <v>10000</v>
      </c>
    </row>
    <row r="96" spans="3:92" s="301" customFormat="1" x14ac:dyDescent="0.2">
      <c r="C96" s="299" t="s">
        <v>733</v>
      </c>
      <c r="D96" s="662">
        <f>+D95</f>
        <v>24129375</v>
      </c>
      <c r="E96" s="300">
        <f>+D96+E95</f>
        <v>24129375</v>
      </c>
      <c r="F96" s="300">
        <f>+E96+F95</f>
        <v>24129375</v>
      </c>
      <c r="G96" s="300">
        <f>+F96+G95</f>
        <v>24129375</v>
      </c>
      <c r="H96" s="854"/>
      <c r="J96" s="299" t="s">
        <v>733</v>
      </c>
      <c r="K96" s="662">
        <f>+K95</f>
        <v>9945100</v>
      </c>
      <c r="L96" s="300">
        <f>+K96+L95</f>
        <v>9945100</v>
      </c>
      <c r="M96" s="300">
        <f>+L96+M95</f>
        <v>9945100</v>
      </c>
      <c r="N96" s="300">
        <f>+M96+N95</f>
        <v>9945100</v>
      </c>
      <c r="O96" s="854"/>
      <c r="Q96" s="299" t="s">
        <v>733</v>
      </c>
      <c r="R96" s="662">
        <f>+R95</f>
        <v>21056400</v>
      </c>
      <c r="S96" s="300">
        <f>+R96+S95</f>
        <v>21056400</v>
      </c>
      <c r="T96" s="300">
        <f>+S96+T95</f>
        <v>21056400</v>
      </c>
      <c r="U96" s="300">
        <f>+T96+U95</f>
        <v>21056400</v>
      </c>
      <c r="V96" s="854"/>
      <c r="X96" s="299" t="s">
        <v>733</v>
      </c>
      <c r="Y96" s="662">
        <f>+Y95</f>
        <v>4113500</v>
      </c>
      <c r="Z96" s="300">
        <f>+Y96+Z95</f>
        <v>4113500</v>
      </c>
      <c r="AA96" s="300">
        <f>+Z96+AA95</f>
        <v>4113500</v>
      </c>
      <c r="AB96" s="300">
        <f>+AA96+AB95</f>
        <v>4113500</v>
      </c>
      <c r="AC96" s="854"/>
      <c r="AE96" s="299" t="s">
        <v>733</v>
      </c>
      <c r="AF96" s="662">
        <f>+AF95</f>
        <v>15397250</v>
      </c>
      <c r="AG96" s="300">
        <f>+AF96+AG95</f>
        <v>15397250</v>
      </c>
      <c r="AH96" s="300">
        <f>+AG96+AH95</f>
        <v>15397250</v>
      </c>
      <c r="AI96" s="300">
        <f>+AH96+AI95</f>
        <v>15397250</v>
      </c>
      <c r="AJ96" s="854"/>
      <c r="AL96" s="299" t="s">
        <v>733</v>
      </c>
      <c r="AM96" s="662">
        <f>+AM95</f>
        <v>9539330.2399999984</v>
      </c>
      <c r="AN96" s="300">
        <f>+AM96+AN95</f>
        <v>9539330.2399999984</v>
      </c>
      <c r="AO96" s="300">
        <f>+AN96+AO95</f>
        <v>9539330.2399999984</v>
      </c>
      <c r="AP96" s="300">
        <f>+AO96+AP95</f>
        <v>9539330.2399999984</v>
      </c>
      <c r="AQ96" s="854"/>
      <c r="AS96" s="299" t="s">
        <v>733</v>
      </c>
      <c r="AT96" s="662">
        <f>+AT95</f>
        <v>61307820</v>
      </c>
      <c r="AU96" s="300">
        <f>+AT96+AU95</f>
        <v>61307820</v>
      </c>
      <c r="AV96" s="300">
        <f>+AU96+AV95</f>
        <v>61307820</v>
      </c>
      <c r="AW96" s="300">
        <f>+AV96+AW95</f>
        <v>61307820</v>
      </c>
      <c r="AX96" s="854"/>
      <c r="AZ96" s="299" t="s">
        <v>733</v>
      </c>
      <c r="BA96" s="662">
        <f>+BA95</f>
        <v>20138333.906249996</v>
      </c>
      <c r="BB96" s="300">
        <f>+BA96+BB95</f>
        <v>20138333.906249996</v>
      </c>
      <c r="BC96" s="300">
        <f>+BB96+BC95</f>
        <v>20138333.906249996</v>
      </c>
      <c r="BD96" s="300">
        <f>+BC96+BD95</f>
        <v>20138333.906249996</v>
      </c>
      <c r="BE96" s="854"/>
      <c r="BG96" s="299" t="s">
        <v>733</v>
      </c>
      <c r="BH96" s="662">
        <f>+BH95</f>
        <v>48113789.0625</v>
      </c>
      <c r="BI96" s="300">
        <f>+BH96+BI95</f>
        <v>48113789.0625</v>
      </c>
      <c r="BJ96" s="300">
        <f>+BI96+BJ95</f>
        <v>48113789.0625</v>
      </c>
      <c r="BK96" s="300">
        <f>+BJ96+BK95</f>
        <v>48113789.0625</v>
      </c>
      <c r="BL96" s="854"/>
      <c r="BN96" s="299" t="s">
        <v>733</v>
      </c>
      <c r="BO96" s="662">
        <f>+BO95</f>
        <v>15442717.5</v>
      </c>
      <c r="BP96" s="300">
        <f>+BO96+BP95</f>
        <v>15442717.5</v>
      </c>
      <c r="BQ96" s="300">
        <f>+BP96+BQ95</f>
        <v>15442717.5</v>
      </c>
      <c r="BR96" s="300">
        <f>+BQ96+BR95</f>
        <v>15442717.5</v>
      </c>
      <c r="BS96" s="854"/>
      <c r="BU96" s="299" t="s">
        <v>733</v>
      </c>
      <c r="BV96" s="662">
        <f>+BV95</f>
        <v>14523872.000000006</v>
      </c>
      <c r="BW96" s="300">
        <f>+BV96+BW95</f>
        <v>14523872.000000006</v>
      </c>
      <c r="BX96" s="300">
        <f>+BW96+BX95</f>
        <v>14523872.000000006</v>
      </c>
      <c r="BY96" s="300">
        <f>+BX96+BY95</f>
        <v>14523872.000000006</v>
      </c>
      <c r="BZ96" s="854"/>
      <c r="CB96" s="299" t="s">
        <v>733</v>
      </c>
      <c r="CC96" s="662">
        <f>+CC95</f>
        <v>18750000</v>
      </c>
      <c r="CD96" s="300">
        <f>+CC96+CD95</f>
        <v>18750000</v>
      </c>
      <c r="CE96" s="300">
        <f>+CD96+CE95</f>
        <v>18750000</v>
      </c>
      <c r="CF96" s="300">
        <f>+CE96+CF95</f>
        <v>18750000</v>
      </c>
      <c r="CG96" s="854"/>
      <c r="CI96" s="299" t="s">
        <v>733</v>
      </c>
      <c r="CJ96" s="662">
        <f>+CJ95</f>
        <v>10000000</v>
      </c>
      <c r="CK96" s="300">
        <f>+CJ96+CK95</f>
        <v>10000000</v>
      </c>
      <c r="CL96" s="300">
        <f>+CK96+CL95</f>
        <v>10000000</v>
      </c>
      <c r="CM96" s="300">
        <f>+CL96+CM95</f>
        <v>10000000</v>
      </c>
      <c r="CN96" s="854"/>
    </row>
    <row r="98" spans="3:92" x14ac:dyDescent="0.2">
      <c r="E98" s="1"/>
      <c r="F98" s="1"/>
      <c r="L98" s="1"/>
      <c r="M98" s="1"/>
      <c r="S98" s="1"/>
      <c r="T98" s="1"/>
      <c r="Z98" s="1"/>
      <c r="AA98" s="1"/>
      <c r="AG98" s="1"/>
      <c r="AH98" s="1"/>
      <c r="AN98" s="1"/>
      <c r="AO98" s="1"/>
      <c r="AU98" s="1"/>
      <c r="AV98" s="1"/>
      <c r="BB98" s="1"/>
      <c r="BC98" s="1"/>
      <c r="BI98" s="1"/>
      <c r="BJ98" s="1"/>
      <c r="BP98" s="1"/>
      <c r="BQ98" s="1"/>
      <c r="BW98" s="1"/>
      <c r="BX98" s="1"/>
      <c r="CD98" s="1"/>
      <c r="CE98" s="1"/>
      <c r="CK98" s="1"/>
      <c r="CL98" s="1"/>
    </row>
    <row r="99" spans="3:92" x14ac:dyDescent="0.2">
      <c r="C99" s="858" t="s">
        <v>633</v>
      </c>
      <c r="D99" s="859"/>
      <c r="E99" s="859"/>
      <c r="F99" s="859"/>
      <c r="G99" s="859"/>
      <c r="H99" s="860"/>
      <c r="J99" s="858" t="s">
        <v>644</v>
      </c>
      <c r="K99" s="859"/>
      <c r="L99" s="859"/>
      <c r="M99" s="859"/>
      <c r="N99" s="859"/>
      <c r="O99" s="860"/>
      <c r="Q99" s="858" t="s">
        <v>717</v>
      </c>
      <c r="R99" s="859"/>
      <c r="S99" s="859"/>
      <c r="T99" s="859"/>
      <c r="U99" s="859"/>
      <c r="V99" s="860"/>
      <c r="X99" s="858" t="s">
        <v>655</v>
      </c>
      <c r="Y99" s="859"/>
      <c r="Z99" s="859"/>
      <c r="AA99" s="859"/>
      <c r="AB99" s="859"/>
      <c r="AC99" s="860"/>
      <c r="AE99" s="858" t="s">
        <v>661</v>
      </c>
      <c r="AF99" s="859"/>
      <c r="AG99" s="859"/>
      <c r="AH99" s="859"/>
      <c r="AI99" s="859"/>
      <c r="AJ99" s="860"/>
      <c r="AL99" s="858" t="s">
        <v>669</v>
      </c>
      <c r="AM99" s="859"/>
      <c r="AN99" s="859"/>
      <c r="AO99" s="859"/>
      <c r="AP99" s="859"/>
      <c r="AQ99" s="860"/>
      <c r="AS99" s="858" t="s">
        <v>676</v>
      </c>
      <c r="AT99" s="859"/>
      <c r="AU99" s="859"/>
      <c r="AV99" s="859"/>
      <c r="AW99" s="859"/>
      <c r="AX99" s="860"/>
      <c r="AZ99" s="858" t="s">
        <v>684</v>
      </c>
      <c r="BA99" s="859"/>
      <c r="BB99" s="859"/>
      <c r="BC99" s="859"/>
      <c r="BD99" s="859"/>
      <c r="BE99" s="860"/>
      <c r="BG99" s="858" t="s">
        <v>691</v>
      </c>
      <c r="BH99" s="859"/>
      <c r="BI99" s="859"/>
      <c r="BJ99" s="859"/>
      <c r="BK99" s="859"/>
      <c r="BL99" s="860"/>
      <c r="BN99" s="858" t="s">
        <v>701</v>
      </c>
      <c r="BO99" s="859"/>
      <c r="BP99" s="859"/>
      <c r="BQ99" s="859"/>
      <c r="BR99" s="859"/>
      <c r="BS99" s="860"/>
      <c r="BU99" s="858" t="s">
        <v>709</v>
      </c>
      <c r="BV99" s="859"/>
      <c r="BW99" s="859"/>
      <c r="BX99" s="859"/>
      <c r="BY99" s="859"/>
      <c r="BZ99" s="860"/>
      <c r="CB99" s="858" t="s">
        <v>720</v>
      </c>
      <c r="CC99" s="859"/>
      <c r="CD99" s="859"/>
      <c r="CE99" s="859"/>
      <c r="CF99" s="859"/>
      <c r="CG99" s="860"/>
      <c r="CI99" s="858" t="s">
        <v>751</v>
      </c>
      <c r="CJ99" s="859"/>
      <c r="CK99" s="859"/>
      <c r="CL99" s="859"/>
      <c r="CM99" s="859"/>
      <c r="CN99" s="860"/>
    </row>
    <row r="100" spans="3:92" x14ac:dyDescent="0.2">
      <c r="C100" s="9" t="s">
        <v>6</v>
      </c>
      <c r="D100" s="663" t="s">
        <v>9</v>
      </c>
      <c r="E100" s="10" t="s">
        <v>106</v>
      </c>
      <c r="F100" s="10" t="s">
        <v>10</v>
      </c>
      <c r="G100" s="10" t="s">
        <v>11</v>
      </c>
      <c r="H100" s="40" t="s">
        <v>16</v>
      </c>
      <c r="J100" s="9" t="s">
        <v>6</v>
      </c>
      <c r="K100" s="663" t="s">
        <v>9</v>
      </c>
      <c r="L100" s="10" t="s">
        <v>106</v>
      </c>
      <c r="M100" s="10" t="s">
        <v>10</v>
      </c>
      <c r="N100" s="10" t="s">
        <v>11</v>
      </c>
      <c r="O100" s="40" t="s">
        <v>16</v>
      </c>
      <c r="Q100" s="9" t="s">
        <v>6</v>
      </c>
      <c r="R100" s="663" t="s">
        <v>9</v>
      </c>
      <c r="S100" s="10" t="s">
        <v>106</v>
      </c>
      <c r="T100" s="10" t="s">
        <v>10</v>
      </c>
      <c r="U100" s="10" t="s">
        <v>11</v>
      </c>
      <c r="V100" s="40" t="s">
        <v>16</v>
      </c>
      <c r="X100" s="9" t="s">
        <v>6</v>
      </c>
      <c r="Y100" s="663" t="s">
        <v>9</v>
      </c>
      <c r="Z100" s="10" t="s">
        <v>106</v>
      </c>
      <c r="AA100" s="10" t="s">
        <v>10</v>
      </c>
      <c r="AB100" s="10" t="s">
        <v>11</v>
      </c>
      <c r="AC100" s="40" t="s">
        <v>16</v>
      </c>
      <c r="AE100" s="9" t="s">
        <v>6</v>
      </c>
      <c r="AF100" s="663" t="s">
        <v>9</v>
      </c>
      <c r="AG100" s="10" t="s">
        <v>106</v>
      </c>
      <c r="AH100" s="10" t="s">
        <v>10</v>
      </c>
      <c r="AI100" s="10" t="s">
        <v>11</v>
      </c>
      <c r="AJ100" s="40" t="s">
        <v>16</v>
      </c>
      <c r="AL100" s="9" t="s">
        <v>6</v>
      </c>
      <c r="AM100" s="663" t="s">
        <v>9</v>
      </c>
      <c r="AN100" s="10" t="s">
        <v>106</v>
      </c>
      <c r="AO100" s="10" t="s">
        <v>10</v>
      </c>
      <c r="AP100" s="10" t="s">
        <v>11</v>
      </c>
      <c r="AQ100" s="40" t="s">
        <v>16</v>
      </c>
      <c r="AS100" s="9" t="s">
        <v>6</v>
      </c>
      <c r="AT100" s="663" t="s">
        <v>9</v>
      </c>
      <c r="AU100" s="10" t="s">
        <v>106</v>
      </c>
      <c r="AV100" s="10" t="s">
        <v>10</v>
      </c>
      <c r="AW100" s="10" t="s">
        <v>11</v>
      </c>
      <c r="AX100" s="40" t="s">
        <v>16</v>
      </c>
      <c r="AZ100" s="9" t="s">
        <v>6</v>
      </c>
      <c r="BA100" s="663" t="s">
        <v>9</v>
      </c>
      <c r="BB100" s="10" t="s">
        <v>106</v>
      </c>
      <c r="BC100" s="10" t="s">
        <v>10</v>
      </c>
      <c r="BD100" s="10" t="s">
        <v>11</v>
      </c>
      <c r="BE100" s="40" t="s">
        <v>16</v>
      </c>
      <c r="BG100" s="9" t="s">
        <v>6</v>
      </c>
      <c r="BH100" s="663" t="s">
        <v>9</v>
      </c>
      <c r="BI100" s="10" t="s">
        <v>106</v>
      </c>
      <c r="BJ100" s="10" t="s">
        <v>10</v>
      </c>
      <c r="BK100" s="10" t="s">
        <v>11</v>
      </c>
      <c r="BL100" s="40" t="s">
        <v>16</v>
      </c>
      <c r="BN100" s="9" t="s">
        <v>6</v>
      </c>
      <c r="BO100" s="663" t="s">
        <v>9</v>
      </c>
      <c r="BP100" s="10" t="s">
        <v>106</v>
      </c>
      <c r="BQ100" s="10" t="s">
        <v>10</v>
      </c>
      <c r="BR100" s="10" t="s">
        <v>11</v>
      </c>
      <c r="BS100" s="40" t="s">
        <v>16</v>
      </c>
      <c r="BU100" s="9" t="s">
        <v>6</v>
      </c>
      <c r="BV100" s="663" t="s">
        <v>9</v>
      </c>
      <c r="BW100" s="10" t="s">
        <v>106</v>
      </c>
      <c r="BX100" s="10" t="s">
        <v>10</v>
      </c>
      <c r="BY100" s="10" t="s">
        <v>11</v>
      </c>
      <c r="BZ100" s="40" t="s">
        <v>16</v>
      </c>
      <c r="CB100" s="9" t="s">
        <v>6</v>
      </c>
      <c r="CC100" s="663" t="s">
        <v>9</v>
      </c>
      <c r="CD100" s="10" t="s">
        <v>106</v>
      </c>
      <c r="CE100" s="10" t="s">
        <v>10</v>
      </c>
      <c r="CF100" s="10" t="s">
        <v>11</v>
      </c>
      <c r="CG100" s="40" t="s">
        <v>16</v>
      </c>
      <c r="CI100" s="9" t="s">
        <v>6</v>
      </c>
      <c r="CJ100" s="663" t="s">
        <v>9</v>
      </c>
      <c r="CK100" s="10" t="s">
        <v>106</v>
      </c>
      <c r="CL100" s="10" t="s">
        <v>10</v>
      </c>
      <c r="CM100" s="10" t="s">
        <v>11</v>
      </c>
      <c r="CN100" s="40" t="s">
        <v>16</v>
      </c>
    </row>
    <row r="101" spans="3:92" x14ac:dyDescent="0.2">
      <c r="C101" s="18" t="s">
        <v>421</v>
      </c>
      <c r="D101" s="654">
        <f>SUM(D106*D107)</f>
        <v>75</v>
      </c>
      <c r="E101" s="20"/>
      <c r="F101" s="21"/>
      <c r="G101" s="21"/>
      <c r="H101" s="38">
        <f>+SUM(D101:G101)</f>
        <v>75</v>
      </c>
      <c r="J101" s="18" t="s">
        <v>421</v>
      </c>
      <c r="K101" s="654">
        <f>SUM(K106*K107)</f>
        <v>11</v>
      </c>
      <c r="L101" s="20"/>
      <c r="M101" s="21"/>
      <c r="N101" s="21"/>
      <c r="O101" s="38">
        <f>+SUM(K101:N101)</f>
        <v>11</v>
      </c>
      <c r="Q101" s="18" t="s">
        <v>421</v>
      </c>
      <c r="R101" s="654">
        <f>SUM(R106*R107)</f>
        <v>100</v>
      </c>
      <c r="S101" s="20"/>
      <c r="T101" s="21"/>
      <c r="U101" s="21"/>
      <c r="V101" s="38">
        <f>+SUM(R101:U101)</f>
        <v>100</v>
      </c>
      <c r="X101" s="18" t="s">
        <v>421</v>
      </c>
      <c r="Y101" s="654">
        <f>SUM(Y106*Y107)</f>
        <v>10</v>
      </c>
      <c r="Z101" s="20"/>
      <c r="AA101" s="21"/>
      <c r="AB101" s="21"/>
      <c r="AC101" s="38">
        <f>+SUM(Y101:AB101)</f>
        <v>10</v>
      </c>
      <c r="AE101" s="18" t="s">
        <v>421</v>
      </c>
      <c r="AF101" s="654">
        <f>SUM(AF106*AF107)</f>
        <v>60</v>
      </c>
      <c r="AG101" s="20"/>
      <c r="AH101" s="21"/>
      <c r="AI101" s="21"/>
      <c r="AJ101" s="38">
        <f>+SUM(AF101:AI101)</f>
        <v>60</v>
      </c>
      <c r="AL101" s="18" t="s">
        <v>421</v>
      </c>
      <c r="AM101" s="654">
        <f>SUM(AM106*AM107)</f>
        <v>29.282000000000004</v>
      </c>
      <c r="AN101" s="20"/>
      <c r="AO101" s="21"/>
      <c r="AP101" s="21"/>
      <c r="AQ101" s="38">
        <f>+SUM(AM101:AP101)</f>
        <v>29.282000000000004</v>
      </c>
      <c r="AS101" s="18" t="s">
        <v>421</v>
      </c>
      <c r="AT101" s="654">
        <f>SUM(AT106*AT107)</f>
        <v>243.10124999999999</v>
      </c>
      <c r="AU101" s="20"/>
      <c r="AV101" s="21"/>
      <c r="AW101" s="21"/>
      <c r="AX101" s="38">
        <f>+SUM(AT101:AW101)</f>
        <v>243.10124999999999</v>
      </c>
      <c r="AZ101" s="18" t="s">
        <v>421</v>
      </c>
      <c r="BA101" s="654">
        <f>SUM(BA106*BA107)</f>
        <v>91.162968750000005</v>
      </c>
      <c r="BB101" s="20"/>
      <c r="BC101" s="21"/>
      <c r="BD101" s="21"/>
      <c r="BE101" s="38">
        <f>+SUM(BA101:BD101)</f>
        <v>91.162968750000005</v>
      </c>
      <c r="BG101" s="18" t="s">
        <v>421</v>
      </c>
      <c r="BH101" s="654">
        <f>SUM(BH106*BH107)</f>
        <v>303.87656249999998</v>
      </c>
      <c r="BI101" s="20"/>
      <c r="BJ101" s="21"/>
      <c r="BK101" s="21"/>
      <c r="BL101" s="38">
        <f>+SUM(BH101:BK101)</f>
        <v>303.87656249999998</v>
      </c>
      <c r="BN101" s="18" t="s">
        <v>421</v>
      </c>
      <c r="BO101" s="654">
        <f>SUM(BO106*BO107)</f>
        <v>121.550625</v>
      </c>
      <c r="BP101" s="20"/>
      <c r="BQ101" s="21"/>
      <c r="BR101" s="21"/>
      <c r="BS101" s="38">
        <f>+SUM(BO101:BR101)</f>
        <v>121.550625</v>
      </c>
      <c r="BU101" s="18" t="s">
        <v>421</v>
      </c>
      <c r="BV101" s="654">
        <f>SUM(BV106*BV107)</f>
        <v>292.82000000000011</v>
      </c>
      <c r="BW101" s="20"/>
      <c r="BX101" s="21"/>
      <c r="BY101" s="21"/>
      <c r="BZ101" s="38">
        <f>+SUM(BV101:BY101)</f>
        <v>292.82000000000011</v>
      </c>
      <c r="CB101" s="18" t="s">
        <v>741</v>
      </c>
      <c r="CC101" s="654">
        <f>SUM(CC106*CC107)</f>
        <v>2500</v>
      </c>
      <c r="CD101" s="20"/>
      <c r="CE101" s="21"/>
      <c r="CF101" s="21"/>
      <c r="CG101" s="38">
        <f>+SUM(CC101:CF101)</f>
        <v>2500</v>
      </c>
      <c r="CI101" s="18" t="s">
        <v>741</v>
      </c>
      <c r="CJ101" s="654">
        <f>SUM(CJ106*CJ107)</f>
        <v>10000</v>
      </c>
      <c r="CK101" s="20"/>
      <c r="CL101" s="21"/>
      <c r="CM101" s="21"/>
      <c r="CN101" s="38">
        <f>+SUM(CJ101:CM101)</f>
        <v>10000</v>
      </c>
    </row>
    <row r="102" spans="3:92" x14ac:dyDescent="0.2">
      <c r="C102" s="11" t="s">
        <v>19</v>
      </c>
      <c r="D102" s="655">
        <f>SUM(D79)</f>
        <v>328500</v>
      </c>
      <c r="E102" s="22">
        <f>SUM(D102)</f>
        <v>328500</v>
      </c>
      <c r="F102" s="22">
        <f>SUM(D102)</f>
        <v>328500</v>
      </c>
      <c r="G102" s="22">
        <f>SUM(F102)</f>
        <v>328500</v>
      </c>
      <c r="H102" s="14"/>
      <c r="J102" s="11" t="s">
        <v>19</v>
      </c>
      <c r="K102" s="655">
        <f>SUM(K79)</f>
        <v>854100</v>
      </c>
      <c r="L102" s="22">
        <f>SUM(K102)</f>
        <v>854100</v>
      </c>
      <c r="M102" s="22">
        <f>SUM(K102)</f>
        <v>854100</v>
      </c>
      <c r="N102" s="22">
        <f>SUM(M102)</f>
        <v>854100</v>
      </c>
      <c r="O102" s="14"/>
      <c r="Q102" s="11" t="s">
        <v>19</v>
      </c>
      <c r="R102" s="655">
        <f>SUM(R79)</f>
        <v>183960</v>
      </c>
      <c r="S102" s="22">
        <f>SUM(R102)</f>
        <v>183960</v>
      </c>
      <c r="T102" s="22">
        <f>SUM(R102)</f>
        <v>183960</v>
      </c>
      <c r="U102" s="22">
        <f>SUM(T102)</f>
        <v>183960</v>
      </c>
      <c r="V102" s="14"/>
      <c r="X102" s="11" t="s">
        <v>19</v>
      </c>
      <c r="Y102" s="655">
        <f>SUM(Y79)</f>
        <v>361350</v>
      </c>
      <c r="Z102" s="22">
        <f>SUM(Y102)</f>
        <v>361350</v>
      </c>
      <c r="AA102" s="22">
        <f>SUM(Y102)</f>
        <v>361350</v>
      </c>
      <c r="AB102" s="22">
        <f>SUM(AA102)</f>
        <v>361350</v>
      </c>
      <c r="AC102" s="14"/>
      <c r="AE102" s="11" t="s">
        <v>19</v>
      </c>
      <c r="AF102" s="655">
        <f>SUM(AF79)</f>
        <v>229950</v>
      </c>
      <c r="AG102" s="22">
        <f>SUM(AF102)</f>
        <v>229950</v>
      </c>
      <c r="AH102" s="22">
        <f>SUM(AF102)</f>
        <v>229950</v>
      </c>
      <c r="AI102" s="22">
        <f>SUM(AH102)</f>
        <v>229950</v>
      </c>
      <c r="AJ102" s="14"/>
      <c r="AL102" s="11" t="s">
        <v>19</v>
      </c>
      <c r="AM102" s="655">
        <f>SUM(AM79)</f>
        <v>308352</v>
      </c>
      <c r="AN102" s="22">
        <f>SUM(AM102)</f>
        <v>308352</v>
      </c>
      <c r="AO102" s="22">
        <f>SUM(AM102)</f>
        <v>308352</v>
      </c>
      <c r="AP102" s="22">
        <f>SUM(AO102)</f>
        <v>308352</v>
      </c>
      <c r="AQ102" s="14"/>
      <c r="AS102" s="11" t="s">
        <v>19</v>
      </c>
      <c r="AT102" s="655">
        <f>SUM(AT79)</f>
        <v>262800</v>
      </c>
      <c r="AU102" s="22">
        <f>SUM(AT102)</f>
        <v>262800</v>
      </c>
      <c r="AV102" s="22">
        <f>SUM(AT102)</f>
        <v>262800</v>
      </c>
      <c r="AW102" s="22">
        <f>SUM(AV102)</f>
        <v>262800</v>
      </c>
      <c r="AX102" s="14"/>
      <c r="AZ102" s="11" t="s">
        <v>19</v>
      </c>
      <c r="BA102" s="655">
        <f>SUM(BA79)</f>
        <v>229950</v>
      </c>
      <c r="BB102" s="22">
        <f>SUM(BA102)</f>
        <v>229950</v>
      </c>
      <c r="BC102" s="22">
        <f>SUM(BA102)</f>
        <v>229950</v>
      </c>
      <c r="BD102" s="22">
        <f>SUM(BC102)</f>
        <v>229950</v>
      </c>
      <c r="BE102" s="14"/>
      <c r="BG102" s="11" t="s">
        <v>19</v>
      </c>
      <c r="BH102" s="655">
        <f>SUM(BH79)</f>
        <v>164250</v>
      </c>
      <c r="BI102" s="22">
        <f>SUM(BH102)</f>
        <v>164250</v>
      </c>
      <c r="BJ102" s="22">
        <f>SUM(BH102)</f>
        <v>164250</v>
      </c>
      <c r="BK102" s="22">
        <f>SUM(BJ102)</f>
        <v>164250</v>
      </c>
      <c r="BL102" s="14"/>
      <c r="BN102" s="11" t="s">
        <v>19</v>
      </c>
      <c r="BO102" s="655">
        <f>SUM(BO79)</f>
        <v>131400</v>
      </c>
      <c r="BP102" s="22">
        <f>SUM(BO102)</f>
        <v>131400</v>
      </c>
      <c r="BQ102" s="22">
        <f>SUM(BO102)</f>
        <v>131400</v>
      </c>
      <c r="BR102" s="22">
        <f>SUM(BQ102)</f>
        <v>131400</v>
      </c>
      <c r="BS102" s="14"/>
      <c r="BU102" s="11" t="s">
        <v>19</v>
      </c>
      <c r="BV102" s="655">
        <f>SUM(BV79)</f>
        <v>52560</v>
      </c>
      <c r="BW102" s="22">
        <f>SUM(BV102)</f>
        <v>52560</v>
      </c>
      <c r="BX102" s="22">
        <f>SUM(BV102)</f>
        <v>52560</v>
      </c>
      <c r="BY102" s="22">
        <f>SUM(BX102)</f>
        <v>52560</v>
      </c>
      <c r="BZ102" s="14"/>
      <c r="CB102" s="11" t="s">
        <v>742</v>
      </c>
      <c r="CC102" s="655">
        <v>10000</v>
      </c>
      <c r="CD102" s="22">
        <f>SUM(CC102)</f>
        <v>10000</v>
      </c>
      <c r="CE102" s="22">
        <f>SUM(CC102)</f>
        <v>10000</v>
      </c>
      <c r="CF102" s="22">
        <f>SUM(CE102)</f>
        <v>10000</v>
      </c>
      <c r="CG102" s="14"/>
      <c r="CI102" s="11" t="s">
        <v>742</v>
      </c>
      <c r="CJ102" s="655">
        <v>1500</v>
      </c>
      <c r="CK102" s="22">
        <f>SUM(CJ102)</f>
        <v>1500</v>
      </c>
      <c r="CL102" s="22">
        <f>SUM(CJ102)</f>
        <v>1500</v>
      </c>
      <c r="CM102" s="22">
        <f>SUM(CL102)</f>
        <v>1500</v>
      </c>
      <c r="CN102" s="14"/>
    </row>
    <row r="103" spans="3:92" x14ac:dyDescent="0.2">
      <c r="C103" s="6" t="s">
        <v>7</v>
      </c>
      <c r="D103" s="656">
        <f>+D102*D101</f>
        <v>24637500</v>
      </c>
      <c r="E103" s="24">
        <f>+E102*E101</f>
        <v>0</v>
      </c>
      <c r="F103" s="25">
        <f>+F102*F101</f>
        <v>0</v>
      </c>
      <c r="G103" s="25">
        <f>+G102*G101</f>
        <v>0</v>
      </c>
      <c r="H103" s="14"/>
      <c r="J103" s="6" t="s">
        <v>7</v>
      </c>
      <c r="K103" s="656">
        <f>+K102*K101</f>
        <v>9395100</v>
      </c>
      <c r="L103" s="24">
        <f>+L102*L101</f>
        <v>0</v>
      </c>
      <c r="M103" s="25">
        <f>+M102*M101</f>
        <v>0</v>
      </c>
      <c r="N103" s="25">
        <f>+N102*N101</f>
        <v>0</v>
      </c>
      <c r="O103" s="14"/>
      <c r="Q103" s="6" t="s">
        <v>7</v>
      </c>
      <c r="R103" s="656">
        <f>+R102*R101</f>
        <v>18396000</v>
      </c>
      <c r="S103" s="24">
        <f>+S102*S101</f>
        <v>0</v>
      </c>
      <c r="T103" s="25">
        <f>+T102*T101</f>
        <v>0</v>
      </c>
      <c r="U103" s="25">
        <f>+U102*U101</f>
        <v>0</v>
      </c>
      <c r="V103" s="14"/>
      <c r="X103" s="6" t="s">
        <v>7</v>
      </c>
      <c r="Y103" s="656">
        <f>+Y102*Y101</f>
        <v>3613500</v>
      </c>
      <c r="Z103" s="24">
        <f>+Z102*Z101</f>
        <v>0</v>
      </c>
      <c r="AA103" s="25">
        <f>+AA102*AA101</f>
        <v>0</v>
      </c>
      <c r="AB103" s="25">
        <f>+AB102*AB101</f>
        <v>0</v>
      </c>
      <c r="AC103" s="14"/>
      <c r="AE103" s="6" t="s">
        <v>7</v>
      </c>
      <c r="AF103" s="656">
        <f>+AF102*AF101</f>
        <v>13797000</v>
      </c>
      <c r="AG103" s="24">
        <f>+AG102*AG101</f>
        <v>0</v>
      </c>
      <c r="AH103" s="25">
        <f>+AH102*AH101</f>
        <v>0</v>
      </c>
      <c r="AI103" s="25">
        <f>+AI102*AI101</f>
        <v>0</v>
      </c>
      <c r="AJ103" s="14"/>
      <c r="AL103" s="6" t="s">
        <v>7</v>
      </c>
      <c r="AM103" s="656">
        <f>+AM102*AM101</f>
        <v>9029163.2640000004</v>
      </c>
      <c r="AN103" s="24">
        <f>+AN102*AN101</f>
        <v>0</v>
      </c>
      <c r="AO103" s="25">
        <f>+AO102*AO101</f>
        <v>0</v>
      </c>
      <c r="AP103" s="25">
        <f>+AP102*AP101</f>
        <v>0</v>
      </c>
      <c r="AQ103" s="14"/>
      <c r="AS103" s="6" t="s">
        <v>7</v>
      </c>
      <c r="AT103" s="656">
        <f>+AT102*AT101</f>
        <v>63887008.5</v>
      </c>
      <c r="AU103" s="24">
        <f>+AU102*AU101</f>
        <v>0</v>
      </c>
      <c r="AV103" s="25">
        <f>+AV102*AV101</f>
        <v>0</v>
      </c>
      <c r="AW103" s="25">
        <f>+AW102*AW101</f>
        <v>0</v>
      </c>
      <c r="AX103" s="14"/>
      <c r="AZ103" s="6" t="s">
        <v>7</v>
      </c>
      <c r="BA103" s="656">
        <f>+BA102*BA101</f>
        <v>20962924.6640625</v>
      </c>
      <c r="BB103" s="24">
        <f>+BB102*BB101</f>
        <v>0</v>
      </c>
      <c r="BC103" s="25">
        <f>+BC102*BC101</f>
        <v>0</v>
      </c>
      <c r="BD103" s="25">
        <f>+BD102*BD101</f>
        <v>0</v>
      </c>
      <c r="BE103" s="14"/>
      <c r="BG103" s="6" t="s">
        <v>7</v>
      </c>
      <c r="BH103" s="656">
        <f>+BH102*BH101</f>
        <v>49911725.390624993</v>
      </c>
      <c r="BI103" s="24">
        <f>+BI102*BI101</f>
        <v>0</v>
      </c>
      <c r="BJ103" s="25">
        <f>+BJ102*BJ101</f>
        <v>0</v>
      </c>
      <c r="BK103" s="25">
        <f>+BK102*BK101</f>
        <v>0</v>
      </c>
      <c r="BL103" s="14"/>
      <c r="BN103" s="6" t="s">
        <v>7</v>
      </c>
      <c r="BO103" s="656">
        <f>+BO102*BO101</f>
        <v>15971752.125</v>
      </c>
      <c r="BP103" s="24">
        <f>+BP102*BP101</f>
        <v>0</v>
      </c>
      <c r="BQ103" s="25">
        <f>+BQ102*BQ101</f>
        <v>0</v>
      </c>
      <c r="BR103" s="25">
        <f>+BR102*BR101</f>
        <v>0</v>
      </c>
      <c r="BS103" s="14"/>
      <c r="BU103" s="6" t="s">
        <v>7</v>
      </c>
      <c r="BV103" s="656">
        <f>+BV102*BV101</f>
        <v>15390619.200000005</v>
      </c>
      <c r="BW103" s="24">
        <f>+BW102*BW101</f>
        <v>0</v>
      </c>
      <c r="BX103" s="25">
        <f>+BX102*BX101</f>
        <v>0</v>
      </c>
      <c r="BY103" s="25">
        <f>+BY102*BY101</f>
        <v>0</v>
      </c>
      <c r="BZ103" s="14"/>
      <c r="CB103" s="6" t="s">
        <v>7</v>
      </c>
      <c r="CC103" s="656">
        <f>+CC102*CC101</f>
        <v>25000000</v>
      </c>
      <c r="CD103" s="24">
        <f>+CD102*CD101</f>
        <v>0</v>
      </c>
      <c r="CE103" s="25">
        <f>+CE102*CE101</f>
        <v>0</v>
      </c>
      <c r="CF103" s="25">
        <f>+CF102*CF101</f>
        <v>0</v>
      </c>
      <c r="CG103" s="14"/>
      <c r="CI103" s="6" t="s">
        <v>7</v>
      </c>
      <c r="CJ103" s="656">
        <f>+CJ102*CJ101</f>
        <v>15000000</v>
      </c>
      <c r="CK103" s="24">
        <f>+CK102*CK101</f>
        <v>0</v>
      </c>
      <c r="CL103" s="25">
        <f>+CL102*CL101</f>
        <v>0</v>
      </c>
      <c r="CM103" s="25">
        <f>+CM102*CM101</f>
        <v>0</v>
      </c>
      <c r="CN103" s="14"/>
    </row>
    <row r="104" spans="3:92" x14ac:dyDescent="0.2">
      <c r="C104" s="16" t="s">
        <v>8</v>
      </c>
      <c r="D104" s="655">
        <f>+D103</f>
        <v>24637500</v>
      </c>
      <c r="E104" s="22">
        <f>+D104+E103</f>
        <v>24637500</v>
      </c>
      <c r="F104" s="23">
        <f>+E104+F103</f>
        <v>24637500</v>
      </c>
      <c r="G104" s="23">
        <f>+F104+G103</f>
        <v>24637500</v>
      </c>
      <c r="H104" s="14"/>
      <c r="J104" s="16" t="s">
        <v>8</v>
      </c>
      <c r="K104" s="655">
        <f>+K103</f>
        <v>9395100</v>
      </c>
      <c r="L104" s="22">
        <f>+K104+L103</f>
        <v>9395100</v>
      </c>
      <c r="M104" s="23">
        <f>+L104+M103</f>
        <v>9395100</v>
      </c>
      <c r="N104" s="23">
        <f>+M104+N103</f>
        <v>9395100</v>
      </c>
      <c r="O104" s="14"/>
      <c r="Q104" s="16" t="s">
        <v>8</v>
      </c>
      <c r="R104" s="655">
        <f>+R103</f>
        <v>18396000</v>
      </c>
      <c r="S104" s="22">
        <f>+R104+S103</f>
        <v>18396000</v>
      </c>
      <c r="T104" s="23">
        <f>+S104+T103</f>
        <v>18396000</v>
      </c>
      <c r="U104" s="23">
        <f>+T104+U103</f>
        <v>18396000</v>
      </c>
      <c r="V104" s="14"/>
      <c r="X104" s="16" t="s">
        <v>8</v>
      </c>
      <c r="Y104" s="655">
        <f>+Y103</f>
        <v>3613500</v>
      </c>
      <c r="Z104" s="22">
        <f>+Y104+Z103</f>
        <v>3613500</v>
      </c>
      <c r="AA104" s="23">
        <f>+Z104+AA103</f>
        <v>3613500</v>
      </c>
      <c r="AB104" s="23">
        <f>+AA104+AB103</f>
        <v>3613500</v>
      </c>
      <c r="AC104" s="14"/>
      <c r="AE104" s="16" t="s">
        <v>8</v>
      </c>
      <c r="AF104" s="655">
        <f>+AF103</f>
        <v>13797000</v>
      </c>
      <c r="AG104" s="22">
        <f>+AF104+AG103</f>
        <v>13797000</v>
      </c>
      <c r="AH104" s="23">
        <f>+AG104+AH103</f>
        <v>13797000</v>
      </c>
      <c r="AI104" s="23">
        <f>+AH104+AI103</f>
        <v>13797000</v>
      </c>
      <c r="AJ104" s="14"/>
      <c r="AL104" s="16" t="s">
        <v>8</v>
      </c>
      <c r="AM104" s="655">
        <f>+AM103</f>
        <v>9029163.2640000004</v>
      </c>
      <c r="AN104" s="22">
        <f>+AM104+AN103</f>
        <v>9029163.2640000004</v>
      </c>
      <c r="AO104" s="23">
        <f>+AN104+AO103</f>
        <v>9029163.2640000004</v>
      </c>
      <c r="AP104" s="23">
        <f>+AO104+AP103</f>
        <v>9029163.2640000004</v>
      </c>
      <c r="AQ104" s="14"/>
      <c r="AS104" s="16" t="s">
        <v>8</v>
      </c>
      <c r="AT104" s="655">
        <f>+AT103</f>
        <v>63887008.5</v>
      </c>
      <c r="AU104" s="22">
        <f>+AT104+AU103</f>
        <v>63887008.5</v>
      </c>
      <c r="AV104" s="23">
        <f>+AU104+AV103</f>
        <v>63887008.5</v>
      </c>
      <c r="AW104" s="23">
        <f>+AV104+AW103</f>
        <v>63887008.5</v>
      </c>
      <c r="AX104" s="14"/>
      <c r="AZ104" s="16" t="s">
        <v>8</v>
      </c>
      <c r="BA104" s="655">
        <f>+BA103</f>
        <v>20962924.6640625</v>
      </c>
      <c r="BB104" s="22">
        <f>+BA104+BB103</f>
        <v>20962924.6640625</v>
      </c>
      <c r="BC104" s="23">
        <f>+BB104+BC103</f>
        <v>20962924.6640625</v>
      </c>
      <c r="BD104" s="23">
        <f>+BC104+BD103</f>
        <v>20962924.6640625</v>
      </c>
      <c r="BE104" s="14"/>
      <c r="BG104" s="16" t="s">
        <v>8</v>
      </c>
      <c r="BH104" s="655">
        <f>+BH103</f>
        <v>49911725.390624993</v>
      </c>
      <c r="BI104" s="22">
        <f>+BH104+BI103</f>
        <v>49911725.390624993</v>
      </c>
      <c r="BJ104" s="23">
        <f>+BI104+BJ103</f>
        <v>49911725.390624993</v>
      </c>
      <c r="BK104" s="23">
        <f>+BJ104+BK103</f>
        <v>49911725.390624993</v>
      </c>
      <c r="BL104" s="14"/>
      <c r="BN104" s="16" t="s">
        <v>8</v>
      </c>
      <c r="BO104" s="655">
        <f>+BO103</f>
        <v>15971752.125</v>
      </c>
      <c r="BP104" s="22">
        <f>+BO104+BP103</f>
        <v>15971752.125</v>
      </c>
      <c r="BQ104" s="23">
        <f>+BP104+BQ103</f>
        <v>15971752.125</v>
      </c>
      <c r="BR104" s="23">
        <f>+BQ104+BR103</f>
        <v>15971752.125</v>
      </c>
      <c r="BS104" s="14"/>
      <c r="BU104" s="16" t="s">
        <v>8</v>
      </c>
      <c r="BV104" s="655">
        <f>+BV103</f>
        <v>15390619.200000005</v>
      </c>
      <c r="BW104" s="22">
        <f>+BV104+BW103</f>
        <v>15390619.200000005</v>
      </c>
      <c r="BX104" s="23">
        <f>+BW104+BX103</f>
        <v>15390619.200000005</v>
      </c>
      <c r="BY104" s="23">
        <f>+BX104+BY103</f>
        <v>15390619.200000005</v>
      </c>
      <c r="BZ104" s="14"/>
      <c r="CB104" s="16" t="s">
        <v>8</v>
      </c>
      <c r="CC104" s="655">
        <f>+CC103</f>
        <v>25000000</v>
      </c>
      <c r="CD104" s="22">
        <f>+CC104+CD103</f>
        <v>25000000</v>
      </c>
      <c r="CE104" s="23">
        <f>+CD104+CE103</f>
        <v>25000000</v>
      </c>
      <c r="CF104" s="23">
        <f>+CE104+CF103</f>
        <v>25000000</v>
      </c>
      <c r="CG104" s="14"/>
      <c r="CI104" s="16" t="s">
        <v>8</v>
      </c>
      <c r="CJ104" s="655">
        <f>+CJ103</f>
        <v>15000000</v>
      </c>
      <c r="CK104" s="22">
        <f>+CJ104+CK103</f>
        <v>15000000</v>
      </c>
      <c r="CL104" s="23">
        <f>+CK104+CL103</f>
        <v>15000000</v>
      </c>
      <c r="CM104" s="23">
        <f>+CL104+CM103</f>
        <v>15000000</v>
      </c>
      <c r="CN104" s="14"/>
    </row>
    <row r="105" spans="3:92" x14ac:dyDescent="0.2">
      <c r="C105" s="7"/>
      <c r="D105" s="656"/>
      <c r="E105" s="26"/>
      <c r="F105" s="27"/>
      <c r="G105" s="27"/>
      <c r="H105" s="14"/>
      <c r="J105" s="7"/>
      <c r="K105" s="656"/>
      <c r="L105" s="26"/>
      <c r="M105" s="27"/>
      <c r="N105" s="27"/>
      <c r="O105" s="14"/>
      <c r="Q105" s="7"/>
      <c r="R105" s="656"/>
      <c r="S105" s="26"/>
      <c r="T105" s="27"/>
      <c r="U105" s="27"/>
      <c r="V105" s="14"/>
      <c r="X105" s="7"/>
      <c r="Y105" s="656"/>
      <c r="Z105" s="26"/>
      <c r="AA105" s="27"/>
      <c r="AB105" s="27"/>
      <c r="AC105" s="14"/>
      <c r="AE105" s="7"/>
      <c r="AF105" s="656"/>
      <c r="AG105" s="26"/>
      <c r="AH105" s="27"/>
      <c r="AI105" s="27"/>
      <c r="AJ105" s="14"/>
      <c r="AL105" s="7"/>
      <c r="AM105" s="656"/>
      <c r="AN105" s="26"/>
      <c r="AO105" s="27"/>
      <c r="AP105" s="27"/>
      <c r="AQ105" s="14"/>
      <c r="AS105" s="7"/>
      <c r="AT105" s="656"/>
      <c r="AU105" s="26"/>
      <c r="AV105" s="27"/>
      <c r="AW105" s="27"/>
      <c r="AX105" s="14"/>
      <c r="AZ105" s="7"/>
      <c r="BA105" s="656"/>
      <c r="BB105" s="26"/>
      <c r="BC105" s="27"/>
      <c r="BD105" s="27"/>
      <c r="BE105" s="14"/>
      <c r="BG105" s="7"/>
      <c r="BH105" s="656"/>
      <c r="BI105" s="26"/>
      <c r="BJ105" s="27"/>
      <c r="BK105" s="27"/>
      <c r="BL105" s="14"/>
      <c r="BN105" s="7"/>
      <c r="BO105" s="656"/>
      <c r="BP105" s="26"/>
      <c r="BQ105" s="27"/>
      <c r="BR105" s="27"/>
      <c r="BS105" s="14"/>
      <c r="BU105" s="7"/>
      <c r="BV105" s="656"/>
      <c r="BW105" s="26"/>
      <c r="BX105" s="27"/>
      <c r="BY105" s="27"/>
      <c r="BZ105" s="14"/>
      <c r="CB105" s="7"/>
      <c r="CC105" s="656"/>
      <c r="CD105" s="26"/>
      <c r="CE105" s="27"/>
      <c r="CF105" s="27"/>
      <c r="CG105" s="14"/>
      <c r="CI105" s="7"/>
      <c r="CJ105" s="656"/>
      <c r="CK105" s="26"/>
      <c r="CL105" s="27"/>
      <c r="CM105" s="27"/>
      <c r="CN105" s="14"/>
    </row>
    <row r="106" spans="3:92" x14ac:dyDescent="0.2">
      <c r="C106" s="17" t="s">
        <v>628</v>
      </c>
      <c r="D106" s="671">
        <f>SUM('Coûts de product° Agricole'!H18)/1000</f>
        <v>3.75</v>
      </c>
      <c r="E106" s="101"/>
      <c r="F106" s="102"/>
      <c r="G106" s="102"/>
      <c r="H106" s="672"/>
      <c r="J106" s="17" t="s">
        <v>628</v>
      </c>
      <c r="K106" s="671">
        <f>SUM('Coûts de product° Agricole'!H36)/1000</f>
        <v>1.1000000000000001</v>
      </c>
      <c r="L106" s="101"/>
      <c r="M106" s="102"/>
      <c r="N106" s="102"/>
      <c r="O106" s="672"/>
      <c r="Q106" s="17" t="s">
        <v>628</v>
      </c>
      <c r="R106" s="671">
        <f>SUM('Coûts de product° Agricole'!H54)/1000</f>
        <v>5</v>
      </c>
      <c r="S106" s="101"/>
      <c r="T106" s="102"/>
      <c r="U106" s="102"/>
      <c r="V106" s="672"/>
      <c r="X106" s="17" t="s">
        <v>628</v>
      </c>
      <c r="Y106" s="671">
        <f>SUM('Coûts de product° Agricole'!H72)/1000</f>
        <v>1</v>
      </c>
      <c r="Z106" s="101"/>
      <c r="AA106" s="102"/>
      <c r="AB106" s="102"/>
      <c r="AC106" s="672"/>
      <c r="AE106" s="17" t="s">
        <v>628</v>
      </c>
      <c r="AF106" s="671">
        <f>SUM('Coûts de product° Agricole'!H92)/1000</f>
        <v>12</v>
      </c>
      <c r="AG106" s="101"/>
      <c r="AH106" s="102"/>
      <c r="AI106" s="102"/>
      <c r="AJ106" s="672"/>
      <c r="AL106" s="17" t="s">
        <v>628</v>
      </c>
      <c r="AM106" s="671">
        <f>SUM('Coûts de product° Agricole'!H110)/1000</f>
        <v>2.9282000000000004</v>
      </c>
      <c r="AN106" s="101"/>
      <c r="AO106" s="102"/>
      <c r="AP106" s="102"/>
      <c r="AQ106" s="672"/>
      <c r="AS106" s="17" t="s">
        <v>628</v>
      </c>
      <c r="AT106" s="671">
        <f>SUM('Coûts de product° Agricole'!H128)/1000</f>
        <v>24.310124999999999</v>
      </c>
      <c r="AU106" s="101"/>
      <c r="AV106" s="102"/>
      <c r="AW106" s="102"/>
      <c r="AX106" s="672"/>
      <c r="AZ106" s="17" t="s">
        <v>628</v>
      </c>
      <c r="BA106" s="671">
        <f>SUM('Coûts de product° Agricole'!H146)/1000</f>
        <v>18.232593749999999</v>
      </c>
      <c r="BB106" s="101"/>
      <c r="BC106" s="102"/>
      <c r="BD106" s="102"/>
      <c r="BE106" s="672"/>
      <c r="BG106" s="17" t="s">
        <v>628</v>
      </c>
      <c r="BH106" s="671">
        <f>SUM('Coûts de product° Agricole'!H164)/1000</f>
        <v>30.387656249999999</v>
      </c>
      <c r="BI106" s="101"/>
      <c r="BJ106" s="102"/>
      <c r="BK106" s="102"/>
      <c r="BL106" s="672"/>
      <c r="BN106" s="17" t="s">
        <v>628</v>
      </c>
      <c r="BO106" s="671">
        <f>SUM('Coûts de product° Agricole'!H182)/1000</f>
        <v>24.310124999999999</v>
      </c>
      <c r="BP106" s="101"/>
      <c r="BQ106" s="102"/>
      <c r="BR106" s="102"/>
      <c r="BS106" s="672"/>
      <c r="BU106" s="17" t="s">
        <v>628</v>
      </c>
      <c r="BV106" s="671">
        <f>SUM('Coûts de product° Agricole'!H200)/1000</f>
        <v>29.282000000000011</v>
      </c>
      <c r="BW106" s="101"/>
      <c r="BX106" s="102"/>
      <c r="BY106" s="102"/>
      <c r="BZ106" s="672"/>
      <c r="CB106" s="17" t="s">
        <v>740</v>
      </c>
      <c r="CC106" s="671">
        <v>500</v>
      </c>
      <c r="CD106" s="101"/>
      <c r="CE106" s="102"/>
      <c r="CF106" s="102"/>
      <c r="CG106" s="672"/>
      <c r="CI106" s="17" t="s">
        <v>740</v>
      </c>
      <c r="CJ106" s="671">
        <v>2000</v>
      </c>
      <c r="CK106" s="101"/>
      <c r="CL106" s="102"/>
      <c r="CM106" s="102"/>
      <c r="CN106" s="672"/>
    </row>
    <row r="107" spans="3:92" x14ac:dyDescent="0.2">
      <c r="C107" s="11" t="s">
        <v>629</v>
      </c>
      <c r="D107" s="655">
        <v>20</v>
      </c>
      <c r="E107" s="22">
        <f>SUM(E101)*2/3</f>
        <v>0</v>
      </c>
      <c r="F107" s="23"/>
      <c r="G107" s="22">
        <f>SUM(G101)*2/3</f>
        <v>0</v>
      </c>
      <c r="H107" s="38"/>
      <c r="J107" s="11" t="s">
        <v>629</v>
      </c>
      <c r="K107" s="655">
        <v>10</v>
      </c>
      <c r="L107" s="22">
        <f>SUM(L101)*2/3</f>
        <v>0</v>
      </c>
      <c r="M107" s="23"/>
      <c r="N107" s="22">
        <f>SUM(N101)*2/3</f>
        <v>0</v>
      </c>
      <c r="O107" s="38"/>
      <c r="Q107" s="11" t="s">
        <v>629</v>
      </c>
      <c r="R107" s="655">
        <v>20</v>
      </c>
      <c r="S107" s="22">
        <f>SUM(S101)*2/3</f>
        <v>0</v>
      </c>
      <c r="T107" s="23"/>
      <c r="U107" s="22">
        <f>SUM(U101)*2/3</f>
        <v>0</v>
      </c>
      <c r="V107" s="38"/>
      <c r="X107" s="11" t="s">
        <v>629</v>
      </c>
      <c r="Y107" s="655">
        <v>10</v>
      </c>
      <c r="Z107" s="22">
        <f>SUM(Z101)*2/3</f>
        <v>0</v>
      </c>
      <c r="AA107" s="23"/>
      <c r="AB107" s="22">
        <f>SUM(AB101)*2/3</f>
        <v>0</v>
      </c>
      <c r="AC107" s="38"/>
      <c r="AE107" s="11" t="s">
        <v>629</v>
      </c>
      <c r="AF107" s="655">
        <v>5</v>
      </c>
      <c r="AG107" s="22">
        <f>SUM(AG101)*2/3</f>
        <v>0</v>
      </c>
      <c r="AH107" s="23"/>
      <c r="AI107" s="22">
        <f>SUM(AI101)*2/3</f>
        <v>0</v>
      </c>
      <c r="AJ107" s="38"/>
      <c r="AL107" s="11" t="s">
        <v>629</v>
      </c>
      <c r="AM107" s="655">
        <v>10</v>
      </c>
      <c r="AN107" s="22">
        <f>SUM(AN101)*2/3</f>
        <v>0</v>
      </c>
      <c r="AO107" s="23"/>
      <c r="AP107" s="22">
        <f>SUM(AP101)*2/3</f>
        <v>0</v>
      </c>
      <c r="AQ107" s="38"/>
      <c r="AS107" s="11" t="s">
        <v>629</v>
      </c>
      <c r="AT107" s="655">
        <v>10</v>
      </c>
      <c r="AU107" s="22">
        <f>SUM(AU101)*2/3</f>
        <v>0</v>
      </c>
      <c r="AV107" s="23"/>
      <c r="AW107" s="22">
        <f>SUM(AW101)*2/3</f>
        <v>0</v>
      </c>
      <c r="AX107" s="38"/>
      <c r="AZ107" s="11" t="s">
        <v>629</v>
      </c>
      <c r="BA107" s="655">
        <v>5</v>
      </c>
      <c r="BB107" s="22">
        <f>SUM(BB101)*2/3</f>
        <v>0</v>
      </c>
      <c r="BC107" s="23"/>
      <c r="BD107" s="22">
        <f>SUM(BD101)*2/3</f>
        <v>0</v>
      </c>
      <c r="BE107" s="38"/>
      <c r="BG107" s="11" t="s">
        <v>629</v>
      </c>
      <c r="BH107" s="655">
        <v>10</v>
      </c>
      <c r="BI107" s="22">
        <f>SUM(BI101)*2/3</f>
        <v>0</v>
      </c>
      <c r="BJ107" s="23"/>
      <c r="BK107" s="22">
        <f>SUM(BK101)*2/3</f>
        <v>0</v>
      </c>
      <c r="BL107" s="38"/>
      <c r="BN107" s="11" t="s">
        <v>629</v>
      </c>
      <c r="BO107" s="655">
        <v>5</v>
      </c>
      <c r="BP107" s="22">
        <f>SUM(BP101)*2/3</f>
        <v>0</v>
      </c>
      <c r="BQ107" s="23"/>
      <c r="BR107" s="22">
        <f>SUM(BR101)*2/3</f>
        <v>0</v>
      </c>
      <c r="BS107" s="38"/>
      <c r="BU107" s="11" t="s">
        <v>629</v>
      </c>
      <c r="BV107" s="655">
        <v>10</v>
      </c>
      <c r="BW107" s="22">
        <f>SUM(BW101)*2/3</f>
        <v>0</v>
      </c>
      <c r="BX107" s="23"/>
      <c r="BY107" s="22">
        <f>SUM(BY101)*2/3</f>
        <v>0</v>
      </c>
      <c r="BZ107" s="38"/>
      <c r="CB107" s="11" t="s">
        <v>629</v>
      </c>
      <c r="CC107" s="655">
        <v>5</v>
      </c>
      <c r="CD107" s="22">
        <f>SUM(CD101)*2/3</f>
        <v>0</v>
      </c>
      <c r="CE107" s="23"/>
      <c r="CF107" s="22">
        <f>SUM(CF101)*2/3</f>
        <v>0</v>
      </c>
      <c r="CG107" s="38"/>
      <c r="CI107" s="11" t="s">
        <v>629</v>
      </c>
      <c r="CJ107" s="655">
        <v>5</v>
      </c>
      <c r="CK107" s="22">
        <f>SUM(CK101)*2/3</f>
        <v>0</v>
      </c>
      <c r="CL107" s="23"/>
      <c r="CM107" s="22">
        <f>SUM(CM101)*2/3</f>
        <v>0</v>
      </c>
      <c r="CN107" s="38"/>
    </row>
    <row r="108" spans="3:92" x14ac:dyDescent="0.2">
      <c r="C108" s="7"/>
      <c r="D108" s="656"/>
      <c r="E108" s="24"/>
      <c r="F108" s="24"/>
      <c r="G108" s="24"/>
      <c r="H108" s="14"/>
      <c r="J108" s="7"/>
      <c r="K108" s="656"/>
      <c r="L108" s="24"/>
      <c r="M108" s="24"/>
      <c r="N108" s="24"/>
      <c r="O108" s="14"/>
      <c r="Q108" s="7"/>
      <c r="R108" s="656"/>
      <c r="S108" s="24"/>
      <c r="T108" s="24"/>
      <c r="U108" s="24"/>
      <c r="V108" s="14"/>
      <c r="X108" s="7"/>
      <c r="Y108" s="656"/>
      <c r="Z108" s="24"/>
      <c r="AA108" s="24"/>
      <c r="AB108" s="24"/>
      <c r="AC108" s="14"/>
      <c r="AE108" s="7"/>
      <c r="AF108" s="656"/>
      <c r="AG108" s="24"/>
      <c r="AH108" s="24"/>
      <c r="AI108" s="24"/>
      <c r="AJ108" s="14"/>
      <c r="AL108" s="7"/>
      <c r="AM108" s="656"/>
      <c r="AN108" s="24"/>
      <c r="AO108" s="24"/>
      <c r="AP108" s="24"/>
      <c r="AQ108" s="14"/>
      <c r="AS108" s="7"/>
      <c r="AT108" s="656"/>
      <c r="AU108" s="24"/>
      <c r="AV108" s="24"/>
      <c r="AW108" s="24"/>
      <c r="AX108" s="14"/>
      <c r="AZ108" s="7"/>
      <c r="BA108" s="656"/>
      <c r="BB108" s="24"/>
      <c r="BC108" s="24"/>
      <c r="BD108" s="24"/>
      <c r="BE108" s="14"/>
      <c r="BG108" s="7"/>
      <c r="BH108" s="656"/>
      <c r="BI108" s="24"/>
      <c r="BJ108" s="24"/>
      <c r="BK108" s="24"/>
      <c r="BL108" s="14"/>
      <c r="BN108" s="7"/>
      <c r="BO108" s="656"/>
      <c r="BP108" s="24"/>
      <c r="BQ108" s="24"/>
      <c r="BR108" s="24"/>
      <c r="BS108" s="14"/>
      <c r="BU108" s="7"/>
      <c r="BV108" s="656"/>
      <c r="BW108" s="24"/>
      <c r="BX108" s="24"/>
      <c r="BY108" s="24"/>
      <c r="BZ108" s="14"/>
      <c r="CB108" s="7"/>
      <c r="CC108" s="656"/>
      <c r="CD108" s="24"/>
      <c r="CE108" s="24"/>
      <c r="CF108" s="24"/>
      <c r="CG108" s="14"/>
      <c r="CI108" s="7"/>
      <c r="CJ108" s="656"/>
      <c r="CK108" s="24"/>
      <c r="CL108" s="24"/>
      <c r="CM108" s="24"/>
      <c r="CN108" s="14"/>
    </row>
    <row r="109" spans="3:92" x14ac:dyDescent="0.2">
      <c r="C109" s="15"/>
      <c r="D109" s="655"/>
      <c r="E109" s="22"/>
      <c r="F109" s="23"/>
      <c r="G109" s="22"/>
      <c r="H109" s="14"/>
      <c r="J109" s="15"/>
      <c r="K109" s="655"/>
      <c r="L109" s="22"/>
      <c r="M109" s="23"/>
      <c r="N109" s="22"/>
      <c r="O109" s="14"/>
      <c r="Q109" s="15"/>
      <c r="R109" s="655"/>
      <c r="S109" s="22"/>
      <c r="T109" s="23"/>
      <c r="U109" s="22"/>
      <c r="V109" s="14"/>
      <c r="X109" s="15"/>
      <c r="Y109" s="655"/>
      <c r="Z109" s="22"/>
      <c r="AA109" s="23"/>
      <c r="AB109" s="22"/>
      <c r="AC109" s="14"/>
      <c r="AE109" s="15"/>
      <c r="AF109" s="655"/>
      <c r="AG109" s="22"/>
      <c r="AH109" s="23"/>
      <c r="AI109" s="22"/>
      <c r="AJ109" s="14"/>
      <c r="AL109" s="15"/>
      <c r="AM109" s="655"/>
      <c r="AN109" s="22"/>
      <c r="AO109" s="23"/>
      <c r="AP109" s="22"/>
      <c r="AQ109" s="14"/>
      <c r="AS109" s="15"/>
      <c r="AT109" s="655"/>
      <c r="AU109" s="22"/>
      <c r="AV109" s="23"/>
      <c r="AW109" s="22"/>
      <c r="AX109" s="14"/>
      <c r="AZ109" s="15"/>
      <c r="BA109" s="655"/>
      <c r="BB109" s="22"/>
      <c r="BC109" s="23"/>
      <c r="BD109" s="22"/>
      <c r="BE109" s="14"/>
      <c r="BG109" s="15"/>
      <c r="BH109" s="655"/>
      <c r="BI109" s="22"/>
      <c r="BJ109" s="23"/>
      <c r="BK109" s="22"/>
      <c r="BL109" s="14"/>
      <c r="BN109" s="15"/>
      <c r="BO109" s="655"/>
      <c r="BP109" s="22"/>
      <c r="BQ109" s="23"/>
      <c r="BR109" s="22"/>
      <c r="BS109" s="14"/>
      <c r="BU109" s="15"/>
      <c r="BV109" s="655"/>
      <c r="BW109" s="22"/>
      <c r="BX109" s="23"/>
      <c r="BY109" s="22"/>
      <c r="BZ109" s="14"/>
      <c r="CB109" s="15"/>
      <c r="CC109" s="655"/>
      <c r="CD109" s="22"/>
      <c r="CE109" s="23"/>
      <c r="CF109" s="22"/>
      <c r="CG109" s="14"/>
      <c r="CI109" s="15"/>
      <c r="CJ109" s="655"/>
      <c r="CK109" s="22"/>
      <c r="CL109" s="23"/>
      <c r="CM109" s="22"/>
      <c r="CN109" s="14"/>
    </row>
    <row r="110" spans="3:92" x14ac:dyDescent="0.2">
      <c r="C110" s="12"/>
      <c r="D110" s="657"/>
      <c r="E110" s="28"/>
      <c r="F110" s="29"/>
      <c r="G110" s="28"/>
      <c r="H110" s="14"/>
      <c r="J110" s="12"/>
      <c r="K110" s="657"/>
      <c r="L110" s="28"/>
      <c r="M110" s="29"/>
      <c r="N110" s="28"/>
      <c r="O110" s="14"/>
      <c r="Q110" s="12"/>
      <c r="R110" s="657"/>
      <c r="S110" s="28"/>
      <c r="T110" s="29"/>
      <c r="U110" s="28"/>
      <c r="V110" s="14"/>
      <c r="X110" s="12"/>
      <c r="Y110" s="657"/>
      <c r="Z110" s="28"/>
      <c r="AA110" s="29"/>
      <c r="AB110" s="28"/>
      <c r="AC110" s="14"/>
      <c r="AE110" s="12"/>
      <c r="AF110" s="657"/>
      <c r="AG110" s="28"/>
      <c r="AH110" s="29"/>
      <c r="AI110" s="28"/>
      <c r="AJ110" s="14"/>
      <c r="AL110" s="12"/>
      <c r="AM110" s="657"/>
      <c r="AN110" s="28"/>
      <c r="AO110" s="29"/>
      <c r="AP110" s="28"/>
      <c r="AQ110" s="14"/>
      <c r="AS110" s="12"/>
      <c r="AT110" s="657"/>
      <c r="AU110" s="28"/>
      <c r="AV110" s="29"/>
      <c r="AW110" s="28"/>
      <c r="AX110" s="14"/>
      <c r="AZ110" s="12"/>
      <c r="BA110" s="657"/>
      <c r="BB110" s="28"/>
      <c r="BC110" s="29"/>
      <c r="BD110" s="28"/>
      <c r="BE110" s="14"/>
      <c r="BG110" s="12"/>
      <c r="BH110" s="657"/>
      <c r="BI110" s="28"/>
      <c r="BJ110" s="29"/>
      <c r="BK110" s="28"/>
      <c r="BL110" s="14"/>
      <c r="BN110" s="12"/>
      <c r="BO110" s="657"/>
      <c r="BP110" s="28"/>
      <c r="BQ110" s="29"/>
      <c r="BR110" s="28"/>
      <c r="BS110" s="14"/>
      <c r="BU110" s="12"/>
      <c r="BV110" s="657"/>
      <c r="BW110" s="28"/>
      <c r="BX110" s="29"/>
      <c r="BY110" s="28"/>
      <c r="BZ110" s="14"/>
      <c r="CB110" s="12"/>
      <c r="CC110" s="657"/>
      <c r="CD110" s="28"/>
      <c r="CE110" s="29"/>
      <c r="CF110" s="28"/>
      <c r="CG110" s="14"/>
      <c r="CI110" s="12"/>
      <c r="CJ110" s="657"/>
      <c r="CK110" s="28"/>
      <c r="CL110" s="29"/>
      <c r="CM110" s="28"/>
      <c r="CN110" s="14"/>
    </row>
    <row r="111" spans="3:92" x14ac:dyDescent="0.2">
      <c r="C111" s="7"/>
      <c r="D111" s="656"/>
      <c r="E111" s="26"/>
      <c r="F111" s="27"/>
      <c r="G111" s="27"/>
      <c r="H111" s="14"/>
      <c r="J111" s="7"/>
      <c r="K111" s="656"/>
      <c r="L111" s="26"/>
      <c r="M111" s="27"/>
      <c r="N111" s="27"/>
      <c r="O111" s="14"/>
      <c r="Q111" s="7"/>
      <c r="R111" s="656"/>
      <c r="S111" s="26"/>
      <c r="T111" s="27"/>
      <c r="U111" s="27"/>
      <c r="V111" s="14"/>
      <c r="X111" s="7"/>
      <c r="Y111" s="656"/>
      <c r="Z111" s="26"/>
      <c r="AA111" s="27"/>
      <c r="AB111" s="27"/>
      <c r="AC111" s="14"/>
      <c r="AE111" s="7"/>
      <c r="AF111" s="656"/>
      <c r="AG111" s="26"/>
      <c r="AH111" s="27"/>
      <c r="AI111" s="27"/>
      <c r="AJ111" s="14"/>
      <c r="AL111" s="7"/>
      <c r="AM111" s="656"/>
      <c r="AN111" s="26"/>
      <c r="AO111" s="27"/>
      <c r="AP111" s="27"/>
      <c r="AQ111" s="14"/>
      <c r="AS111" s="7"/>
      <c r="AT111" s="656"/>
      <c r="AU111" s="26"/>
      <c r="AV111" s="27"/>
      <c r="AW111" s="27"/>
      <c r="AX111" s="14"/>
      <c r="AZ111" s="7"/>
      <c r="BA111" s="656"/>
      <c r="BB111" s="26"/>
      <c r="BC111" s="27"/>
      <c r="BD111" s="27"/>
      <c r="BE111" s="14"/>
      <c r="BG111" s="7"/>
      <c r="BH111" s="656"/>
      <c r="BI111" s="26"/>
      <c r="BJ111" s="27"/>
      <c r="BK111" s="27"/>
      <c r="BL111" s="14"/>
      <c r="BN111" s="7"/>
      <c r="BO111" s="656"/>
      <c r="BP111" s="26"/>
      <c r="BQ111" s="27"/>
      <c r="BR111" s="27"/>
      <c r="BS111" s="14"/>
      <c r="BU111" s="7"/>
      <c r="BV111" s="656"/>
      <c r="BW111" s="26"/>
      <c r="BX111" s="27"/>
      <c r="BY111" s="27"/>
      <c r="BZ111" s="14"/>
      <c r="CB111" s="7"/>
      <c r="CC111" s="656"/>
      <c r="CD111" s="26"/>
      <c r="CE111" s="27"/>
      <c r="CF111" s="27"/>
      <c r="CG111" s="14"/>
      <c r="CI111" s="7"/>
      <c r="CJ111" s="656"/>
      <c r="CK111" s="26"/>
      <c r="CL111" s="27"/>
      <c r="CM111" s="27"/>
      <c r="CN111" s="14"/>
    </row>
    <row r="112" spans="3:92" x14ac:dyDescent="0.2">
      <c r="C112" s="17" t="s">
        <v>732</v>
      </c>
      <c r="D112" s="656"/>
      <c r="E112" s="26"/>
      <c r="F112" s="27"/>
      <c r="G112" s="27"/>
      <c r="H112" s="14"/>
      <c r="J112" s="17" t="s">
        <v>732</v>
      </c>
      <c r="K112" s="656"/>
      <c r="L112" s="26"/>
      <c r="M112" s="27"/>
      <c r="N112" s="27"/>
      <c r="O112" s="14"/>
      <c r="Q112" s="17" t="s">
        <v>732</v>
      </c>
      <c r="R112" s="656"/>
      <c r="S112" s="26"/>
      <c r="T112" s="27"/>
      <c r="U112" s="27"/>
      <c r="V112" s="14"/>
      <c r="X112" s="17" t="s">
        <v>732</v>
      </c>
      <c r="Y112" s="656"/>
      <c r="Z112" s="26"/>
      <c r="AA112" s="27"/>
      <c r="AB112" s="27"/>
      <c r="AC112" s="14"/>
      <c r="AE112" s="17" t="s">
        <v>732</v>
      </c>
      <c r="AF112" s="656"/>
      <c r="AG112" s="26"/>
      <c r="AH112" s="27"/>
      <c r="AI112" s="27"/>
      <c r="AJ112" s="14"/>
      <c r="AL112" s="17" t="s">
        <v>732</v>
      </c>
      <c r="AM112" s="656"/>
      <c r="AN112" s="26"/>
      <c r="AO112" s="27"/>
      <c r="AP112" s="27"/>
      <c r="AQ112" s="14"/>
      <c r="AS112" s="17" t="s">
        <v>732</v>
      </c>
      <c r="AT112" s="656"/>
      <c r="AU112" s="26"/>
      <c r="AV112" s="27"/>
      <c r="AW112" s="27"/>
      <c r="AX112" s="14"/>
      <c r="AZ112" s="17" t="s">
        <v>732</v>
      </c>
      <c r="BA112" s="656"/>
      <c r="BB112" s="26"/>
      <c r="BC112" s="27"/>
      <c r="BD112" s="27"/>
      <c r="BE112" s="14"/>
      <c r="BG112" s="17" t="s">
        <v>732</v>
      </c>
      <c r="BH112" s="656"/>
      <c r="BI112" s="26"/>
      <c r="BJ112" s="27"/>
      <c r="BK112" s="27"/>
      <c r="BL112" s="14"/>
      <c r="BN112" s="17" t="s">
        <v>732</v>
      </c>
      <c r="BO112" s="656"/>
      <c r="BP112" s="26"/>
      <c r="BQ112" s="27"/>
      <c r="BR112" s="27"/>
      <c r="BS112" s="14"/>
      <c r="BU112" s="17" t="s">
        <v>732</v>
      </c>
      <c r="BV112" s="656"/>
      <c r="BW112" s="26"/>
      <c r="BX112" s="27"/>
      <c r="BY112" s="27"/>
      <c r="BZ112" s="14"/>
      <c r="CB112" s="17" t="s">
        <v>732</v>
      </c>
      <c r="CC112" s="656"/>
      <c r="CD112" s="26"/>
      <c r="CE112" s="27"/>
      <c r="CF112" s="27"/>
      <c r="CG112" s="14"/>
      <c r="CI112" s="17" t="s">
        <v>732</v>
      </c>
      <c r="CJ112" s="656"/>
      <c r="CK112" s="26"/>
      <c r="CL112" s="27"/>
      <c r="CM112" s="27"/>
      <c r="CN112" s="14"/>
    </row>
    <row r="113" spans="3:92" x14ac:dyDescent="0.2">
      <c r="C113" s="11" t="s">
        <v>630</v>
      </c>
      <c r="D113" s="655">
        <f>SUM(D101)*2</f>
        <v>150</v>
      </c>
      <c r="E113" s="22">
        <f>SUM(E101)*1/3</f>
        <v>0</v>
      </c>
      <c r="F113" s="23">
        <v>0</v>
      </c>
      <c r="G113" s="23">
        <f>SUM(G101)*1/3</f>
        <v>0</v>
      </c>
      <c r="H113" s="38">
        <f>+SUM(D113:G113)</f>
        <v>150</v>
      </c>
      <c r="J113" s="11" t="s">
        <v>630</v>
      </c>
      <c r="K113" s="655">
        <f>SUM(K101)*2</f>
        <v>22</v>
      </c>
      <c r="L113" s="22">
        <f>SUM(L101)*1/3</f>
        <v>0</v>
      </c>
      <c r="M113" s="23">
        <v>0</v>
      </c>
      <c r="N113" s="23">
        <f>SUM(N101)*1/3</f>
        <v>0</v>
      </c>
      <c r="O113" s="38">
        <f>+SUM(K113:N113)</f>
        <v>22</v>
      </c>
      <c r="Q113" s="11" t="s">
        <v>630</v>
      </c>
      <c r="R113" s="655">
        <f>SUM(R101)*2</f>
        <v>200</v>
      </c>
      <c r="S113" s="22">
        <f>SUM(S101)*1/3</f>
        <v>0</v>
      </c>
      <c r="T113" s="23">
        <v>0</v>
      </c>
      <c r="U113" s="23">
        <f>SUM(U101)*1/3</f>
        <v>0</v>
      </c>
      <c r="V113" s="38">
        <f>+SUM(R113:U113)</f>
        <v>200</v>
      </c>
      <c r="X113" s="11" t="s">
        <v>630</v>
      </c>
      <c r="Y113" s="655">
        <f>SUM(Y101)*2</f>
        <v>20</v>
      </c>
      <c r="Z113" s="22">
        <f>SUM(Z101)*1/3</f>
        <v>0</v>
      </c>
      <c r="AA113" s="23">
        <v>0</v>
      </c>
      <c r="AB113" s="23">
        <f>SUM(AB101)*1/3</f>
        <v>0</v>
      </c>
      <c r="AC113" s="38">
        <f>+SUM(Y113:AB113)</f>
        <v>20</v>
      </c>
      <c r="AE113" s="11" t="s">
        <v>630</v>
      </c>
      <c r="AF113" s="655">
        <f>SUM(AF101)*2</f>
        <v>120</v>
      </c>
      <c r="AG113" s="22">
        <f>SUM(AG101)*1/3</f>
        <v>0</v>
      </c>
      <c r="AH113" s="23">
        <v>0</v>
      </c>
      <c r="AI113" s="23">
        <f>SUM(AI101)*1/3</f>
        <v>0</v>
      </c>
      <c r="AJ113" s="38">
        <f>+SUM(AF113:AI113)</f>
        <v>120</v>
      </c>
      <c r="AL113" s="11" t="s">
        <v>630</v>
      </c>
      <c r="AM113" s="655">
        <f>SUM(AM101)*2</f>
        <v>58.564000000000007</v>
      </c>
      <c r="AN113" s="22">
        <f>SUM(AN101)*1/3</f>
        <v>0</v>
      </c>
      <c r="AO113" s="23">
        <v>0</v>
      </c>
      <c r="AP113" s="23">
        <f>SUM(AP101)*1/3</f>
        <v>0</v>
      </c>
      <c r="AQ113" s="38">
        <f>+SUM(AM113:AP113)</f>
        <v>58.564000000000007</v>
      </c>
      <c r="AS113" s="11" t="s">
        <v>630</v>
      </c>
      <c r="AT113" s="655">
        <f>SUM(AT101)</f>
        <v>243.10124999999999</v>
      </c>
      <c r="AU113" s="22">
        <f>SUM(AU101)*1/3</f>
        <v>0</v>
      </c>
      <c r="AV113" s="23">
        <v>0</v>
      </c>
      <c r="AW113" s="23">
        <f>SUM(AW101)*1/3</f>
        <v>0</v>
      </c>
      <c r="AX113" s="38">
        <f>+SUM(AT113:AW113)</f>
        <v>243.10124999999999</v>
      </c>
      <c r="AZ113" s="11" t="s">
        <v>630</v>
      </c>
      <c r="BA113" s="655">
        <f>SUM(BA101)</f>
        <v>91.162968750000005</v>
      </c>
      <c r="BB113" s="22">
        <f>SUM(BB101)*1/3</f>
        <v>0</v>
      </c>
      <c r="BC113" s="23">
        <v>0</v>
      </c>
      <c r="BD113" s="23">
        <f>SUM(BD101)*1/3</f>
        <v>0</v>
      </c>
      <c r="BE113" s="38">
        <f>+SUM(BA113:BD113)</f>
        <v>91.162968750000005</v>
      </c>
      <c r="BG113" s="11" t="s">
        <v>630</v>
      </c>
      <c r="BH113" s="655">
        <f>SUM(BH101)</f>
        <v>303.87656249999998</v>
      </c>
      <c r="BI113" s="22">
        <f>SUM(BI101)*1/3</f>
        <v>0</v>
      </c>
      <c r="BJ113" s="23">
        <v>0</v>
      </c>
      <c r="BK113" s="23">
        <f>SUM(BK101)*1/3</f>
        <v>0</v>
      </c>
      <c r="BL113" s="38">
        <f>+SUM(BH113:BK113)</f>
        <v>303.87656249999998</v>
      </c>
      <c r="BN113" s="11" t="s">
        <v>630</v>
      </c>
      <c r="BO113" s="655">
        <f>SUM(BO101)</f>
        <v>121.550625</v>
      </c>
      <c r="BP113" s="22">
        <f>SUM(BP101)*1/3</f>
        <v>0</v>
      </c>
      <c r="BQ113" s="23">
        <v>0</v>
      </c>
      <c r="BR113" s="23">
        <f>SUM(BR101)*1/3</f>
        <v>0</v>
      </c>
      <c r="BS113" s="38">
        <f>+SUM(BO113:BR113)</f>
        <v>121.550625</v>
      </c>
      <c r="BU113" s="11" t="s">
        <v>630</v>
      </c>
      <c r="BV113" s="655">
        <f>SUM(BV101)</f>
        <v>292.82000000000011</v>
      </c>
      <c r="BW113" s="22">
        <f>SUM(BW101)*1/3</f>
        <v>0</v>
      </c>
      <c r="BX113" s="23">
        <v>0</v>
      </c>
      <c r="BY113" s="23">
        <f>SUM(BY101)*1/3</f>
        <v>0</v>
      </c>
      <c r="BZ113" s="38">
        <f>+SUM(BV113:BY113)</f>
        <v>292.82000000000011</v>
      </c>
      <c r="CB113" s="11" t="s">
        <v>630</v>
      </c>
      <c r="CC113" s="655"/>
      <c r="CD113" s="22">
        <f>SUM(CD101)*1/3</f>
        <v>0</v>
      </c>
      <c r="CE113" s="23">
        <v>0</v>
      </c>
      <c r="CF113" s="23">
        <f>SUM(CF101)*1/3</f>
        <v>0</v>
      </c>
      <c r="CG113" s="38">
        <f>+SUM(CC113:CF113)</f>
        <v>0</v>
      </c>
      <c r="CI113" s="11" t="s">
        <v>630</v>
      </c>
      <c r="CJ113" s="655"/>
      <c r="CK113" s="22">
        <f>SUM(CK101)*1/3</f>
        <v>0</v>
      </c>
      <c r="CL113" s="23">
        <v>0</v>
      </c>
      <c r="CM113" s="23">
        <f>SUM(CM101)*1/3</f>
        <v>0</v>
      </c>
      <c r="CN113" s="38">
        <f>+SUM(CJ113:CM113)</f>
        <v>0</v>
      </c>
    </row>
    <row r="114" spans="3:92" x14ac:dyDescent="0.2">
      <c r="C114" s="7" t="s">
        <v>19</v>
      </c>
      <c r="D114" s="656">
        <f>SUM(D91)</f>
        <v>25000</v>
      </c>
      <c r="E114" s="24">
        <f>+D114</f>
        <v>25000</v>
      </c>
      <c r="F114" s="24">
        <f>+E114</f>
        <v>25000</v>
      </c>
      <c r="G114" s="24">
        <f>+F114</f>
        <v>25000</v>
      </c>
      <c r="H114" s="14"/>
      <c r="J114" s="7" t="s">
        <v>19</v>
      </c>
      <c r="K114" s="656">
        <f>SUM(K91)</f>
        <v>25000</v>
      </c>
      <c r="L114" s="24">
        <f>+K114</f>
        <v>25000</v>
      </c>
      <c r="M114" s="24">
        <f>+L114</f>
        <v>25000</v>
      </c>
      <c r="N114" s="24">
        <f>+M114</f>
        <v>25000</v>
      </c>
      <c r="O114" s="14"/>
      <c r="Q114" s="7" t="s">
        <v>19</v>
      </c>
      <c r="R114" s="656">
        <f>SUM(R91)</f>
        <v>25000</v>
      </c>
      <c r="S114" s="24">
        <f>+R114</f>
        <v>25000</v>
      </c>
      <c r="T114" s="24">
        <f>+S114</f>
        <v>25000</v>
      </c>
      <c r="U114" s="24">
        <f>+T114</f>
        <v>25000</v>
      </c>
      <c r="V114" s="14"/>
      <c r="X114" s="7" t="s">
        <v>19</v>
      </c>
      <c r="Y114" s="656">
        <f>SUM(Y91)</f>
        <v>25000</v>
      </c>
      <c r="Z114" s="24">
        <f>+Y114</f>
        <v>25000</v>
      </c>
      <c r="AA114" s="24">
        <f>+Z114</f>
        <v>25000</v>
      </c>
      <c r="AB114" s="24">
        <f>+AA114</f>
        <v>25000</v>
      </c>
      <c r="AC114" s="14"/>
      <c r="AE114" s="7" t="s">
        <v>19</v>
      </c>
      <c r="AF114" s="656">
        <f>SUM(AF91)</f>
        <v>25000</v>
      </c>
      <c r="AG114" s="24">
        <f>+AF114</f>
        <v>25000</v>
      </c>
      <c r="AH114" s="24">
        <f>+AG114</f>
        <v>25000</v>
      </c>
      <c r="AI114" s="24">
        <f>+AH114</f>
        <v>25000</v>
      </c>
      <c r="AJ114" s="14"/>
      <c r="AL114" s="7" t="s">
        <v>19</v>
      </c>
      <c r="AM114" s="656">
        <f>SUM(AM91)</f>
        <v>25000</v>
      </c>
      <c r="AN114" s="24">
        <f>+AM114</f>
        <v>25000</v>
      </c>
      <c r="AO114" s="24">
        <f>+AN114</f>
        <v>25000</v>
      </c>
      <c r="AP114" s="24">
        <f>+AO114</f>
        <v>25000</v>
      </c>
      <c r="AQ114" s="14"/>
      <c r="AS114" s="7" t="s">
        <v>19</v>
      </c>
      <c r="AT114" s="656">
        <f>SUM(AT91)</f>
        <v>2000</v>
      </c>
      <c r="AU114" s="24">
        <f>+AT114</f>
        <v>2000</v>
      </c>
      <c r="AV114" s="24">
        <f>+AU114</f>
        <v>2000</v>
      </c>
      <c r="AW114" s="24">
        <f>+AV114</f>
        <v>2000</v>
      </c>
      <c r="AX114" s="14"/>
      <c r="AZ114" s="7" t="s">
        <v>19</v>
      </c>
      <c r="BA114" s="656">
        <f>SUM(BA91)</f>
        <v>2000</v>
      </c>
      <c r="BB114" s="24">
        <f>+BA114</f>
        <v>2000</v>
      </c>
      <c r="BC114" s="24">
        <f>+BB114</f>
        <v>2000</v>
      </c>
      <c r="BD114" s="24">
        <f>+BC114</f>
        <v>2000</v>
      </c>
      <c r="BE114" s="14"/>
      <c r="BG114" s="7" t="s">
        <v>19</v>
      </c>
      <c r="BH114" s="656">
        <f>SUM(BH91)</f>
        <v>2000</v>
      </c>
      <c r="BI114" s="24">
        <f>+BH114</f>
        <v>2000</v>
      </c>
      <c r="BJ114" s="24">
        <f>+BI114</f>
        <v>2000</v>
      </c>
      <c r="BK114" s="24">
        <f>+BJ114</f>
        <v>2000</v>
      </c>
      <c r="BL114" s="14"/>
      <c r="BN114" s="7" t="s">
        <v>19</v>
      </c>
      <c r="BO114" s="656">
        <f>SUM(BO91)</f>
        <v>2000</v>
      </c>
      <c r="BP114" s="24">
        <f>+BO114</f>
        <v>2000</v>
      </c>
      <c r="BQ114" s="24">
        <f>+BP114</f>
        <v>2000</v>
      </c>
      <c r="BR114" s="24">
        <f>+BQ114</f>
        <v>2000</v>
      </c>
      <c r="BS114" s="14"/>
      <c r="BU114" s="7" t="s">
        <v>19</v>
      </c>
      <c r="BV114" s="656">
        <f>SUM(BV91)</f>
        <v>2000</v>
      </c>
      <c r="BW114" s="24">
        <f>+BV114</f>
        <v>2000</v>
      </c>
      <c r="BX114" s="24">
        <f>+BW114</f>
        <v>2000</v>
      </c>
      <c r="BY114" s="24">
        <f>+BX114</f>
        <v>2000</v>
      </c>
      <c r="BZ114" s="14"/>
      <c r="CB114" s="7" t="s">
        <v>19</v>
      </c>
      <c r="CC114" s="656">
        <f>SUM(CC91)</f>
        <v>2000</v>
      </c>
      <c r="CD114" s="24">
        <f>+CC114</f>
        <v>2000</v>
      </c>
      <c r="CE114" s="24">
        <f>+CD114</f>
        <v>2000</v>
      </c>
      <c r="CF114" s="24">
        <f>+CE114</f>
        <v>2000</v>
      </c>
      <c r="CG114" s="14"/>
      <c r="CI114" s="7" t="s">
        <v>19</v>
      </c>
      <c r="CJ114" s="656">
        <f>SUM(CJ91)</f>
        <v>2000</v>
      </c>
      <c r="CK114" s="24">
        <f>+CJ114</f>
        <v>2000</v>
      </c>
      <c r="CL114" s="24">
        <f>+CK114</f>
        <v>2000</v>
      </c>
      <c r="CM114" s="24">
        <f>+CL114</f>
        <v>2000</v>
      </c>
      <c r="CN114" s="14"/>
    </row>
    <row r="115" spans="3:92" x14ac:dyDescent="0.2">
      <c r="C115" s="15" t="s">
        <v>7</v>
      </c>
      <c r="D115" s="655">
        <f>+D114*D113</f>
        <v>3750000</v>
      </c>
      <c r="E115" s="22">
        <f>+E114*E113</f>
        <v>0</v>
      </c>
      <c r="F115" s="23">
        <f>+F114*F113</f>
        <v>0</v>
      </c>
      <c r="G115" s="23">
        <f>+G114*G113</f>
        <v>0</v>
      </c>
      <c r="H115" s="14"/>
      <c r="J115" s="15" t="s">
        <v>7</v>
      </c>
      <c r="K115" s="655">
        <f>+K114*K113</f>
        <v>550000</v>
      </c>
      <c r="L115" s="22">
        <f>+L114*L113</f>
        <v>0</v>
      </c>
      <c r="M115" s="23">
        <f>+M114*M113</f>
        <v>0</v>
      </c>
      <c r="N115" s="23">
        <f>+N114*N113</f>
        <v>0</v>
      </c>
      <c r="O115" s="14"/>
      <c r="Q115" s="15" t="s">
        <v>7</v>
      </c>
      <c r="R115" s="655">
        <f>+R114*R113</f>
        <v>5000000</v>
      </c>
      <c r="S115" s="22">
        <f>+S114*S113</f>
        <v>0</v>
      </c>
      <c r="T115" s="23">
        <f>+T114*T113</f>
        <v>0</v>
      </c>
      <c r="U115" s="23">
        <f>+U114*U113</f>
        <v>0</v>
      </c>
      <c r="V115" s="14"/>
      <c r="X115" s="15" t="s">
        <v>7</v>
      </c>
      <c r="Y115" s="655">
        <f>+Y114*Y113</f>
        <v>500000</v>
      </c>
      <c r="Z115" s="22">
        <f>+Z114*Z113</f>
        <v>0</v>
      </c>
      <c r="AA115" s="23">
        <f>+AA114*AA113</f>
        <v>0</v>
      </c>
      <c r="AB115" s="23">
        <f>+AB114*AB113</f>
        <v>0</v>
      </c>
      <c r="AC115" s="14"/>
      <c r="AE115" s="15" t="s">
        <v>7</v>
      </c>
      <c r="AF115" s="655">
        <f>+AF114*AF113</f>
        <v>3000000</v>
      </c>
      <c r="AG115" s="22">
        <f>+AG114*AG113</f>
        <v>0</v>
      </c>
      <c r="AH115" s="23">
        <f>+AH114*AH113</f>
        <v>0</v>
      </c>
      <c r="AI115" s="23">
        <f>+AI114*AI113</f>
        <v>0</v>
      </c>
      <c r="AJ115" s="14"/>
      <c r="AL115" s="15" t="s">
        <v>7</v>
      </c>
      <c r="AM115" s="655">
        <f>+AM114*AM113</f>
        <v>1464100.0000000002</v>
      </c>
      <c r="AN115" s="22">
        <f>+AN114*AN113</f>
        <v>0</v>
      </c>
      <c r="AO115" s="23">
        <f>+AO114*AO113</f>
        <v>0</v>
      </c>
      <c r="AP115" s="23">
        <f>+AP114*AP113</f>
        <v>0</v>
      </c>
      <c r="AQ115" s="14"/>
      <c r="AS115" s="15" t="s">
        <v>7</v>
      </c>
      <c r="AT115" s="655">
        <f>+AT114*AT113</f>
        <v>486202.5</v>
      </c>
      <c r="AU115" s="22">
        <f>+AU114*AU113</f>
        <v>0</v>
      </c>
      <c r="AV115" s="23">
        <f>+AV114*AV113</f>
        <v>0</v>
      </c>
      <c r="AW115" s="23">
        <f>+AW114*AW113</f>
        <v>0</v>
      </c>
      <c r="AX115" s="14"/>
      <c r="AZ115" s="15" t="s">
        <v>7</v>
      </c>
      <c r="BA115" s="655">
        <f>+BA114*BA113</f>
        <v>182325.9375</v>
      </c>
      <c r="BB115" s="22">
        <f>+BB114*BB113</f>
        <v>0</v>
      </c>
      <c r="BC115" s="23">
        <f>+BC114*BC113</f>
        <v>0</v>
      </c>
      <c r="BD115" s="23">
        <f>+BD114*BD113</f>
        <v>0</v>
      </c>
      <c r="BE115" s="14"/>
      <c r="BG115" s="15" t="s">
        <v>7</v>
      </c>
      <c r="BH115" s="655">
        <f>+BH114*BH113</f>
        <v>607753.125</v>
      </c>
      <c r="BI115" s="22">
        <f>+BI114*BI113</f>
        <v>0</v>
      </c>
      <c r="BJ115" s="23">
        <f>+BJ114*BJ113</f>
        <v>0</v>
      </c>
      <c r="BK115" s="23">
        <f>+BK114*BK113</f>
        <v>0</v>
      </c>
      <c r="BL115" s="14"/>
      <c r="BN115" s="15" t="s">
        <v>7</v>
      </c>
      <c r="BO115" s="655">
        <f>+BO114*BO113</f>
        <v>243101.25</v>
      </c>
      <c r="BP115" s="22">
        <f>+BP114*BP113</f>
        <v>0</v>
      </c>
      <c r="BQ115" s="23">
        <f>+BQ114*BQ113</f>
        <v>0</v>
      </c>
      <c r="BR115" s="23">
        <f>+BR114*BR113</f>
        <v>0</v>
      </c>
      <c r="BS115" s="14"/>
      <c r="BU115" s="15" t="s">
        <v>7</v>
      </c>
      <c r="BV115" s="655">
        <f>+BV114*BV113</f>
        <v>585640.00000000023</v>
      </c>
      <c r="BW115" s="22">
        <f>+BW114*BW113</f>
        <v>0</v>
      </c>
      <c r="BX115" s="23">
        <f>+BX114*BX113</f>
        <v>0</v>
      </c>
      <c r="BY115" s="23">
        <f>+BY114*BY113</f>
        <v>0</v>
      </c>
      <c r="BZ115" s="14"/>
      <c r="CB115" s="15" t="s">
        <v>7</v>
      </c>
      <c r="CC115" s="655">
        <f>+CC114*CC113</f>
        <v>0</v>
      </c>
      <c r="CD115" s="22">
        <f>+CD114*CD113</f>
        <v>0</v>
      </c>
      <c r="CE115" s="23">
        <f>+CE114*CE113</f>
        <v>0</v>
      </c>
      <c r="CF115" s="23">
        <f>+CF114*CF113</f>
        <v>0</v>
      </c>
      <c r="CG115" s="14"/>
      <c r="CI115" s="15" t="s">
        <v>7</v>
      </c>
      <c r="CJ115" s="655">
        <f>+CJ114*CJ113</f>
        <v>0</v>
      </c>
      <c r="CK115" s="22">
        <f>+CK114*CK113</f>
        <v>0</v>
      </c>
      <c r="CL115" s="23">
        <f>+CL114*CL113</f>
        <v>0</v>
      </c>
      <c r="CM115" s="23">
        <f>+CM114*CM113</f>
        <v>0</v>
      </c>
      <c r="CN115" s="14"/>
    </row>
    <row r="116" spans="3:92" x14ac:dyDescent="0.2">
      <c r="C116" s="12" t="s">
        <v>8</v>
      </c>
      <c r="D116" s="656">
        <f>+D115</f>
        <v>3750000</v>
      </c>
      <c r="E116" s="24">
        <f>+D116+E115</f>
        <v>3750000</v>
      </c>
      <c r="F116" s="25">
        <f>+E116+F115</f>
        <v>3750000</v>
      </c>
      <c r="G116" s="25">
        <f>+F116+G115</f>
        <v>3750000</v>
      </c>
      <c r="H116" s="14"/>
      <c r="J116" s="12" t="s">
        <v>8</v>
      </c>
      <c r="K116" s="656">
        <f>+K115</f>
        <v>550000</v>
      </c>
      <c r="L116" s="24">
        <f>+K116+L115</f>
        <v>550000</v>
      </c>
      <c r="M116" s="25">
        <f>+L116+M115</f>
        <v>550000</v>
      </c>
      <c r="N116" s="25">
        <f>+M116+N115</f>
        <v>550000</v>
      </c>
      <c r="O116" s="14"/>
      <c r="Q116" s="12" t="s">
        <v>8</v>
      </c>
      <c r="R116" s="656">
        <f>+R115</f>
        <v>5000000</v>
      </c>
      <c r="S116" s="24">
        <f>+R116+S115</f>
        <v>5000000</v>
      </c>
      <c r="T116" s="25">
        <f>+S116+T115</f>
        <v>5000000</v>
      </c>
      <c r="U116" s="25">
        <f>+T116+U115</f>
        <v>5000000</v>
      </c>
      <c r="V116" s="14"/>
      <c r="X116" s="12" t="s">
        <v>8</v>
      </c>
      <c r="Y116" s="656">
        <f>+Y115</f>
        <v>500000</v>
      </c>
      <c r="Z116" s="24">
        <f>+Y116+Z115</f>
        <v>500000</v>
      </c>
      <c r="AA116" s="25">
        <f>+Z116+AA115</f>
        <v>500000</v>
      </c>
      <c r="AB116" s="25">
        <f>+AA116+AB115</f>
        <v>500000</v>
      </c>
      <c r="AC116" s="14"/>
      <c r="AE116" s="12" t="s">
        <v>8</v>
      </c>
      <c r="AF116" s="656">
        <f>+AF115</f>
        <v>3000000</v>
      </c>
      <c r="AG116" s="24">
        <f>+AF116+AG115</f>
        <v>3000000</v>
      </c>
      <c r="AH116" s="25">
        <f>+AG116+AH115</f>
        <v>3000000</v>
      </c>
      <c r="AI116" s="25">
        <f>+AH116+AI115</f>
        <v>3000000</v>
      </c>
      <c r="AJ116" s="14"/>
      <c r="AL116" s="12" t="s">
        <v>8</v>
      </c>
      <c r="AM116" s="656">
        <f>+AM115</f>
        <v>1464100.0000000002</v>
      </c>
      <c r="AN116" s="24">
        <f>+AM116+AN115</f>
        <v>1464100.0000000002</v>
      </c>
      <c r="AO116" s="25">
        <f>+AN116+AO115</f>
        <v>1464100.0000000002</v>
      </c>
      <c r="AP116" s="25">
        <f>+AO116+AP115</f>
        <v>1464100.0000000002</v>
      </c>
      <c r="AQ116" s="14"/>
      <c r="AS116" s="12" t="s">
        <v>8</v>
      </c>
      <c r="AT116" s="656">
        <f>+AT115</f>
        <v>486202.5</v>
      </c>
      <c r="AU116" s="24">
        <f>+AT116+AU115</f>
        <v>486202.5</v>
      </c>
      <c r="AV116" s="25">
        <f>+AU116+AV115</f>
        <v>486202.5</v>
      </c>
      <c r="AW116" s="25">
        <f>+AV116+AW115</f>
        <v>486202.5</v>
      </c>
      <c r="AX116" s="14"/>
      <c r="AZ116" s="12" t="s">
        <v>8</v>
      </c>
      <c r="BA116" s="656">
        <f>+BA115</f>
        <v>182325.9375</v>
      </c>
      <c r="BB116" s="24">
        <f>+BA116+BB115</f>
        <v>182325.9375</v>
      </c>
      <c r="BC116" s="25">
        <f>+BB116+BC115</f>
        <v>182325.9375</v>
      </c>
      <c r="BD116" s="25">
        <f>+BC116+BD115</f>
        <v>182325.9375</v>
      </c>
      <c r="BE116" s="14"/>
      <c r="BG116" s="12" t="s">
        <v>8</v>
      </c>
      <c r="BH116" s="656">
        <f>+BH115</f>
        <v>607753.125</v>
      </c>
      <c r="BI116" s="24">
        <f>+BH116+BI115</f>
        <v>607753.125</v>
      </c>
      <c r="BJ116" s="25">
        <f>+BI116+BJ115</f>
        <v>607753.125</v>
      </c>
      <c r="BK116" s="25">
        <f>+BJ116+BK115</f>
        <v>607753.125</v>
      </c>
      <c r="BL116" s="14"/>
      <c r="BN116" s="12" t="s">
        <v>8</v>
      </c>
      <c r="BO116" s="656">
        <f>+BO115</f>
        <v>243101.25</v>
      </c>
      <c r="BP116" s="24">
        <f>+BO116+BP115</f>
        <v>243101.25</v>
      </c>
      <c r="BQ116" s="25">
        <f>+BP116+BQ115</f>
        <v>243101.25</v>
      </c>
      <c r="BR116" s="25">
        <f>+BQ116+BR115</f>
        <v>243101.25</v>
      </c>
      <c r="BS116" s="14"/>
      <c r="BU116" s="12" t="s">
        <v>8</v>
      </c>
      <c r="BV116" s="656">
        <f>+BV115</f>
        <v>585640.00000000023</v>
      </c>
      <c r="BW116" s="24">
        <f>+BV116+BW115</f>
        <v>585640.00000000023</v>
      </c>
      <c r="BX116" s="25">
        <f>+BW116+BX115</f>
        <v>585640.00000000023</v>
      </c>
      <c r="BY116" s="25">
        <f>+BX116+BY115</f>
        <v>585640.00000000023</v>
      </c>
      <c r="BZ116" s="14"/>
      <c r="CB116" s="12" t="s">
        <v>8</v>
      </c>
      <c r="CC116" s="656">
        <f>+CC115</f>
        <v>0</v>
      </c>
      <c r="CD116" s="24">
        <f>+CC116+CD115</f>
        <v>0</v>
      </c>
      <c r="CE116" s="25">
        <f>+CD116+CE115</f>
        <v>0</v>
      </c>
      <c r="CF116" s="25">
        <f>+CE116+CF115</f>
        <v>0</v>
      </c>
      <c r="CG116" s="14"/>
      <c r="CI116" s="12" t="s">
        <v>8</v>
      </c>
      <c r="CJ116" s="656">
        <f>+CJ115</f>
        <v>0</v>
      </c>
      <c r="CK116" s="24">
        <f>+CJ116+CK115</f>
        <v>0</v>
      </c>
      <c r="CL116" s="25">
        <f>+CK116+CL115</f>
        <v>0</v>
      </c>
      <c r="CM116" s="25">
        <f>+CL116+CM115</f>
        <v>0</v>
      </c>
      <c r="CN116" s="14"/>
    </row>
    <row r="117" spans="3:92" x14ac:dyDescent="0.2">
      <c r="C117" s="8"/>
      <c r="D117" s="660"/>
      <c r="E117" s="34"/>
      <c r="F117" s="35"/>
      <c r="G117" s="35"/>
      <c r="H117" s="14"/>
      <c r="J117" s="8"/>
      <c r="K117" s="660"/>
      <c r="L117" s="34"/>
      <c r="M117" s="35"/>
      <c r="N117" s="35"/>
      <c r="O117" s="14"/>
      <c r="Q117" s="8"/>
      <c r="R117" s="660"/>
      <c r="S117" s="34"/>
      <c r="T117" s="35"/>
      <c r="U117" s="35"/>
      <c r="V117" s="14"/>
      <c r="X117" s="8"/>
      <c r="Y117" s="660"/>
      <c r="Z117" s="34"/>
      <c r="AA117" s="35"/>
      <c r="AB117" s="35"/>
      <c r="AC117" s="14"/>
      <c r="AE117" s="8"/>
      <c r="AF117" s="660"/>
      <c r="AG117" s="34"/>
      <c r="AH117" s="35"/>
      <c r="AI117" s="35"/>
      <c r="AJ117" s="14"/>
      <c r="AL117" s="8"/>
      <c r="AM117" s="660"/>
      <c r="AN117" s="34"/>
      <c r="AO117" s="35"/>
      <c r="AP117" s="35"/>
      <c r="AQ117" s="14"/>
      <c r="AS117" s="8"/>
      <c r="AT117" s="660"/>
      <c r="AU117" s="34"/>
      <c r="AV117" s="35"/>
      <c r="AW117" s="35"/>
      <c r="AX117" s="14"/>
      <c r="AZ117" s="8"/>
      <c r="BA117" s="660"/>
      <c r="BB117" s="34"/>
      <c r="BC117" s="35"/>
      <c r="BD117" s="35"/>
      <c r="BE117" s="14"/>
      <c r="BG117" s="8"/>
      <c r="BH117" s="660"/>
      <c r="BI117" s="34"/>
      <c r="BJ117" s="35"/>
      <c r="BK117" s="35"/>
      <c r="BL117" s="14"/>
      <c r="BN117" s="8"/>
      <c r="BO117" s="660"/>
      <c r="BP117" s="34"/>
      <c r="BQ117" s="35"/>
      <c r="BR117" s="35"/>
      <c r="BS117" s="14"/>
      <c r="BU117" s="8"/>
      <c r="BV117" s="660"/>
      <c r="BW117" s="34"/>
      <c r="BX117" s="35"/>
      <c r="BY117" s="35"/>
      <c r="BZ117" s="14"/>
      <c r="CB117" s="8"/>
      <c r="CC117" s="660"/>
      <c r="CD117" s="34"/>
      <c r="CE117" s="35"/>
      <c r="CF117" s="35"/>
      <c r="CG117" s="14"/>
      <c r="CI117" s="8"/>
      <c r="CJ117" s="660"/>
      <c r="CK117" s="34"/>
      <c r="CL117" s="35"/>
      <c r="CM117" s="35"/>
      <c r="CN117" s="14"/>
    </row>
    <row r="118" spans="3:92" x14ac:dyDescent="0.2">
      <c r="C118" s="13" t="s">
        <v>15</v>
      </c>
      <c r="D118" s="661">
        <f>+D103+D109+D115</f>
        <v>28387500</v>
      </c>
      <c r="E118" s="36">
        <f>+E115+E109+E103</f>
        <v>0</v>
      </c>
      <c r="F118" s="36">
        <f>+F115+F109+F103</f>
        <v>0</v>
      </c>
      <c r="G118" s="36">
        <f>+G115+G109+G103</f>
        <v>0</v>
      </c>
      <c r="H118" s="853">
        <f>+SUM(H101:H117)</f>
        <v>225</v>
      </c>
      <c r="J118" s="13" t="s">
        <v>15</v>
      </c>
      <c r="K118" s="661">
        <f>+K103+K109+K115</f>
        <v>9945100</v>
      </c>
      <c r="L118" s="36">
        <f>+L115+L109+L103</f>
        <v>0</v>
      </c>
      <c r="M118" s="36">
        <f>+M115+M109+M103</f>
        <v>0</v>
      </c>
      <c r="N118" s="36">
        <f>+N115+N109+N103</f>
        <v>0</v>
      </c>
      <c r="O118" s="853">
        <f>+SUM(O101:O117)</f>
        <v>33</v>
      </c>
      <c r="Q118" s="13" t="s">
        <v>15</v>
      </c>
      <c r="R118" s="661">
        <f>+R103+R109+R115</f>
        <v>23396000</v>
      </c>
      <c r="S118" s="36">
        <f>+S115+S109+S103</f>
        <v>0</v>
      </c>
      <c r="T118" s="36">
        <f>+T115+T109+T103</f>
        <v>0</v>
      </c>
      <c r="U118" s="36">
        <f>+U115+U109+U103</f>
        <v>0</v>
      </c>
      <c r="V118" s="853">
        <f>+SUM(V101:V117)</f>
        <v>300</v>
      </c>
      <c r="X118" s="13" t="s">
        <v>15</v>
      </c>
      <c r="Y118" s="661">
        <f>+Y103+Y109+Y115</f>
        <v>4113500</v>
      </c>
      <c r="Z118" s="36">
        <f>+Z115+Z109+Z103</f>
        <v>0</v>
      </c>
      <c r="AA118" s="36">
        <f>+AA115+AA109+AA103</f>
        <v>0</v>
      </c>
      <c r="AB118" s="36">
        <f>+AB115+AB109+AB103</f>
        <v>0</v>
      </c>
      <c r="AC118" s="853">
        <f>+SUM(AC101:AC117)</f>
        <v>30</v>
      </c>
      <c r="AE118" s="13" t="s">
        <v>15</v>
      </c>
      <c r="AF118" s="661">
        <f>+AF103+AF109+AF115</f>
        <v>16797000</v>
      </c>
      <c r="AG118" s="36">
        <f>+AG115+AG109+AG103</f>
        <v>0</v>
      </c>
      <c r="AH118" s="36">
        <f>+AH115+AH109+AH103</f>
        <v>0</v>
      </c>
      <c r="AI118" s="36">
        <f>+AI115+AI109+AI103</f>
        <v>0</v>
      </c>
      <c r="AJ118" s="853">
        <f>+SUM(AJ101:AJ117)</f>
        <v>180</v>
      </c>
      <c r="AL118" s="13" t="s">
        <v>15</v>
      </c>
      <c r="AM118" s="661">
        <f>+AM103+AM109+AM115</f>
        <v>10493263.264</v>
      </c>
      <c r="AN118" s="36">
        <f>+AN115+AN109+AN103</f>
        <v>0</v>
      </c>
      <c r="AO118" s="36">
        <f>+AO115+AO109+AO103</f>
        <v>0</v>
      </c>
      <c r="AP118" s="36">
        <f>+AP115+AP109+AP103</f>
        <v>0</v>
      </c>
      <c r="AQ118" s="853">
        <f>+SUM(AQ101:AQ117)</f>
        <v>87.846000000000004</v>
      </c>
      <c r="AS118" s="13" t="s">
        <v>15</v>
      </c>
      <c r="AT118" s="661">
        <f>+AT103+AT109+AT115</f>
        <v>64373211</v>
      </c>
      <c r="AU118" s="36">
        <f>+AU115+AU109+AU103</f>
        <v>0</v>
      </c>
      <c r="AV118" s="36">
        <f>+AV115+AV109+AV103</f>
        <v>0</v>
      </c>
      <c r="AW118" s="36">
        <f>+AW115+AW109+AW103</f>
        <v>0</v>
      </c>
      <c r="AX118" s="853">
        <f>+SUM(AX101:AX117)</f>
        <v>486.20249999999999</v>
      </c>
      <c r="AZ118" s="13" t="s">
        <v>15</v>
      </c>
      <c r="BA118" s="661">
        <f>+BA103+BA109+BA115</f>
        <v>21145250.6015625</v>
      </c>
      <c r="BB118" s="36">
        <f>+BB115+BB109+BB103</f>
        <v>0</v>
      </c>
      <c r="BC118" s="36">
        <f>+BC115+BC109+BC103</f>
        <v>0</v>
      </c>
      <c r="BD118" s="36">
        <f>+BD115+BD109+BD103</f>
        <v>0</v>
      </c>
      <c r="BE118" s="853">
        <f>+SUM(BE101:BE117)</f>
        <v>182.32593750000001</v>
      </c>
      <c r="BG118" s="13" t="s">
        <v>15</v>
      </c>
      <c r="BH118" s="661">
        <f>+BH103+BH109+BH115</f>
        <v>50519478.515624993</v>
      </c>
      <c r="BI118" s="36">
        <f>+BI115+BI109+BI103</f>
        <v>0</v>
      </c>
      <c r="BJ118" s="36">
        <f>+BJ115+BJ109+BJ103</f>
        <v>0</v>
      </c>
      <c r="BK118" s="36">
        <f>+BK115+BK109+BK103</f>
        <v>0</v>
      </c>
      <c r="BL118" s="853">
        <f>+SUM(BL101:BL117)</f>
        <v>607.75312499999995</v>
      </c>
      <c r="BN118" s="13" t="s">
        <v>15</v>
      </c>
      <c r="BO118" s="661">
        <f>+BO103+BO109+BO115</f>
        <v>16214853.375</v>
      </c>
      <c r="BP118" s="36">
        <f>+BP115+BP109+BP103</f>
        <v>0</v>
      </c>
      <c r="BQ118" s="36">
        <f>+BQ115+BQ109+BQ103</f>
        <v>0</v>
      </c>
      <c r="BR118" s="36">
        <f>+BR115+BR109+BR103</f>
        <v>0</v>
      </c>
      <c r="BS118" s="853">
        <f>+SUM(BS101:BS117)</f>
        <v>243.10124999999999</v>
      </c>
      <c r="BU118" s="13" t="s">
        <v>15</v>
      </c>
      <c r="BV118" s="661">
        <f>+BV103+BV109+BV115</f>
        <v>15976259.200000005</v>
      </c>
      <c r="BW118" s="36">
        <f>+BW115+BW109+BW103</f>
        <v>0</v>
      </c>
      <c r="BX118" s="36">
        <f>+BX115+BX109+BX103</f>
        <v>0</v>
      </c>
      <c r="BY118" s="36">
        <f>+BY115+BY109+BY103</f>
        <v>0</v>
      </c>
      <c r="BZ118" s="853">
        <f>+SUM(BZ101:BZ117)</f>
        <v>585.64000000000021</v>
      </c>
      <c r="CB118" s="13" t="s">
        <v>15</v>
      </c>
      <c r="CC118" s="661">
        <f>+CC103+CC109+CC115</f>
        <v>25000000</v>
      </c>
      <c r="CD118" s="36">
        <f>+CD115+CD109+CD103</f>
        <v>0</v>
      </c>
      <c r="CE118" s="36">
        <f>+CE115+CE109+CE103</f>
        <v>0</v>
      </c>
      <c r="CF118" s="36">
        <f>+CF115+CF109+CF103</f>
        <v>0</v>
      </c>
      <c r="CG118" s="853">
        <f>+SUM(CG101:CG117)</f>
        <v>2500</v>
      </c>
      <c r="CI118" s="13" t="s">
        <v>15</v>
      </c>
      <c r="CJ118" s="661">
        <f>+CJ103+CJ109+CJ115</f>
        <v>15000000</v>
      </c>
      <c r="CK118" s="36">
        <f>+CK115+CK109+CK103</f>
        <v>0</v>
      </c>
      <c r="CL118" s="36">
        <f>+CL115+CL109+CL103</f>
        <v>0</v>
      </c>
      <c r="CM118" s="36">
        <f>+CM115+CM109+CM103</f>
        <v>0</v>
      </c>
      <c r="CN118" s="853">
        <f>+SUM(CN101:CN117)</f>
        <v>10000</v>
      </c>
    </row>
    <row r="119" spans="3:92" s="301" customFormat="1" x14ac:dyDescent="0.2">
      <c r="C119" s="299" t="s">
        <v>733</v>
      </c>
      <c r="D119" s="662">
        <f>+D118</f>
        <v>28387500</v>
      </c>
      <c r="E119" s="300">
        <f>+D119+E118</f>
        <v>28387500</v>
      </c>
      <c r="F119" s="300">
        <f>+E119+F118</f>
        <v>28387500</v>
      </c>
      <c r="G119" s="300">
        <f>+F119+G118</f>
        <v>28387500</v>
      </c>
      <c r="H119" s="854"/>
      <c r="J119" s="299" t="s">
        <v>733</v>
      </c>
      <c r="K119" s="662">
        <f>+K118</f>
        <v>9945100</v>
      </c>
      <c r="L119" s="300">
        <f>+K119+L118</f>
        <v>9945100</v>
      </c>
      <c r="M119" s="300">
        <f>+L119+M118</f>
        <v>9945100</v>
      </c>
      <c r="N119" s="300">
        <f>+M119+N118</f>
        <v>9945100</v>
      </c>
      <c r="O119" s="854"/>
      <c r="Q119" s="299" t="s">
        <v>733</v>
      </c>
      <c r="R119" s="662">
        <f>+R118</f>
        <v>23396000</v>
      </c>
      <c r="S119" s="300">
        <f>+R119+S118</f>
        <v>23396000</v>
      </c>
      <c r="T119" s="300">
        <f>+S119+T118</f>
        <v>23396000</v>
      </c>
      <c r="U119" s="300">
        <f>+T119+U118</f>
        <v>23396000</v>
      </c>
      <c r="V119" s="854"/>
      <c r="X119" s="299" t="s">
        <v>733</v>
      </c>
      <c r="Y119" s="662">
        <f>+Y118</f>
        <v>4113500</v>
      </c>
      <c r="Z119" s="300">
        <f>+Y119+Z118</f>
        <v>4113500</v>
      </c>
      <c r="AA119" s="300">
        <f>+Z119+AA118</f>
        <v>4113500</v>
      </c>
      <c r="AB119" s="300">
        <f>+AA119+AB118</f>
        <v>4113500</v>
      </c>
      <c r="AC119" s="854"/>
      <c r="AE119" s="299" t="s">
        <v>733</v>
      </c>
      <c r="AF119" s="662">
        <f>+AF118</f>
        <v>16797000</v>
      </c>
      <c r="AG119" s="300">
        <f>+AF119+AG118</f>
        <v>16797000</v>
      </c>
      <c r="AH119" s="300">
        <f>+AG119+AH118</f>
        <v>16797000</v>
      </c>
      <c r="AI119" s="300">
        <f>+AH119+AI118</f>
        <v>16797000</v>
      </c>
      <c r="AJ119" s="854"/>
      <c r="AL119" s="299" t="s">
        <v>733</v>
      </c>
      <c r="AM119" s="662">
        <f>+AM118</f>
        <v>10493263.264</v>
      </c>
      <c r="AN119" s="300">
        <f>+AM119+AN118</f>
        <v>10493263.264</v>
      </c>
      <c r="AO119" s="300">
        <f>+AN119+AO118</f>
        <v>10493263.264</v>
      </c>
      <c r="AP119" s="300">
        <f>+AO119+AP118</f>
        <v>10493263.264</v>
      </c>
      <c r="AQ119" s="854"/>
      <c r="AS119" s="299" t="s">
        <v>733</v>
      </c>
      <c r="AT119" s="662">
        <f>+AT118</f>
        <v>64373211</v>
      </c>
      <c r="AU119" s="300">
        <f>+AT119+AU118</f>
        <v>64373211</v>
      </c>
      <c r="AV119" s="300">
        <f>+AU119+AV118</f>
        <v>64373211</v>
      </c>
      <c r="AW119" s="300">
        <f>+AV119+AW118</f>
        <v>64373211</v>
      </c>
      <c r="AX119" s="854"/>
      <c r="AZ119" s="299" t="s">
        <v>733</v>
      </c>
      <c r="BA119" s="662">
        <f>+BA118</f>
        <v>21145250.6015625</v>
      </c>
      <c r="BB119" s="300">
        <f>+BA119+BB118</f>
        <v>21145250.6015625</v>
      </c>
      <c r="BC119" s="300">
        <f>+BB119+BC118</f>
        <v>21145250.6015625</v>
      </c>
      <c r="BD119" s="300">
        <f>+BC119+BD118</f>
        <v>21145250.6015625</v>
      </c>
      <c r="BE119" s="854"/>
      <c r="BG119" s="299" t="s">
        <v>733</v>
      </c>
      <c r="BH119" s="662">
        <f>+BH118</f>
        <v>50519478.515624993</v>
      </c>
      <c r="BI119" s="300">
        <f>+BH119+BI118</f>
        <v>50519478.515624993</v>
      </c>
      <c r="BJ119" s="300">
        <f>+BI119+BJ118</f>
        <v>50519478.515624993</v>
      </c>
      <c r="BK119" s="300">
        <f>+BJ119+BK118</f>
        <v>50519478.515624993</v>
      </c>
      <c r="BL119" s="854"/>
      <c r="BN119" s="299" t="s">
        <v>733</v>
      </c>
      <c r="BO119" s="662">
        <f>+BO118</f>
        <v>16214853.375</v>
      </c>
      <c r="BP119" s="300">
        <f>+BO119+BP118</f>
        <v>16214853.375</v>
      </c>
      <c r="BQ119" s="300">
        <f>+BP119+BQ118</f>
        <v>16214853.375</v>
      </c>
      <c r="BR119" s="300">
        <f>+BQ119+BR118</f>
        <v>16214853.375</v>
      </c>
      <c r="BS119" s="854"/>
      <c r="BU119" s="299" t="s">
        <v>733</v>
      </c>
      <c r="BV119" s="662">
        <f>+BV118</f>
        <v>15976259.200000005</v>
      </c>
      <c r="BW119" s="300">
        <f>+BV119+BW118</f>
        <v>15976259.200000005</v>
      </c>
      <c r="BX119" s="300">
        <f>+BW119+BX118</f>
        <v>15976259.200000005</v>
      </c>
      <c r="BY119" s="300">
        <f>+BX119+BY118</f>
        <v>15976259.200000005</v>
      </c>
      <c r="BZ119" s="854"/>
      <c r="CB119" s="299" t="s">
        <v>737</v>
      </c>
      <c r="CC119" s="662">
        <f>+CC118</f>
        <v>25000000</v>
      </c>
      <c r="CD119" s="300">
        <f>+CC119+CD118</f>
        <v>25000000</v>
      </c>
      <c r="CE119" s="300">
        <f>+CD119+CE118</f>
        <v>25000000</v>
      </c>
      <c r="CF119" s="300">
        <f>+CE119+CF118</f>
        <v>25000000</v>
      </c>
      <c r="CG119" s="854"/>
      <c r="CI119" s="299" t="s">
        <v>755</v>
      </c>
      <c r="CJ119" s="662">
        <f>+CJ118</f>
        <v>15000000</v>
      </c>
      <c r="CK119" s="300">
        <f>+CJ119+CK118</f>
        <v>15000000</v>
      </c>
      <c r="CL119" s="300">
        <f>+CK119+CL118</f>
        <v>15000000</v>
      </c>
      <c r="CM119" s="300">
        <f>+CL119+CM118</f>
        <v>15000000</v>
      </c>
      <c r="CN119" s="854"/>
    </row>
    <row r="122" spans="3:92" x14ac:dyDescent="0.2">
      <c r="C122" s="855" t="s">
        <v>627</v>
      </c>
      <c r="D122" s="856"/>
      <c r="E122" s="856"/>
      <c r="F122" s="856"/>
      <c r="G122" s="856"/>
      <c r="H122" s="857"/>
      <c r="J122" s="855" t="s">
        <v>645</v>
      </c>
      <c r="K122" s="856"/>
      <c r="L122" s="856"/>
      <c r="M122" s="856"/>
      <c r="N122" s="856"/>
      <c r="O122" s="857"/>
      <c r="Q122" s="855" t="s">
        <v>718</v>
      </c>
      <c r="R122" s="856"/>
      <c r="S122" s="856"/>
      <c r="T122" s="856"/>
      <c r="U122" s="856"/>
      <c r="V122" s="857"/>
      <c r="X122" s="855" t="s">
        <v>448</v>
      </c>
      <c r="Y122" s="856"/>
      <c r="Z122" s="856"/>
      <c r="AA122" s="856"/>
      <c r="AB122" s="856"/>
      <c r="AC122" s="857"/>
      <c r="AE122" s="855" t="s">
        <v>662</v>
      </c>
      <c r="AF122" s="856"/>
      <c r="AG122" s="856"/>
      <c r="AH122" s="856"/>
      <c r="AI122" s="856"/>
      <c r="AJ122" s="857"/>
      <c r="AL122" s="855" t="s">
        <v>533</v>
      </c>
      <c r="AM122" s="856"/>
      <c r="AN122" s="856"/>
      <c r="AO122" s="856"/>
      <c r="AP122" s="856"/>
      <c r="AQ122" s="857"/>
      <c r="AS122" s="855" t="s">
        <v>677</v>
      </c>
      <c r="AT122" s="856"/>
      <c r="AU122" s="856"/>
      <c r="AV122" s="856"/>
      <c r="AW122" s="856"/>
      <c r="AX122" s="857"/>
      <c r="AZ122" s="855" t="s">
        <v>685</v>
      </c>
      <c r="BA122" s="856"/>
      <c r="BB122" s="856"/>
      <c r="BC122" s="856"/>
      <c r="BD122" s="856"/>
      <c r="BE122" s="857"/>
      <c r="BG122" s="855" t="s">
        <v>692</v>
      </c>
      <c r="BH122" s="856"/>
      <c r="BI122" s="856"/>
      <c r="BJ122" s="856"/>
      <c r="BK122" s="856"/>
      <c r="BL122" s="857"/>
      <c r="BN122" s="855" t="s">
        <v>702</v>
      </c>
      <c r="BO122" s="856"/>
      <c r="BP122" s="856"/>
      <c r="BQ122" s="856"/>
      <c r="BR122" s="856"/>
      <c r="BS122" s="857"/>
      <c r="BU122" s="855" t="s">
        <v>710</v>
      </c>
      <c r="BV122" s="856"/>
      <c r="BW122" s="856"/>
      <c r="BX122" s="856"/>
      <c r="BY122" s="856"/>
      <c r="BZ122" s="857"/>
      <c r="CB122" s="855" t="s">
        <v>738</v>
      </c>
      <c r="CC122" s="856"/>
      <c r="CD122" s="856"/>
      <c r="CE122" s="856"/>
      <c r="CF122" s="856"/>
      <c r="CG122" s="857"/>
      <c r="CI122" s="855" t="s">
        <v>752</v>
      </c>
      <c r="CJ122" s="856"/>
      <c r="CK122" s="856"/>
      <c r="CL122" s="856"/>
      <c r="CM122" s="856"/>
      <c r="CN122" s="857"/>
    </row>
    <row r="123" spans="3:92" x14ac:dyDescent="0.2">
      <c r="C123" s="10" t="s">
        <v>18</v>
      </c>
      <c r="D123" s="670">
        <v>2026</v>
      </c>
      <c r="E123" s="42">
        <v>2027</v>
      </c>
      <c r="F123" s="42">
        <v>2028</v>
      </c>
      <c r="G123" s="42">
        <v>2029</v>
      </c>
      <c r="H123" s="42">
        <v>2030</v>
      </c>
      <c r="J123" s="10" t="s">
        <v>18</v>
      </c>
      <c r="K123" s="670">
        <v>2026</v>
      </c>
      <c r="L123" s="42">
        <v>2027</v>
      </c>
      <c r="M123" s="42">
        <v>2028</v>
      </c>
      <c r="N123" s="42">
        <v>2029</v>
      </c>
      <c r="O123" s="42">
        <v>2030</v>
      </c>
      <c r="Q123" s="10" t="s">
        <v>18</v>
      </c>
      <c r="R123" s="670">
        <v>2026</v>
      </c>
      <c r="S123" s="42">
        <v>2027</v>
      </c>
      <c r="T123" s="42">
        <v>2028</v>
      </c>
      <c r="U123" s="42">
        <v>2029</v>
      </c>
      <c r="V123" s="42">
        <v>2030</v>
      </c>
      <c r="X123" s="10" t="s">
        <v>18</v>
      </c>
      <c r="Y123" s="670">
        <v>2026</v>
      </c>
      <c r="Z123" s="42">
        <v>2027</v>
      </c>
      <c r="AA123" s="42">
        <v>2028</v>
      </c>
      <c r="AB123" s="42">
        <v>2029</v>
      </c>
      <c r="AC123" s="42">
        <v>2030</v>
      </c>
      <c r="AE123" s="10" t="s">
        <v>18</v>
      </c>
      <c r="AF123" s="670">
        <v>2026</v>
      </c>
      <c r="AG123" s="42">
        <v>2027</v>
      </c>
      <c r="AH123" s="42">
        <v>2028</v>
      </c>
      <c r="AI123" s="42">
        <v>2029</v>
      </c>
      <c r="AJ123" s="42">
        <v>2030</v>
      </c>
      <c r="AL123" s="10" t="s">
        <v>18</v>
      </c>
      <c r="AM123" s="670">
        <v>2026</v>
      </c>
      <c r="AN123" s="42">
        <v>2027</v>
      </c>
      <c r="AO123" s="42">
        <v>2028</v>
      </c>
      <c r="AP123" s="42">
        <v>2029</v>
      </c>
      <c r="AQ123" s="42">
        <v>2030</v>
      </c>
      <c r="AS123" s="10" t="s">
        <v>18</v>
      </c>
      <c r="AT123" s="670">
        <v>2026</v>
      </c>
      <c r="AU123" s="42">
        <v>2027</v>
      </c>
      <c r="AV123" s="42">
        <v>2028</v>
      </c>
      <c r="AW123" s="42">
        <v>2029</v>
      </c>
      <c r="AX123" s="42">
        <v>2030</v>
      </c>
      <c r="AZ123" s="10" t="s">
        <v>18</v>
      </c>
      <c r="BA123" s="670">
        <v>2026</v>
      </c>
      <c r="BB123" s="42">
        <v>2027</v>
      </c>
      <c r="BC123" s="42">
        <v>2028</v>
      </c>
      <c r="BD123" s="42">
        <v>2029</v>
      </c>
      <c r="BE123" s="42">
        <v>2030</v>
      </c>
      <c r="BG123" s="10" t="s">
        <v>18</v>
      </c>
      <c r="BH123" s="670">
        <v>2026</v>
      </c>
      <c r="BI123" s="42">
        <v>2027</v>
      </c>
      <c r="BJ123" s="42">
        <v>2028</v>
      </c>
      <c r="BK123" s="42">
        <v>2029</v>
      </c>
      <c r="BL123" s="42">
        <v>2030</v>
      </c>
      <c r="BN123" s="10" t="s">
        <v>18</v>
      </c>
      <c r="BO123" s="670">
        <v>2026</v>
      </c>
      <c r="BP123" s="42">
        <v>2027</v>
      </c>
      <c r="BQ123" s="42">
        <v>2028</v>
      </c>
      <c r="BR123" s="42">
        <v>2029</v>
      </c>
      <c r="BS123" s="42">
        <v>2030</v>
      </c>
      <c r="BU123" s="10" t="s">
        <v>18</v>
      </c>
      <c r="BV123" s="670">
        <v>2026</v>
      </c>
      <c r="BW123" s="42">
        <v>2027</v>
      </c>
      <c r="BX123" s="42">
        <v>2028</v>
      </c>
      <c r="BY123" s="42">
        <v>2029</v>
      </c>
      <c r="BZ123" s="42">
        <v>2030</v>
      </c>
      <c r="CB123" s="10" t="s">
        <v>18</v>
      </c>
      <c r="CC123" s="670">
        <v>2026</v>
      </c>
      <c r="CD123" s="42">
        <v>2027</v>
      </c>
      <c r="CE123" s="42">
        <v>2028</v>
      </c>
      <c r="CF123" s="42">
        <v>2029</v>
      </c>
      <c r="CG123" s="42">
        <v>2030</v>
      </c>
      <c r="CI123" s="10" t="s">
        <v>18</v>
      </c>
      <c r="CJ123" s="670">
        <v>2026</v>
      </c>
      <c r="CK123" s="42">
        <v>2027</v>
      </c>
      <c r="CL123" s="42">
        <v>2028</v>
      </c>
      <c r="CM123" s="42">
        <v>2029</v>
      </c>
      <c r="CN123" s="42">
        <v>2030</v>
      </c>
    </row>
    <row r="124" spans="3:92" x14ac:dyDescent="0.2">
      <c r="C124" s="403" t="s">
        <v>421</v>
      </c>
      <c r="D124" s="664">
        <f>+F11</f>
        <v>17246250</v>
      </c>
      <c r="E124" s="45">
        <f>+G34</f>
        <v>18478125</v>
      </c>
      <c r="F124" s="50">
        <f>+G58</f>
        <v>19094062.5</v>
      </c>
      <c r="G124" s="45">
        <f>+G81</f>
        <v>20941875</v>
      </c>
      <c r="H124" s="50">
        <f>+G104</f>
        <v>24637500</v>
      </c>
      <c r="J124" s="403" t="s">
        <v>421</v>
      </c>
      <c r="K124" s="664">
        <f>+M11</f>
        <v>7686900</v>
      </c>
      <c r="L124" s="45">
        <f>+N34</f>
        <v>8541000</v>
      </c>
      <c r="M124" s="50">
        <f>+N58</f>
        <v>9395100</v>
      </c>
      <c r="N124" s="45">
        <f>+N81</f>
        <v>9395100</v>
      </c>
      <c r="O124" s="50">
        <f>+N104</f>
        <v>9395100</v>
      </c>
      <c r="Q124" s="403" t="s">
        <v>421</v>
      </c>
      <c r="R124" s="664">
        <f>+T11</f>
        <v>13797000</v>
      </c>
      <c r="S124" s="45">
        <f>+U34</f>
        <v>14716800</v>
      </c>
      <c r="T124" s="50">
        <f>+U58</f>
        <v>15636600</v>
      </c>
      <c r="U124" s="45">
        <f>+U81</f>
        <v>16556400</v>
      </c>
      <c r="V124" s="50">
        <f>+U104</f>
        <v>18396000</v>
      </c>
      <c r="X124" s="403" t="s">
        <v>421</v>
      </c>
      <c r="Y124" s="664">
        <f>+AA11</f>
        <v>2890800</v>
      </c>
      <c r="Z124" s="45">
        <f>+AB34</f>
        <v>3252150</v>
      </c>
      <c r="AA124" s="50">
        <f>+AB58</f>
        <v>3613500</v>
      </c>
      <c r="AB124" s="45">
        <f>+AB81</f>
        <v>3613500</v>
      </c>
      <c r="AC124" s="50">
        <f>+AB104</f>
        <v>3613500</v>
      </c>
      <c r="AE124" s="403" t="s">
        <v>421</v>
      </c>
      <c r="AF124" s="664">
        <f>+AH11</f>
        <v>9198000</v>
      </c>
      <c r="AG124" s="45">
        <f>+AI34</f>
        <v>10347750</v>
      </c>
      <c r="AH124" s="50">
        <f>+AI58</f>
        <v>11497500</v>
      </c>
      <c r="AI124" s="45">
        <f>+AI81</f>
        <v>12647250</v>
      </c>
      <c r="AJ124" s="50">
        <f>+AI104</f>
        <v>13797000</v>
      </c>
      <c r="AL124" s="403" t="s">
        <v>421</v>
      </c>
      <c r="AM124" s="664">
        <f>+AO11</f>
        <v>6167040</v>
      </c>
      <c r="AN124" s="45">
        <f>+AP34</f>
        <v>6783744</v>
      </c>
      <c r="AO124" s="50">
        <f>+AP58</f>
        <v>7462118.3999999994</v>
      </c>
      <c r="AP124" s="45">
        <f>+AP81</f>
        <v>8208330.2399999993</v>
      </c>
      <c r="AQ124" s="50">
        <f>+AP104</f>
        <v>9029163.2640000004</v>
      </c>
      <c r="AS124" s="403" t="s">
        <v>421</v>
      </c>
      <c r="AT124" s="664">
        <f>+AV11</f>
        <v>52560000</v>
      </c>
      <c r="AU124" s="45">
        <f>+AW34</f>
        <v>55188000</v>
      </c>
      <c r="AV124" s="50">
        <f>+AW58</f>
        <v>57947400</v>
      </c>
      <c r="AW124" s="45">
        <f>+AW81</f>
        <v>60844770</v>
      </c>
      <c r="AX124" s="50">
        <f>+AW104</f>
        <v>63887008.5</v>
      </c>
      <c r="AZ124" s="403" t="s">
        <v>421</v>
      </c>
      <c r="BA124" s="664">
        <f>+BC11</f>
        <v>17246250</v>
      </c>
      <c r="BB124" s="45">
        <f>+BD34</f>
        <v>18108562.5</v>
      </c>
      <c r="BC124" s="50">
        <f>+BD58</f>
        <v>19013990.625</v>
      </c>
      <c r="BD124" s="45">
        <f>+BD81</f>
        <v>19964690.156249996</v>
      </c>
      <c r="BE124" s="50">
        <f>+BD104</f>
        <v>20962924.6640625</v>
      </c>
      <c r="BG124" s="403" t="s">
        <v>421</v>
      </c>
      <c r="BH124" s="664">
        <f>+BJ11</f>
        <v>41062500</v>
      </c>
      <c r="BI124" s="45">
        <f>+BK34</f>
        <v>43115625</v>
      </c>
      <c r="BJ124" s="50">
        <f>+BK58</f>
        <v>45271406.25</v>
      </c>
      <c r="BK124" s="45">
        <f>+BK81</f>
        <v>47534976.5625</v>
      </c>
      <c r="BL124" s="50">
        <f>+BK104</f>
        <v>49911725.390624993</v>
      </c>
      <c r="BN124" s="403" t="s">
        <v>421</v>
      </c>
      <c r="BO124" s="664">
        <f>+BQ11</f>
        <v>13140000</v>
      </c>
      <c r="BP124" s="45">
        <f>+BR34</f>
        <v>13797000</v>
      </c>
      <c r="BQ124" s="50">
        <f>+BR58</f>
        <v>14486850</v>
      </c>
      <c r="BR124" s="45">
        <f>+BR81</f>
        <v>15211192.5</v>
      </c>
      <c r="BS124" s="50">
        <f>+BR104</f>
        <v>15971752.125</v>
      </c>
      <c r="BU124" s="403" t="s">
        <v>421</v>
      </c>
      <c r="BV124" s="664">
        <f>+BX11</f>
        <v>10512000</v>
      </c>
      <c r="BW124" s="45">
        <f>+BY34</f>
        <v>11563200</v>
      </c>
      <c r="BX124" s="50">
        <f>+BY58</f>
        <v>12719520.000000002</v>
      </c>
      <c r="BY124" s="45">
        <f>+BY81</f>
        <v>13991472.000000006</v>
      </c>
      <c r="BZ124" s="50">
        <f>+BY104</f>
        <v>15390619.200000005</v>
      </c>
      <c r="CB124" s="403" t="s">
        <v>421</v>
      </c>
      <c r="CC124" s="664">
        <f>+CE11</f>
        <v>0</v>
      </c>
      <c r="CD124" s="45">
        <f>+CF34</f>
        <v>0</v>
      </c>
      <c r="CE124" s="50">
        <f>+CF58</f>
        <v>12500000</v>
      </c>
      <c r="CF124" s="45">
        <f>+CF81</f>
        <v>18750000</v>
      </c>
      <c r="CG124" s="50">
        <f>+CF104</f>
        <v>25000000</v>
      </c>
      <c r="CI124" s="403" t="s">
        <v>421</v>
      </c>
      <c r="CJ124" s="664">
        <f>+CL11</f>
        <v>0</v>
      </c>
      <c r="CK124" s="45">
        <f>+CM34</f>
        <v>0</v>
      </c>
      <c r="CL124" s="50">
        <f>+CM58</f>
        <v>5000000</v>
      </c>
      <c r="CM124" s="45">
        <f>+CM81</f>
        <v>10000000</v>
      </c>
      <c r="CN124" s="50">
        <f>+CM104</f>
        <v>15000000</v>
      </c>
    </row>
    <row r="125" spans="3:92" x14ac:dyDescent="0.2">
      <c r="C125" s="7" t="s">
        <v>739</v>
      </c>
      <c r="D125" s="665">
        <f>+F17</f>
        <v>0</v>
      </c>
      <c r="E125" s="46">
        <f>+G40</f>
        <v>0</v>
      </c>
      <c r="F125" s="51">
        <f>+G64</f>
        <v>0</v>
      </c>
      <c r="G125" s="46">
        <f>+G87</f>
        <v>0</v>
      </c>
      <c r="H125" s="51">
        <f>+G110</f>
        <v>0</v>
      </c>
      <c r="J125" s="7" t="s">
        <v>739</v>
      </c>
      <c r="K125" s="665">
        <f>+M17</f>
        <v>0</v>
      </c>
      <c r="L125" s="46">
        <f>+N40</f>
        <v>0</v>
      </c>
      <c r="M125" s="51">
        <f>+N64</f>
        <v>0</v>
      </c>
      <c r="N125" s="46">
        <f>+N87</f>
        <v>0</v>
      </c>
      <c r="O125" s="51">
        <f>+N110</f>
        <v>0</v>
      </c>
      <c r="Q125" s="7" t="s">
        <v>739</v>
      </c>
      <c r="R125" s="665">
        <f>+T17</f>
        <v>0</v>
      </c>
      <c r="S125" s="46">
        <f>+U40</f>
        <v>0</v>
      </c>
      <c r="T125" s="51">
        <f>+U64</f>
        <v>0</v>
      </c>
      <c r="U125" s="46">
        <f>+U87</f>
        <v>0</v>
      </c>
      <c r="V125" s="51">
        <f>+U110</f>
        <v>0</v>
      </c>
      <c r="X125" s="7" t="s">
        <v>739</v>
      </c>
      <c r="Y125" s="665">
        <f>+AA17</f>
        <v>0</v>
      </c>
      <c r="Z125" s="46">
        <f>+AB40</f>
        <v>0</v>
      </c>
      <c r="AA125" s="51">
        <f>+AB64</f>
        <v>0</v>
      </c>
      <c r="AB125" s="46">
        <f>+AB87</f>
        <v>0</v>
      </c>
      <c r="AC125" s="51">
        <f>+AB110</f>
        <v>0</v>
      </c>
      <c r="AE125" s="7" t="s">
        <v>739</v>
      </c>
      <c r="AF125" s="665">
        <f>+AH17</f>
        <v>0</v>
      </c>
      <c r="AG125" s="46">
        <f>+AI40</f>
        <v>0</v>
      </c>
      <c r="AH125" s="51">
        <f>+AI64</f>
        <v>0</v>
      </c>
      <c r="AI125" s="46">
        <f>+AI87</f>
        <v>0</v>
      </c>
      <c r="AJ125" s="51">
        <f>+AI110</f>
        <v>0</v>
      </c>
      <c r="AL125" s="7" t="s">
        <v>739</v>
      </c>
      <c r="AM125" s="665">
        <f>+AO17</f>
        <v>0</v>
      </c>
      <c r="AN125" s="46">
        <f>+AP40</f>
        <v>0</v>
      </c>
      <c r="AO125" s="51">
        <f>+AP64</f>
        <v>0</v>
      </c>
      <c r="AP125" s="46">
        <f>+AP87</f>
        <v>0</v>
      </c>
      <c r="AQ125" s="51">
        <f>+AP110</f>
        <v>0</v>
      </c>
      <c r="AS125" s="7" t="s">
        <v>739</v>
      </c>
      <c r="AT125" s="665">
        <f>+AV17</f>
        <v>0</v>
      </c>
      <c r="AU125" s="46">
        <f>+AW40</f>
        <v>0</v>
      </c>
      <c r="AV125" s="51">
        <f>+AW64</f>
        <v>0</v>
      </c>
      <c r="AW125" s="46">
        <f>+AW87</f>
        <v>0</v>
      </c>
      <c r="AX125" s="51">
        <f>+AW110</f>
        <v>0</v>
      </c>
      <c r="AZ125" s="7" t="s">
        <v>739</v>
      </c>
      <c r="BA125" s="665">
        <f>+BC17</f>
        <v>0</v>
      </c>
      <c r="BB125" s="46">
        <f>+BD40</f>
        <v>0</v>
      </c>
      <c r="BC125" s="51">
        <f>+BD64</f>
        <v>0</v>
      </c>
      <c r="BD125" s="46">
        <f>+BD87</f>
        <v>0</v>
      </c>
      <c r="BE125" s="51">
        <f>+BD110</f>
        <v>0</v>
      </c>
      <c r="BG125" s="7" t="s">
        <v>739</v>
      </c>
      <c r="BH125" s="665">
        <f>+BJ17</f>
        <v>0</v>
      </c>
      <c r="BI125" s="46">
        <f>+BK40</f>
        <v>0</v>
      </c>
      <c r="BJ125" s="51">
        <f>+BK64</f>
        <v>0</v>
      </c>
      <c r="BK125" s="46">
        <f>+BK87</f>
        <v>0</v>
      </c>
      <c r="BL125" s="51">
        <f>+BK110</f>
        <v>0</v>
      </c>
      <c r="BN125" s="7" t="s">
        <v>739</v>
      </c>
      <c r="BO125" s="665">
        <f>+BQ17</f>
        <v>0</v>
      </c>
      <c r="BP125" s="46">
        <f>+BR40</f>
        <v>0</v>
      </c>
      <c r="BQ125" s="51">
        <f>+BR64</f>
        <v>0</v>
      </c>
      <c r="BR125" s="46">
        <f>+BR87</f>
        <v>0</v>
      </c>
      <c r="BS125" s="51">
        <f>+BR110</f>
        <v>0</v>
      </c>
      <c r="BU125" s="7" t="s">
        <v>739</v>
      </c>
      <c r="BV125" s="665">
        <f>+BX17</f>
        <v>0</v>
      </c>
      <c r="BW125" s="46">
        <f>+BY40</f>
        <v>0</v>
      </c>
      <c r="BX125" s="51">
        <f>+BY64</f>
        <v>0</v>
      </c>
      <c r="BY125" s="46">
        <f>+BY87</f>
        <v>0</v>
      </c>
      <c r="BZ125" s="51">
        <f>+BY110</f>
        <v>0</v>
      </c>
      <c r="CB125" s="7" t="s">
        <v>739</v>
      </c>
      <c r="CC125" s="665">
        <f>+CE17</f>
        <v>0</v>
      </c>
      <c r="CD125" s="46">
        <f>+CF40</f>
        <v>0</v>
      </c>
      <c r="CE125" s="51">
        <f>+CF64</f>
        <v>0</v>
      </c>
      <c r="CF125" s="46">
        <f>+CF87</f>
        <v>0</v>
      </c>
      <c r="CG125" s="51">
        <f>+CF110</f>
        <v>0</v>
      </c>
      <c r="CI125" s="7" t="s">
        <v>739</v>
      </c>
      <c r="CJ125" s="665">
        <f>+CL17</f>
        <v>0</v>
      </c>
      <c r="CK125" s="46">
        <f>+CM40</f>
        <v>0</v>
      </c>
      <c r="CL125" s="51">
        <f>+CM64</f>
        <v>0</v>
      </c>
      <c r="CM125" s="46">
        <f>+CM87</f>
        <v>0</v>
      </c>
      <c r="CN125" s="51">
        <f>+CM110</f>
        <v>0</v>
      </c>
    </row>
    <row r="126" spans="3:92" x14ac:dyDescent="0.2">
      <c r="C126" s="12" t="s">
        <v>732</v>
      </c>
      <c r="D126" s="666">
        <f>+F23</f>
        <v>2625000</v>
      </c>
      <c r="E126" s="48">
        <f>+G46</f>
        <v>2812500</v>
      </c>
      <c r="F126" s="54">
        <f>+G70</f>
        <v>2906250</v>
      </c>
      <c r="G126" s="48">
        <f>+G93</f>
        <v>3187500</v>
      </c>
      <c r="H126" s="54">
        <f>+G116</f>
        <v>3750000</v>
      </c>
      <c r="J126" s="12" t="s">
        <v>732</v>
      </c>
      <c r="K126" s="666">
        <f>+M23</f>
        <v>450000</v>
      </c>
      <c r="L126" s="48">
        <f>+N46</f>
        <v>500000</v>
      </c>
      <c r="M126" s="54">
        <f>+N70</f>
        <v>550000</v>
      </c>
      <c r="N126" s="48">
        <f>+N93</f>
        <v>550000</v>
      </c>
      <c r="O126" s="54">
        <f>+N116</f>
        <v>550000</v>
      </c>
      <c r="Q126" s="12" t="s">
        <v>732</v>
      </c>
      <c r="R126" s="666">
        <f>+T23</f>
        <v>3750000</v>
      </c>
      <c r="S126" s="48">
        <f>+U46</f>
        <v>4000000</v>
      </c>
      <c r="T126" s="54">
        <f>+U70</f>
        <v>4250000</v>
      </c>
      <c r="U126" s="48">
        <f>+U93</f>
        <v>4500000</v>
      </c>
      <c r="V126" s="54">
        <f>+U116</f>
        <v>5000000</v>
      </c>
      <c r="X126" s="12" t="s">
        <v>732</v>
      </c>
      <c r="Y126" s="666">
        <f>+AA23</f>
        <v>400000</v>
      </c>
      <c r="Z126" s="48">
        <f>+AB46</f>
        <v>450000</v>
      </c>
      <c r="AA126" s="54">
        <f>+AB70</f>
        <v>500000</v>
      </c>
      <c r="AB126" s="48">
        <f>+AB93</f>
        <v>500000</v>
      </c>
      <c r="AC126" s="54">
        <f>+AB116</f>
        <v>500000</v>
      </c>
      <c r="AE126" s="12" t="s">
        <v>732</v>
      </c>
      <c r="AF126" s="666">
        <f>+AH23</f>
        <v>2000000</v>
      </c>
      <c r="AG126" s="48">
        <f>+AI46</f>
        <v>2250000</v>
      </c>
      <c r="AH126" s="54">
        <f>+AI70</f>
        <v>2500000</v>
      </c>
      <c r="AI126" s="48">
        <f>+AI93</f>
        <v>2750000</v>
      </c>
      <c r="AJ126" s="54">
        <f>+AI116</f>
        <v>3000000</v>
      </c>
      <c r="AL126" s="12" t="s">
        <v>732</v>
      </c>
      <c r="AM126" s="666">
        <f>+AO23</f>
        <v>1000000</v>
      </c>
      <c r="AN126" s="48">
        <f>+AP46</f>
        <v>1100000</v>
      </c>
      <c r="AO126" s="54">
        <f>+AP70</f>
        <v>1210000</v>
      </c>
      <c r="AP126" s="48">
        <f>+AP93</f>
        <v>1330999.9999999998</v>
      </c>
      <c r="AQ126" s="54">
        <f>+AP116</f>
        <v>1464100.0000000002</v>
      </c>
      <c r="AS126" s="12" t="s">
        <v>732</v>
      </c>
      <c r="AT126" s="666">
        <f>+AV23</f>
        <v>400000</v>
      </c>
      <c r="AU126" s="48">
        <f>+AW46</f>
        <v>840000</v>
      </c>
      <c r="AV126" s="54">
        <f>+AW70</f>
        <v>882000</v>
      </c>
      <c r="AW126" s="48">
        <f>+AW93</f>
        <v>463050</v>
      </c>
      <c r="AX126" s="54">
        <f>+AW116</f>
        <v>486202.5</v>
      </c>
      <c r="AZ126" s="12" t="s">
        <v>732</v>
      </c>
      <c r="BA126" s="666">
        <f>+BC23</f>
        <v>150000</v>
      </c>
      <c r="BB126" s="48">
        <f>+BD46</f>
        <v>315000</v>
      </c>
      <c r="BC126" s="54">
        <f>+BD70</f>
        <v>330750</v>
      </c>
      <c r="BD126" s="48">
        <f>+BD93</f>
        <v>173643.74999999997</v>
      </c>
      <c r="BE126" s="54">
        <f>+BD116</f>
        <v>182325.9375</v>
      </c>
      <c r="BG126" s="12" t="s">
        <v>732</v>
      </c>
      <c r="BH126" s="666">
        <f>+BJ23</f>
        <v>500000</v>
      </c>
      <c r="BI126" s="48">
        <f>+BK46</f>
        <v>1050000</v>
      </c>
      <c r="BJ126" s="54">
        <f>+BK70</f>
        <v>1102500</v>
      </c>
      <c r="BK126" s="48">
        <f>+BK93</f>
        <v>578812.5</v>
      </c>
      <c r="BL126" s="54">
        <f>+BK116</f>
        <v>607753.125</v>
      </c>
      <c r="BN126" s="12" t="s">
        <v>732</v>
      </c>
      <c r="BO126" s="666">
        <f>+BQ23</f>
        <v>200000</v>
      </c>
      <c r="BP126" s="48">
        <f>+BR46</f>
        <v>420000</v>
      </c>
      <c r="BQ126" s="54">
        <f>+BR70</f>
        <v>441000</v>
      </c>
      <c r="BR126" s="48">
        <f>+BR93</f>
        <v>231525</v>
      </c>
      <c r="BS126" s="54">
        <f>+BR116</f>
        <v>243101.25</v>
      </c>
      <c r="BU126" s="12" t="s">
        <v>732</v>
      </c>
      <c r="BV126" s="666">
        <f>+BX23</f>
        <v>400000</v>
      </c>
      <c r="BW126" s="48">
        <f>+BY46</f>
        <v>880000</v>
      </c>
      <c r="BX126" s="54">
        <f>+BY70</f>
        <v>968000.00000000012</v>
      </c>
      <c r="BY126" s="48">
        <f>+BY93</f>
        <v>532400.00000000023</v>
      </c>
      <c r="BZ126" s="54">
        <f>+BY116</f>
        <v>585640.00000000023</v>
      </c>
      <c r="CB126" s="12" t="s">
        <v>732</v>
      </c>
      <c r="CC126" s="666">
        <f>+CE23</f>
        <v>0</v>
      </c>
      <c r="CD126" s="48">
        <f>+CF46</f>
        <v>0</v>
      </c>
      <c r="CE126" s="54">
        <f>+CF70</f>
        <v>0</v>
      </c>
      <c r="CF126" s="48">
        <f>+CF93</f>
        <v>0</v>
      </c>
      <c r="CG126" s="54">
        <f>+CF116</f>
        <v>0</v>
      </c>
      <c r="CI126" s="12" t="s">
        <v>732</v>
      </c>
      <c r="CJ126" s="666">
        <f>+CL23</f>
        <v>0</v>
      </c>
      <c r="CK126" s="48">
        <f>+CM46</f>
        <v>0</v>
      </c>
      <c r="CL126" s="54">
        <f>+CM70</f>
        <v>0</v>
      </c>
      <c r="CM126" s="48">
        <f>+CM93</f>
        <v>0</v>
      </c>
      <c r="CN126" s="54">
        <f>+CM116</f>
        <v>0</v>
      </c>
    </row>
    <row r="127" spans="3:92" x14ac:dyDescent="0.2">
      <c r="C127" s="9" t="s">
        <v>422</v>
      </c>
      <c r="D127" s="667">
        <f>+SUM(D124:D126)</f>
        <v>19871250</v>
      </c>
      <c r="E127" s="55">
        <f>+SUM(E124:E126)</f>
        <v>21290625</v>
      </c>
      <c r="F127" s="55">
        <f>+SUM(F124:F126)</f>
        <v>22000312.5</v>
      </c>
      <c r="G127" s="55">
        <f>+SUM(G124:G126)</f>
        <v>24129375</v>
      </c>
      <c r="H127" s="55">
        <f>+SUM(H124:H126)</f>
        <v>28387500</v>
      </c>
      <c r="J127" s="9" t="s">
        <v>649</v>
      </c>
      <c r="K127" s="667">
        <f>+SUM(K124:K126)</f>
        <v>8136900</v>
      </c>
      <c r="L127" s="55">
        <f>+SUM(L124:L126)</f>
        <v>9041000</v>
      </c>
      <c r="M127" s="55">
        <f>+SUM(M124:M126)</f>
        <v>9945100</v>
      </c>
      <c r="N127" s="55">
        <f>+SUM(N124:N126)</f>
        <v>9945100</v>
      </c>
      <c r="O127" s="55">
        <f>+SUM(O124:O126)</f>
        <v>9945100</v>
      </c>
      <c r="Q127" s="9" t="s">
        <v>648</v>
      </c>
      <c r="R127" s="667">
        <f>+SUM(R124:R126)</f>
        <v>17547000</v>
      </c>
      <c r="S127" s="55">
        <f>+SUM(S124:S126)</f>
        <v>18716800</v>
      </c>
      <c r="T127" s="55">
        <f>+SUM(T124:T126)</f>
        <v>19886600</v>
      </c>
      <c r="U127" s="55">
        <f>+SUM(U124:U126)</f>
        <v>21056400</v>
      </c>
      <c r="V127" s="55">
        <f>+SUM(V124:V126)</f>
        <v>23396000</v>
      </c>
      <c r="X127" s="9" t="s">
        <v>422</v>
      </c>
      <c r="Y127" s="667">
        <f>+SUM(Y124:Y126)</f>
        <v>3290800</v>
      </c>
      <c r="Z127" s="55">
        <f>+SUM(Z124:Z126)</f>
        <v>3702150</v>
      </c>
      <c r="AA127" s="55">
        <f>+SUM(AA124:AA126)</f>
        <v>4113500</v>
      </c>
      <c r="AB127" s="55">
        <f>+SUM(AB124:AB126)</f>
        <v>4113500</v>
      </c>
      <c r="AC127" s="55">
        <f>+SUM(AC124:AC126)</f>
        <v>4113500</v>
      </c>
      <c r="AE127" s="9" t="s">
        <v>663</v>
      </c>
      <c r="AF127" s="667">
        <f>+SUM(AF124:AF126)</f>
        <v>11198000</v>
      </c>
      <c r="AG127" s="55">
        <f>+SUM(AG124:AG126)</f>
        <v>12597750</v>
      </c>
      <c r="AH127" s="55">
        <f>+SUM(AH124:AH126)</f>
        <v>13997500</v>
      </c>
      <c r="AI127" s="55">
        <f>+SUM(AI124:AI126)</f>
        <v>15397250</v>
      </c>
      <c r="AJ127" s="55">
        <f>+SUM(AJ124:AJ126)</f>
        <v>16797000</v>
      </c>
      <c r="AL127" s="9" t="s">
        <v>670</v>
      </c>
      <c r="AM127" s="667">
        <f>+SUM(AM124:AM126)</f>
        <v>7167040</v>
      </c>
      <c r="AN127" s="55">
        <f>+SUM(AN124:AN126)</f>
        <v>7883744</v>
      </c>
      <c r="AO127" s="55">
        <f>+SUM(AO124:AO126)</f>
        <v>8672118.3999999985</v>
      </c>
      <c r="AP127" s="55">
        <f>+SUM(AP124:AP126)</f>
        <v>9539330.2399999984</v>
      </c>
      <c r="AQ127" s="55">
        <f>+SUM(AQ124:AQ126)</f>
        <v>10493263.264</v>
      </c>
      <c r="AS127" s="9" t="s">
        <v>678</v>
      </c>
      <c r="AT127" s="667">
        <f>+SUM(AT124:AT126)</f>
        <v>52960000</v>
      </c>
      <c r="AU127" s="55">
        <f>+SUM(AU124:AU126)</f>
        <v>56028000</v>
      </c>
      <c r="AV127" s="55">
        <f>+SUM(AV124:AV126)</f>
        <v>58829400</v>
      </c>
      <c r="AW127" s="55">
        <f>+SUM(AW124:AW126)</f>
        <v>61307820</v>
      </c>
      <c r="AX127" s="55">
        <f>+SUM(AX124:AX126)</f>
        <v>64373211</v>
      </c>
      <c r="AZ127" s="9" t="s">
        <v>686</v>
      </c>
      <c r="BA127" s="667">
        <f>+SUM(BA124:BA126)</f>
        <v>17396250</v>
      </c>
      <c r="BB127" s="55">
        <f>+SUM(BB124:BB126)</f>
        <v>18423562.5</v>
      </c>
      <c r="BC127" s="55">
        <f>+SUM(BC124:BC126)</f>
        <v>19344740.625</v>
      </c>
      <c r="BD127" s="55">
        <f>+SUM(BD124:BD126)</f>
        <v>20138333.906249996</v>
      </c>
      <c r="BE127" s="55">
        <f>+SUM(BE124:BE126)</f>
        <v>21145250.6015625</v>
      </c>
      <c r="BG127" s="9" t="s">
        <v>693</v>
      </c>
      <c r="BH127" s="667">
        <f>+SUM(BH124:BH126)</f>
        <v>41562500</v>
      </c>
      <c r="BI127" s="55">
        <f>+SUM(BI124:BI126)</f>
        <v>44165625</v>
      </c>
      <c r="BJ127" s="55">
        <f>+SUM(BJ124:BJ126)</f>
        <v>46373906.25</v>
      </c>
      <c r="BK127" s="55">
        <f>+SUM(BK124:BK126)</f>
        <v>48113789.0625</v>
      </c>
      <c r="BL127" s="55">
        <f>+SUM(BL124:BL126)</f>
        <v>50519478.515624993</v>
      </c>
      <c r="BN127" s="9" t="s">
        <v>703</v>
      </c>
      <c r="BO127" s="667">
        <f>+SUM(BO124:BO126)</f>
        <v>13340000</v>
      </c>
      <c r="BP127" s="55">
        <f>+SUM(BP124:BP126)</f>
        <v>14217000</v>
      </c>
      <c r="BQ127" s="55">
        <f>+SUM(BQ124:BQ126)</f>
        <v>14927850</v>
      </c>
      <c r="BR127" s="55">
        <f>+SUM(BR124:BR126)</f>
        <v>15442717.5</v>
      </c>
      <c r="BS127" s="55">
        <f>+SUM(BS124:BS126)</f>
        <v>16214853.375</v>
      </c>
      <c r="BU127" s="9" t="s">
        <v>711</v>
      </c>
      <c r="BV127" s="667">
        <f>+SUM(BV124:BV126)</f>
        <v>10912000</v>
      </c>
      <c r="BW127" s="55">
        <f>+SUM(BW124:BW126)</f>
        <v>12443200</v>
      </c>
      <c r="BX127" s="55">
        <f>+SUM(BX124:BX126)</f>
        <v>13687520.000000002</v>
      </c>
      <c r="BY127" s="55">
        <f>+SUM(BY124:BY126)</f>
        <v>14523872.000000006</v>
      </c>
      <c r="BZ127" s="55">
        <f>+SUM(BZ124:BZ126)</f>
        <v>15976259.200000005</v>
      </c>
      <c r="CB127" s="9" t="s">
        <v>754</v>
      </c>
      <c r="CC127" s="667">
        <f>+SUM(CC124:CC126)</f>
        <v>0</v>
      </c>
      <c r="CD127" s="55">
        <f>+SUM(CD124:CD126)</f>
        <v>0</v>
      </c>
      <c r="CE127" s="55">
        <f>+SUM(CE124:CE126)</f>
        <v>12500000</v>
      </c>
      <c r="CF127" s="55">
        <f>+SUM(CF124:CF126)</f>
        <v>18750000</v>
      </c>
      <c r="CG127" s="55">
        <f>+SUM(CG124:CG126)</f>
        <v>25000000</v>
      </c>
      <c r="CI127" s="9" t="s">
        <v>753</v>
      </c>
      <c r="CJ127" s="667">
        <f>+SUM(CJ124:CJ126)</f>
        <v>0</v>
      </c>
      <c r="CK127" s="55">
        <f>+SUM(CK124:CK126)</f>
        <v>0</v>
      </c>
      <c r="CL127" s="55">
        <f>+SUM(CL124:CL126)</f>
        <v>5000000</v>
      </c>
      <c r="CM127" s="55">
        <f>+SUM(CM124:CM126)</f>
        <v>10000000</v>
      </c>
      <c r="CN127" s="55">
        <f>+SUM(CN124:CN126)</f>
        <v>15000000</v>
      </c>
    </row>
    <row r="130" spans="2:88" ht="16" thickBot="1" x14ac:dyDescent="0.25"/>
    <row r="131" spans="2:88" ht="19" x14ac:dyDescent="0.25">
      <c r="B131" s="674"/>
      <c r="C131" s="864" t="s">
        <v>646</v>
      </c>
      <c r="D131" s="864"/>
      <c r="E131" s="864"/>
      <c r="F131" s="864"/>
      <c r="G131" s="864"/>
      <c r="H131" s="765"/>
    </row>
    <row r="132" spans="2:88" s="717" customFormat="1" ht="16" thickBot="1" x14ac:dyDescent="0.25">
      <c r="B132" s="713" t="s">
        <v>650</v>
      </c>
      <c r="C132" s="677" t="s">
        <v>18</v>
      </c>
      <c r="D132" s="714">
        <v>2026</v>
      </c>
      <c r="E132" s="715">
        <v>2027</v>
      </c>
      <c r="F132" s="715">
        <v>2028</v>
      </c>
      <c r="G132" s="715">
        <v>2029</v>
      </c>
      <c r="H132" s="716">
        <v>2030</v>
      </c>
      <c r="K132" s="718"/>
      <c r="R132" s="718"/>
      <c r="Y132" s="718"/>
      <c r="AF132" s="718"/>
      <c r="AM132" s="718"/>
      <c r="AT132" s="718"/>
      <c r="BA132" s="718"/>
      <c r="BH132" s="718"/>
      <c r="BO132" s="718"/>
      <c r="BV132" s="718"/>
      <c r="CC132" s="718"/>
      <c r="CJ132" s="718"/>
    </row>
    <row r="133" spans="2:88" x14ac:dyDescent="0.2">
      <c r="B133" s="680">
        <v>1</v>
      </c>
      <c r="C133" s="681" t="s">
        <v>423</v>
      </c>
      <c r="D133" s="682">
        <f>SUM(D127)</f>
        <v>19871250</v>
      </c>
      <c r="E133" s="683">
        <f>SUM(E127)</f>
        <v>21290625</v>
      </c>
      <c r="F133" s="683">
        <f>SUM(F127)</f>
        <v>22000312.5</v>
      </c>
      <c r="G133" s="683">
        <f>SUM(G127)</f>
        <v>24129375</v>
      </c>
      <c r="H133" s="684">
        <f>SUM(H127)</f>
        <v>28387500</v>
      </c>
    </row>
    <row r="134" spans="2:88" x14ac:dyDescent="0.2">
      <c r="B134" s="679">
        <v>2</v>
      </c>
      <c r="C134" s="678" t="s">
        <v>647</v>
      </c>
      <c r="D134" s="675">
        <f>SUM(K127)</f>
        <v>8136900</v>
      </c>
      <c r="E134" s="676">
        <f>SUM(L127)</f>
        <v>9041000</v>
      </c>
      <c r="F134" s="675">
        <f t="shared" ref="F134:H134" si="0">SUM(M127)</f>
        <v>9945100</v>
      </c>
      <c r="G134" s="676">
        <f t="shared" si="0"/>
        <v>9945100</v>
      </c>
      <c r="H134" s="685">
        <f t="shared" si="0"/>
        <v>9945100</v>
      </c>
    </row>
    <row r="135" spans="2:88" x14ac:dyDescent="0.2">
      <c r="B135" s="679">
        <v>3</v>
      </c>
      <c r="C135" s="678" t="s">
        <v>648</v>
      </c>
      <c r="D135" s="675">
        <f>SUM(R127)</f>
        <v>17547000</v>
      </c>
      <c r="E135" s="676">
        <f>SUM(S127)</f>
        <v>18716800</v>
      </c>
      <c r="F135" s="675">
        <f t="shared" ref="F135:H135" si="1">SUM(T127)</f>
        <v>19886600</v>
      </c>
      <c r="G135" s="676">
        <f t="shared" si="1"/>
        <v>21056400</v>
      </c>
      <c r="H135" s="685">
        <f t="shared" si="1"/>
        <v>23396000</v>
      </c>
    </row>
    <row r="136" spans="2:88" x14ac:dyDescent="0.2">
      <c r="B136" s="679">
        <v>4</v>
      </c>
      <c r="C136" s="678" t="s">
        <v>422</v>
      </c>
      <c r="D136" s="675">
        <f>SUM(Y127)</f>
        <v>3290800</v>
      </c>
      <c r="E136" s="676">
        <f>SUM(Z127)</f>
        <v>3702150</v>
      </c>
      <c r="F136" s="675">
        <f t="shared" ref="F136:H136" si="2">SUM(AA127)</f>
        <v>4113500</v>
      </c>
      <c r="G136" s="676">
        <f t="shared" si="2"/>
        <v>4113500</v>
      </c>
      <c r="H136" s="685">
        <f t="shared" si="2"/>
        <v>4113500</v>
      </c>
    </row>
    <row r="137" spans="2:88" x14ac:dyDescent="0.2">
      <c r="B137" s="679">
        <v>5</v>
      </c>
      <c r="C137" s="678" t="s">
        <v>663</v>
      </c>
      <c r="D137" s="675">
        <f>SUM(AF127)</f>
        <v>11198000</v>
      </c>
      <c r="E137" s="676">
        <f>SUM(AG127)</f>
        <v>12597750</v>
      </c>
      <c r="F137" s="675">
        <f t="shared" ref="F137:H137" si="3">SUM(AH127)</f>
        <v>13997500</v>
      </c>
      <c r="G137" s="676">
        <f t="shared" si="3"/>
        <v>15397250</v>
      </c>
      <c r="H137" s="685">
        <f t="shared" si="3"/>
        <v>16797000</v>
      </c>
    </row>
    <row r="138" spans="2:88" x14ac:dyDescent="0.2">
      <c r="B138" s="679">
        <v>6</v>
      </c>
      <c r="C138" s="678" t="s">
        <v>670</v>
      </c>
      <c r="D138" s="675">
        <f>SUM(AM127)</f>
        <v>7167040</v>
      </c>
      <c r="E138" s="676">
        <f>SUM(AN127)</f>
        <v>7883744</v>
      </c>
      <c r="F138" s="675">
        <f t="shared" ref="F138:H138" si="4">SUM(AO127)</f>
        <v>8672118.3999999985</v>
      </c>
      <c r="G138" s="676">
        <f t="shared" si="4"/>
        <v>9539330.2399999984</v>
      </c>
      <c r="H138" s="685">
        <f t="shared" si="4"/>
        <v>10493263.264</v>
      </c>
    </row>
    <row r="139" spans="2:88" x14ac:dyDescent="0.2">
      <c r="B139" s="679">
        <v>7</v>
      </c>
      <c r="C139" s="678" t="s">
        <v>678</v>
      </c>
      <c r="D139" s="675">
        <f>SUM(AT127)</f>
        <v>52960000</v>
      </c>
      <c r="E139" s="676">
        <f>SUM(AU127)</f>
        <v>56028000</v>
      </c>
      <c r="F139" s="675">
        <f t="shared" ref="F139:H139" si="5">SUM(AV127)</f>
        <v>58829400</v>
      </c>
      <c r="G139" s="676">
        <f t="shared" si="5"/>
        <v>61307820</v>
      </c>
      <c r="H139" s="675">
        <f t="shared" si="5"/>
        <v>64373211</v>
      </c>
    </row>
    <row r="140" spans="2:88" x14ac:dyDescent="0.2">
      <c r="B140" s="679">
        <v>8</v>
      </c>
      <c r="C140" s="678" t="s">
        <v>686</v>
      </c>
      <c r="D140" s="675">
        <f>SUM(BA127)</f>
        <v>17396250</v>
      </c>
      <c r="E140" s="676">
        <f>SUM(BB127)</f>
        <v>18423562.5</v>
      </c>
      <c r="F140" s="675">
        <f t="shared" ref="F140:H140" si="6">SUM(BC127)</f>
        <v>19344740.625</v>
      </c>
      <c r="G140" s="676">
        <f t="shared" si="6"/>
        <v>20138333.906249996</v>
      </c>
      <c r="H140" s="675">
        <f t="shared" si="6"/>
        <v>21145250.6015625</v>
      </c>
    </row>
    <row r="141" spans="2:88" x14ac:dyDescent="0.2">
      <c r="B141" s="679">
        <v>9</v>
      </c>
      <c r="C141" s="678" t="s">
        <v>693</v>
      </c>
      <c r="D141" s="675">
        <f>SUM(BH127)</f>
        <v>41562500</v>
      </c>
      <c r="E141" s="676">
        <f>SUM(BI127)</f>
        <v>44165625</v>
      </c>
      <c r="F141" s="675">
        <f t="shared" ref="F141:H141" si="7">SUM(BJ127)</f>
        <v>46373906.25</v>
      </c>
      <c r="G141" s="676">
        <f t="shared" si="7"/>
        <v>48113789.0625</v>
      </c>
      <c r="H141" s="675">
        <f t="shared" si="7"/>
        <v>50519478.515624993</v>
      </c>
    </row>
    <row r="142" spans="2:88" x14ac:dyDescent="0.2">
      <c r="B142" s="679">
        <v>10</v>
      </c>
      <c r="C142" s="678" t="s">
        <v>703</v>
      </c>
      <c r="D142" s="675">
        <f>SUM(BO127)</f>
        <v>13340000</v>
      </c>
      <c r="E142" s="676">
        <f>SUM(BP127)</f>
        <v>14217000</v>
      </c>
      <c r="F142" s="675">
        <f t="shared" ref="F142:H142" si="8">SUM(BQ127)</f>
        <v>14927850</v>
      </c>
      <c r="G142" s="676">
        <f t="shared" si="8"/>
        <v>15442717.5</v>
      </c>
      <c r="H142" s="675">
        <f t="shared" si="8"/>
        <v>16214853.375</v>
      </c>
    </row>
    <row r="143" spans="2:88" x14ac:dyDescent="0.2">
      <c r="B143" s="679">
        <v>11</v>
      </c>
      <c r="C143" s="678" t="s">
        <v>711</v>
      </c>
      <c r="D143" s="675">
        <f>SUM(BV127)</f>
        <v>10912000</v>
      </c>
      <c r="E143" s="676">
        <f>SUM(BW127)</f>
        <v>12443200</v>
      </c>
      <c r="F143" s="675">
        <f t="shared" ref="F143:H143" si="9">SUM(BX127)</f>
        <v>13687520.000000002</v>
      </c>
      <c r="G143" s="676">
        <f t="shared" si="9"/>
        <v>14523872.000000006</v>
      </c>
      <c r="H143" s="675">
        <f t="shared" si="9"/>
        <v>15976259.200000005</v>
      </c>
    </row>
    <row r="144" spans="2:88" x14ac:dyDescent="0.2">
      <c r="B144" s="679">
        <v>12</v>
      </c>
      <c r="C144" s="678" t="s">
        <v>743</v>
      </c>
      <c r="D144" s="675">
        <f>SUM(CC127)</f>
        <v>0</v>
      </c>
      <c r="E144" s="676">
        <f>SUM(CD127)</f>
        <v>0</v>
      </c>
      <c r="F144" s="675">
        <f t="shared" ref="F144:H144" si="10">SUM(CE127)</f>
        <v>12500000</v>
      </c>
      <c r="G144" s="676">
        <f t="shared" si="10"/>
        <v>18750000</v>
      </c>
      <c r="H144" s="675">
        <f t="shared" si="10"/>
        <v>25000000</v>
      </c>
    </row>
    <row r="145" spans="2:8" x14ac:dyDescent="0.2">
      <c r="B145" s="679">
        <v>13</v>
      </c>
      <c r="C145" s="678" t="s">
        <v>753</v>
      </c>
      <c r="D145" s="675">
        <f>SUM(CJ127)</f>
        <v>0</v>
      </c>
      <c r="E145" s="676">
        <f>SUM(CK127)</f>
        <v>0</v>
      </c>
      <c r="F145" s="675">
        <f t="shared" ref="F145:H145" si="11">SUM(CL127)</f>
        <v>5000000</v>
      </c>
      <c r="G145" s="676">
        <f t="shared" si="11"/>
        <v>10000000</v>
      </c>
      <c r="H145" s="675">
        <f t="shared" si="11"/>
        <v>15000000</v>
      </c>
    </row>
    <row r="146" spans="2:8" ht="16" thickBot="1" x14ac:dyDescent="0.25">
      <c r="B146" s="686"/>
      <c r="C146" s="687"/>
      <c r="D146" s="688"/>
      <c r="E146" s="689"/>
      <c r="F146" s="689"/>
      <c r="G146" s="689"/>
      <c r="H146" s="690"/>
    </row>
    <row r="147" spans="2:8" ht="16" thickBot="1" x14ac:dyDescent="0.25">
      <c r="B147" s="691"/>
      <c r="C147" s="692" t="s">
        <v>22</v>
      </c>
      <c r="D147" s="668">
        <f>SUM(D133:D146)</f>
        <v>203381740</v>
      </c>
      <c r="E147" s="314">
        <f>SUM(E133:E146)</f>
        <v>218509456.5</v>
      </c>
      <c r="F147" s="314">
        <f>SUM(F133:F146)</f>
        <v>249278547.77500001</v>
      </c>
      <c r="G147" s="668">
        <f>SUM(G133:G146)</f>
        <v>272457487.70875001</v>
      </c>
      <c r="H147" s="315">
        <f>SUM(H133:H146)</f>
        <v>301361415.95618749</v>
      </c>
    </row>
    <row r="161" spans="18:88" x14ac:dyDescent="0.2">
      <c r="R161"/>
      <c r="Y161"/>
      <c r="AF161"/>
      <c r="AM161"/>
      <c r="AT161"/>
      <c r="BA161"/>
      <c r="BH161"/>
      <c r="BO161"/>
      <c r="BV161"/>
      <c r="CC161"/>
      <c r="CJ161"/>
    </row>
    <row r="162" spans="18:88" x14ac:dyDescent="0.2">
      <c r="R162"/>
      <c r="Y162"/>
      <c r="AF162"/>
      <c r="AM162"/>
      <c r="AT162"/>
      <c r="BA162"/>
      <c r="BH162"/>
      <c r="BO162"/>
      <c r="BV162"/>
      <c r="CC162"/>
      <c r="CJ162"/>
    </row>
    <row r="163" spans="18:88" x14ac:dyDescent="0.2">
      <c r="R163"/>
      <c r="Y163"/>
      <c r="AF163"/>
      <c r="AM163"/>
      <c r="AT163"/>
      <c r="BA163"/>
      <c r="BH163"/>
      <c r="BO163"/>
      <c r="BV163"/>
      <c r="CC163"/>
      <c r="CJ163"/>
    </row>
    <row r="164" spans="18:88" x14ac:dyDescent="0.2">
      <c r="R164"/>
      <c r="Y164"/>
      <c r="AF164"/>
      <c r="AM164"/>
      <c r="AT164"/>
      <c r="BA164"/>
      <c r="BH164"/>
      <c r="BO164"/>
      <c r="BV164"/>
      <c r="CC164"/>
      <c r="CJ164"/>
    </row>
    <row r="165" spans="18:88" x14ac:dyDescent="0.2">
      <c r="R165"/>
      <c r="Y165"/>
      <c r="AF165"/>
      <c r="AM165"/>
      <c r="AT165"/>
      <c r="BA165"/>
      <c r="BH165"/>
      <c r="BO165"/>
      <c r="BV165"/>
      <c r="CC165"/>
      <c r="CJ165"/>
    </row>
    <row r="166" spans="18:88" x14ac:dyDescent="0.2">
      <c r="R166"/>
      <c r="Y166"/>
      <c r="AF166"/>
      <c r="AM166"/>
      <c r="AT166"/>
      <c r="BA166"/>
      <c r="BH166"/>
      <c r="BO166"/>
      <c r="BV166"/>
      <c r="CC166"/>
      <c r="CJ166"/>
    </row>
    <row r="167" spans="18:88" x14ac:dyDescent="0.2">
      <c r="R167"/>
      <c r="Y167"/>
      <c r="AF167"/>
      <c r="AM167"/>
      <c r="AT167"/>
      <c r="BA167"/>
      <c r="BH167"/>
      <c r="BO167"/>
      <c r="BV167"/>
      <c r="CC167"/>
      <c r="CJ167"/>
    </row>
    <row r="168" spans="18:88" x14ac:dyDescent="0.2">
      <c r="R168"/>
      <c r="Y168"/>
      <c r="AF168"/>
      <c r="AM168"/>
      <c r="AT168"/>
      <c r="BA168"/>
      <c r="BH168"/>
      <c r="BO168"/>
      <c r="BV168"/>
      <c r="CC168"/>
      <c r="CJ168"/>
    </row>
    <row r="169" spans="18:88" x14ac:dyDescent="0.2">
      <c r="R169"/>
      <c r="Y169"/>
      <c r="AF169"/>
      <c r="AM169"/>
      <c r="AT169"/>
      <c r="BA169"/>
      <c r="BH169"/>
      <c r="BO169"/>
      <c r="BV169"/>
      <c r="CC169"/>
      <c r="CJ169"/>
    </row>
    <row r="170" spans="18:88" x14ac:dyDescent="0.2">
      <c r="R170"/>
      <c r="Y170"/>
      <c r="AF170"/>
      <c r="AM170"/>
      <c r="AT170"/>
      <c r="BA170"/>
      <c r="BH170"/>
      <c r="BO170"/>
      <c r="BV170"/>
      <c r="CC170"/>
      <c r="CJ170"/>
    </row>
    <row r="171" spans="18:88" x14ac:dyDescent="0.2">
      <c r="R171"/>
      <c r="Y171"/>
      <c r="AF171"/>
      <c r="AM171"/>
      <c r="AT171"/>
      <c r="BA171"/>
      <c r="BH171"/>
      <c r="BO171"/>
      <c r="BV171"/>
      <c r="CC171"/>
      <c r="CJ171"/>
    </row>
    <row r="172" spans="18:88" x14ac:dyDescent="0.2">
      <c r="R172"/>
      <c r="Y172"/>
      <c r="AF172"/>
      <c r="AM172"/>
      <c r="AT172"/>
      <c r="BA172"/>
      <c r="BH172"/>
      <c r="BO172"/>
      <c r="BV172"/>
      <c r="CC172"/>
      <c r="CJ172"/>
    </row>
    <row r="173" spans="18:88" x14ac:dyDescent="0.2">
      <c r="R173"/>
      <c r="Y173"/>
      <c r="AF173"/>
      <c r="AM173"/>
      <c r="AT173"/>
      <c r="BA173"/>
      <c r="BH173"/>
      <c r="BO173"/>
      <c r="BV173"/>
      <c r="CC173"/>
      <c r="CJ173"/>
    </row>
    <row r="174" spans="18:88" x14ac:dyDescent="0.2">
      <c r="R174"/>
      <c r="Y174"/>
      <c r="AF174"/>
      <c r="AM174"/>
      <c r="AT174"/>
      <c r="BA174"/>
      <c r="BH174"/>
      <c r="BO174"/>
      <c r="BV174"/>
      <c r="CC174"/>
      <c r="CJ174"/>
    </row>
    <row r="175" spans="18:88" x14ac:dyDescent="0.2">
      <c r="R175"/>
      <c r="Y175"/>
      <c r="AF175"/>
      <c r="AM175"/>
      <c r="AT175"/>
      <c r="BA175"/>
      <c r="BH175"/>
      <c r="BO175"/>
      <c r="BV175"/>
      <c r="CC175"/>
      <c r="CJ175"/>
    </row>
    <row r="176" spans="18:88" x14ac:dyDescent="0.2">
      <c r="R176"/>
      <c r="Y176"/>
      <c r="AF176"/>
      <c r="AM176"/>
      <c r="AT176"/>
      <c r="BA176"/>
      <c r="BH176"/>
      <c r="BO176"/>
      <c r="BV176"/>
      <c r="CC176"/>
      <c r="CJ176"/>
    </row>
    <row r="177" spans="18:88" x14ac:dyDescent="0.2">
      <c r="R177"/>
      <c r="Y177"/>
      <c r="AF177"/>
      <c r="AM177"/>
      <c r="AT177"/>
      <c r="BA177"/>
      <c r="BH177"/>
      <c r="BO177"/>
      <c r="BV177"/>
      <c r="CC177"/>
      <c r="CJ177"/>
    </row>
    <row r="178" spans="18:88" x14ac:dyDescent="0.2">
      <c r="R178"/>
      <c r="Y178"/>
      <c r="AF178"/>
      <c r="AM178"/>
      <c r="AT178"/>
      <c r="BA178"/>
      <c r="BH178"/>
      <c r="BO178"/>
      <c r="BV178"/>
      <c r="CC178"/>
      <c r="CJ178"/>
    </row>
    <row r="179" spans="18:88" x14ac:dyDescent="0.2">
      <c r="R179"/>
      <c r="Y179"/>
      <c r="AF179"/>
      <c r="AM179"/>
      <c r="AT179"/>
      <c r="BA179"/>
      <c r="BH179"/>
      <c r="BO179"/>
      <c r="BV179"/>
      <c r="CC179"/>
      <c r="CJ179"/>
    </row>
    <row r="180" spans="18:88" x14ac:dyDescent="0.2">
      <c r="R180"/>
      <c r="Y180"/>
      <c r="AF180"/>
      <c r="AM180"/>
      <c r="AT180"/>
      <c r="BA180"/>
      <c r="BH180"/>
      <c r="BO180"/>
      <c r="BV180"/>
      <c r="CC180"/>
      <c r="CJ180"/>
    </row>
    <row r="181" spans="18:88" x14ac:dyDescent="0.2">
      <c r="R181"/>
      <c r="Y181"/>
      <c r="AF181"/>
      <c r="AM181"/>
      <c r="AT181"/>
      <c r="BA181"/>
      <c r="BH181"/>
      <c r="BO181"/>
      <c r="BV181"/>
      <c r="CC181"/>
      <c r="CJ181"/>
    </row>
    <row r="182" spans="18:88" x14ac:dyDescent="0.2">
      <c r="R182"/>
      <c r="Y182"/>
      <c r="AF182"/>
      <c r="AM182"/>
      <c r="AT182"/>
      <c r="BA182"/>
      <c r="BH182"/>
      <c r="BO182"/>
      <c r="BV182"/>
      <c r="CC182"/>
      <c r="CJ182"/>
    </row>
    <row r="183" spans="18:88" x14ac:dyDescent="0.2">
      <c r="R183"/>
      <c r="Y183"/>
      <c r="AF183"/>
      <c r="AM183"/>
      <c r="AT183"/>
      <c r="BA183"/>
      <c r="BH183"/>
      <c r="BO183"/>
      <c r="BV183"/>
      <c r="CC183"/>
      <c r="CJ183"/>
    </row>
    <row r="184" spans="18:88" x14ac:dyDescent="0.2">
      <c r="R184"/>
      <c r="Y184"/>
      <c r="AF184"/>
      <c r="AM184"/>
      <c r="AT184"/>
      <c r="BA184"/>
      <c r="BH184"/>
      <c r="BO184"/>
      <c r="BV184"/>
      <c r="CC184"/>
      <c r="CJ184"/>
    </row>
    <row r="185" spans="18:88" x14ac:dyDescent="0.2">
      <c r="R185"/>
      <c r="Y185"/>
      <c r="AF185"/>
      <c r="AM185"/>
      <c r="AT185"/>
      <c r="BA185"/>
      <c r="BH185"/>
      <c r="BO185"/>
      <c r="BV185"/>
      <c r="CC185"/>
      <c r="CJ185"/>
    </row>
    <row r="186" spans="18:88" x14ac:dyDescent="0.2">
      <c r="R186"/>
      <c r="Y186"/>
      <c r="AF186"/>
      <c r="AM186"/>
      <c r="AT186"/>
      <c r="BA186"/>
      <c r="BH186"/>
      <c r="BO186"/>
      <c r="BV186"/>
      <c r="CC186"/>
      <c r="CJ186"/>
    </row>
    <row r="187" spans="18:88" x14ac:dyDescent="0.2">
      <c r="R187"/>
      <c r="Y187"/>
      <c r="AF187"/>
      <c r="AM187"/>
      <c r="AT187"/>
      <c r="BA187"/>
      <c r="BH187"/>
      <c r="BO187"/>
      <c r="BV187"/>
      <c r="CC187"/>
      <c r="CJ187"/>
    </row>
    <row r="188" spans="18:88" x14ac:dyDescent="0.2">
      <c r="R188"/>
      <c r="Y188"/>
      <c r="AF188"/>
      <c r="AM188"/>
      <c r="AT188"/>
      <c r="BA188"/>
      <c r="BH188"/>
      <c r="BO188"/>
      <c r="BV188"/>
      <c r="CC188"/>
      <c r="CJ188"/>
    </row>
    <row r="189" spans="18:88" x14ac:dyDescent="0.2">
      <c r="R189"/>
      <c r="Y189"/>
      <c r="AF189"/>
      <c r="AM189"/>
      <c r="AT189"/>
      <c r="BA189"/>
      <c r="BH189"/>
      <c r="BO189"/>
      <c r="BV189"/>
      <c r="CC189"/>
      <c r="CJ189"/>
    </row>
    <row r="190" spans="18:88" x14ac:dyDescent="0.2">
      <c r="R190"/>
      <c r="Y190"/>
      <c r="AF190"/>
      <c r="AM190"/>
      <c r="AT190"/>
      <c r="BA190"/>
      <c r="BH190"/>
      <c r="BO190"/>
      <c r="BV190"/>
      <c r="CC190"/>
      <c r="CJ190"/>
    </row>
    <row r="191" spans="18:88" x14ac:dyDescent="0.2">
      <c r="R191"/>
      <c r="Y191"/>
      <c r="AF191"/>
      <c r="AM191"/>
      <c r="AT191"/>
      <c r="BA191"/>
      <c r="BH191"/>
      <c r="BO191"/>
      <c r="BV191"/>
      <c r="CC191"/>
      <c r="CJ191"/>
    </row>
    <row r="192" spans="18:88" x14ac:dyDescent="0.2">
      <c r="R192"/>
      <c r="Y192"/>
      <c r="AF192"/>
      <c r="AM192"/>
      <c r="AT192"/>
      <c r="BA192"/>
      <c r="BH192"/>
      <c r="BO192"/>
      <c r="BV192"/>
      <c r="CC192"/>
      <c r="CJ192"/>
    </row>
    <row r="193" spans="18:88" x14ac:dyDescent="0.2">
      <c r="R193"/>
      <c r="Y193"/>
      <c r="AF193"/>
      <c r="AM193"/>
      <c r="AT193"/>
      <c r="BA193"/>
      <c r="BH193"/>
      <c r="BO193"/>
      <c r="BV193"/>
      <c r="CC193"/>
      <c r="CJ193"/>
    </row>
    <row r="194" spans="18:88" x14ac:dyDescent="0.2">
      <c r="R194"/>
      <c r="Y194"/>
      <c r="AF194"/>
      <c r="AM194"/>
      <c r="AT194"/>
      <c r="BA194"/>
      <c r="BH194"/>
      <c r="BO194"/>
      <c r="BV194"/>
      <c r="CC194"/>
      <c r="CJ194"/>
    </row>
    <row r="195" spans="18:88" x14ac:dyDescent="0.2">
      <c r="R195"/>
      <c r="Y195"/>
      <c r="AF195"/>
      <c r="AM195"/>
      <c r="AT195"/>
      <c r="BA195"/>
      <c r="BH195"/>
      <c r="BO195"/>
      <c r="BV195"/>
      <c r="CC195"/>
      <c r="CJ195"/>
    </row>
    <row r="196" spans="18:88" x14ac:dyDescent="0.2">
      <c r="R196"/>
      <c r="Y196"/>
      <c r="AF196"/>
      <c r="AM196"/>
      <c r="AT196"/>
      <c r="BA196"/>
      <c r="BH196"/>
      <c r="BO196"/>
      <c r="BV196"/>
      <c r="CC196"/>
      <c r="CJ196"/>
    </row>
    <row r="197" spans="18:88" x14ac:dyDescent="0.2">
      <c r="R197"/>
      <c r="Y197"/>
      <c r="AF197"/>
      <c r="AM197"/>
      <c r="AT197"/>
      <c r="BA197"/>
      <c r="BH197"/>
      <c r="BO197"/>
      <c r="BV197"/>
      <c r="CC197"/>
      <c r="CJ197"/>
    </row>
    <row r="198" spans="18:88" x14ac:dyDescent="0.2">
      <c r="R198"/>
      <c r="Y198"/>
      <c r="AF198"/>
      <c r="AM198"/>
      <c r="AT198"/>
      <c r="BA198"/>
      <c r="BH198"/>
      <c r="BO198"/>
      <c r="BV198"/>
      <c r="CC198"/>
      <c r="CJ198"/>
    </row>
    <row r="199" spans="18:88" x14ac:dyDescent="0.2">
      <c r="R199"/>
      <c r="Y199"/>
      <c r="AF199"/>
      <c r="AM199"/>
      <c r="AT199"/>
      <c r="BA199"/>
      <c r="BH199"/>
      <c r="BO199"/>
      <c r="BV199"/>
      <c r="CC199"/>
      <c r="CJ199"/>
    </row>
    <row r="200" spans="18:88" x14ac:dyDescent="0.2">
      <c r="R200"/>
      <c r="Y200"/>
      <c r="AF200"/>
      <c r="AM200"/>
      <c r="AT200"/>
      <c r="BA200"/>
      <c r="BH200"/>
      <c r="BO200"/>
      <c r="BV200"/>
      <c r="CC200"/>
      <c r="CJ200"/>
    </row>
    <row r="201" spans="18:88" x14ac:dyDescent="0.2">
      <c r="R201"/>
      <c r="Y201"/>
      <c r="AF201"/>
      <c r="AM201"/>
      <c r="AT201"/>
      <c r="BA201"/>
      <c r="BH201"/>
      <c r="BO201"/>
      <c r="BV201"/>
      <c r="CC201"/>
      <c r="CJ201"/>
    </row>
    <row r="202" spans="18:88" x14ac:dyDescent="0.2">
      <c r="R202"/>
      <c r="Y202"/>
      <c r="AF202"/>
      <c r="AM202"/>
      <c r="AT202"/>
      <c r="BA202"/>
      <c r="BH202"/>
      <c r="BO202"/>
      <c r="BV202"/>
      <c r="CC202"/>
      <c r="CJ202"/>
    </row>
    <row r="203" spans="18:88" x14ac:dyDescent="0.2">
      <c r="R203"/>
      <c r="Y203"/>
      <c r="AF203"/>
      <c r="AM203"/>
      <c r="AT203"/>
      <c r="BA203"/>
      <c r="BH203"/>
      <c r="BO203"/>
      <c r="BV203"/>
      <c r="CC203"/>
      <c r="CJ203"/>
    </row>
    <row r="204" spans="18:88" x14ac:dyDescent="0.2">
      <c r="R204"/>
      <c r="Y204"/>
      <c r="AF204"/>
      <c r="AM204"/>
      <c r="AT204"/>
      <c r="BA204"/>
      <c r="BH204"/>
      <c r="BO204"/>
      <c r="BV204"/>
      <c r="CC204"/>
      <c r="CJ204"/>
    </row>
    <row r="205" spans="18:88" x14ac:dyDescent="0.2">
      <c r="R205"/>
      <c r="Y205"/>
      <c r="AF205"/>
      <c r="AM205"/>
      <c r="AT205"/>
      <c r="BA205"/>
      <c r="BH205"/>
      <c r="BO205"/>
      <c r="BV205"/>
      <c r="CC205"/>
      <c r="CJ205"/>
    </row>
    <row r="206" spans="18:88" x14ac:dyDescent="0.2">
      <c r="R206"/>
      <c r="Y206"/>
      <c r="AF206"/>
      <c r="AM206"/>
      <c r="AT206"/>
      <c r="BA206"/>
      <c r="BH206"/>
      <c r="BO206"/>
      <c r="BV206"/>
      <c r="CC206"/>
      <c r="CJ206"/>
    </row>
    <row r="207" spans="18:88" x14ac:dyDescent="0.2">
      <c r="R207"/>
      <c r="Y207"/>
      <c r="AF207"/>
      <c r="AM207"/>
      <c r="AT207"/>
      <c r="BA207"/>
      <c r="BH207"/>
      <c r="BO207"/>
      <c r="BV207"/>
      <c r="CC207"/>
      <c r="CJ207"/>
    </row>
    <row r="208" spans="18:88" x14ac:dyDescent="0.2">
      <c r="R208"/>
      <c r="Y208"/>
      <c r="AF208"/>
      <c r="AM208"/>
      <c r="AT208"/>
      <c r="BA208"/>
      <c r="BH208"/>
      <c r="BO208"/>
      <c r="BV208"/>
      <c r="CC208"/>
      <c r="CJ208"/>
    </row>
    <row r="209" spans="18:88" x14ac:dyDescent="0.2">
      <c r="R209"/>
      <c r="Y209"/>
      <c r="AF209"/>
      <c r="AM209"/>
      <c r="AT209"/>
      <c r="BA209"/>
      <c r="BH209"/>
      <c r="BO209"/>
      <c r="BV209"/>
      <c r="CC209"/>
      <c r="CJ209"/>
    </row>
    <row r="210" spans="18:88" x14ac:dyDescent="0.2">
      <c r="R210"/>
      <c r="Y210"/>
      <c r="AF210"/>
      <c r="AM210"/>
      <c r="AT210"/>
      <c r="BA210"/>
      <c r="BH210"/>
      <c r="BO210"/>
      <c r="BV210"/>
      <c r="CC210"/>
      <c r="CJ210"/>
    </row>
    <row r="211" spans="18:88" x14ac:dyDescent="0.2">
      <c r="R211"/>
      <c r="Y211"/>
      <c r="AF211"/>
      <c r="AM211"/>
      <c r="AT211"/>
      <c r="BA211"/>
      <c r="BH211"/>
      <c r="BO211"/>
      <c r="BV211"/>
      <c r="CC211"/>
      <c r="CJ211"/>
    </row>
    <row r="212" spans="18:88" x14ac:dyDescent="0.2">
      <c r="R212"/>
      <c r="Y212"/>
      <c r="AF212"/>
      <c r="AM212"/>
      <c r="AT212"/>
      <c r="BA212"/>
      <c r="BH212"/>
      <c r="BO212"/>
      <c r="BV212"/>
      <c r="CC212"/>
      <c r="CJ212"/>
    </row>
    <row r="213" spans="18:88" x14ac:dyDescent="0.2">
      <c r="R213"/>
      <c r="Y213"/>
      <c r="AF213"/>
      <c r="AM213"/>
      <c r="AT213"/>
      <c r="BA213"/>
      <c r="BH213"/>
      <c r="BO213"/>
      <c r="BV213"/>
      <c r="CC213"/>
      <c r="CJ213"/>
    </row>
    <row r="214" spans="18:88" x14ac:dyDescent="0.2">
      <c r="R214"/>
      <c r="Y214"/>
      <c r="AF214"/>
      <c r="AM214"/>
      <c r="AT214"/>
      <c r="BA214"/>
      <c r="BH214"/>
      <c r="BO214"/>
      <c r="BV214"/>
      <c r="CC214"/>
      <c r="CJ214"/>
    </row>
    <row r="215" spans="18:88" x14ac:dyDescent="0.2">
      <c r="R215"/>
      <c r="Y215"/>
      <c r="AF215"/>
      <c r="AM215"/>
      <c r="AT215"/>
      <c r="BA215"/>
      <c r="BH215"/>
      <c r="BO215"/>
      <c r="BV215"/>
      <c r="CC215"/>
      <c r="CJ215"/>
    </row>
    <row r="216" spans="18:88" x14ac:dyDescent="0.2">
      <c r="R216"/>
      <c r="Y216"/>
    </row>
    <row r="217" spans="18:88" x14ac:dyDescent="0.2">
      <c r="R217"/>
      <c r="Y217"/>
      <c r="AF217"/>
      <c r="AM217"/>
      <c r="AT217"/>
      <c r="BA217"/>
      <c r="BH217"/>
      <c r="BO217"/>
      <c r="BV217"/>
      <c r="CC217"/>
      <c r="CJ217"/>
    </row>
    <row r="218" spans="18:88" x14ac:dyDescent="0.2">
      <c r="R218"/>
      <c r="Y218"/>
      <c r="AF218"/>
      <c r="AM218"/>
      <c r="AT218"/>
      <c r="BA218"/>
      <c r="BH218"/>
      <c r="BO218"/>
      <c r="BV218"/>
      <c r="CC218"/>
      <c r="CJ218"/>
    </row>
    <row r="219" spans="18:88" x14ac:dyDescent="0.2">
      <c r="R219"/>
      <c r="Y219"/>
      <c r="AF219"/>
      <c r="AM219"/>
      <c r="AT219"/>
      <c r="BA219"/>
      <c r="BH219"/>
      <c r="BO219"/>
      <c r="BV219"/>
      <c r="CC219"/>
      <c r="CJ219"/>
    </row>
    <row r="220" spans="18:88" x14ac:dyDescent="0.2">
      <c r="R220"/>
      <c r="Y220"/>
      <c r="AF220"/>
      <c r="AM220"/>
      <c r="AT220"/>
      <c r="BA220"/>
      <c r="BH220"/>
      <c r="BO220"/>
      <c r="BV220"/>
      <c r="CC220"/>
      <c r="CJ220"/>
    </row>
    <row r="221" spans="18:88" x14ac:dyDescent="0.2">
      <c r="R221"/>
      <c r="Y221"/>
      <c r="AF221"/>
      <c r="AM221"/>
      <c r="AT221"/>
      <c r="BA221"/>
      <c r="BH221"/>
      <c r="BO221"/>
      <c r="BV221"/>
      <c r="CC221"/>
      <c r="CJ221"/>
    </row>
    <row r="222" spans="18:88" x14ac:dyDescent="0.2">
      <c r="R222"/>
      <c r="Y222"/>
    </row>
    <row r="223" spans="18:88" x14ac:dyDescent="0.2">
      <c r="R223"/>
      <c r="Y223"/>
      <c r="AF223"/>
      <c r="AM223"/>
      <c r="AT223"/>
      <c r="BA223"/>
      <c r="BH223"/>
      <c r="BO223"/>
      <c r="BV223"/>
      <c r="CC223"/>
      <c r="CJ223"/>
    </row>
    <row r="224" spans="18:88" x14ac:dyDescent="0.2">
      <c r="R224"/>
      <c r="Y224"/>
    </row>
    <row r="225" spans="18:88" x14ac:dyDescent="0.2">
      <c r="R225"/>
      <c r="Y225"/>
      <c r="AF225"/>
      <c r="AM225"/>
      <c r="AT225"/>
      <c r="BA225"/>
      <c r="BH225"/>
      <c r="BO225"/>
      <c r="BV225"/>
      <c r="CC225"/>
      <c r="CJ225"/>
    </row>
    <row r="226" spans="18:88" x14ac:dyDescent="0.2">
      <c r="R226"/>
      <c r="Y226"/>
      <c r="AF226"/>
      <c r="AM226"/>
      <c r="AT226"/>
      <c r="BA226"/>
      <c r="BH226"/>
      <c r="BO226"/>
      <c r="BV226"/>
      <c r="CC226"/>
      <c r="CJ226"/>
    </row>
    <row r="227" spans="18:88" x14ac:dyDescent="0.2">
      <c r="R227"/>
      <c r="Y227"/>
      <c r="AF227"/>
      <c r="AM227"/>
      <c r="AT227"/>
      <c r="BA227"/>
      <c r="BH227"/>
      <c r="BO227"/>
      <c r="BV227"/>
      <c r="CC227"/>
      <c r="CJ227"/>
    </row>
    <row r="228" spans="18:88" x14ac:dyDescent="0.2">
      <c r="R228"/>
      <c r="Y228"/>
      <c r="AF228"/>
      <c r="AM228"/>
      <c r="AT228"/>
      <c r="BA228"/>
      <c r="BH228"/>
      <c r="BO228"/>
      <c r="BV228"/>
      <c r="CC228"/>
      <c r="CJ228"/>
    </row>
    <row r="229" spans="18:88" x14ac:dyDescent="0.2">
      <c r="R229"/>
      <c r="Y229"/>
      <c r="AF229"/>
      <c r="AM229"/>
      <c r="AT229"/>
      <c r="BA229"/>
      <c r="BH229"/>
      <c r="BO229"/>
      <c r="BV229"/>
      <c r="CC229"/>
      <c r="CJ229"/>
    </row>
    <row r="230" spans="18:88" x14ac:dyDescent="0.2">
      <c r="R230"/>
      <c r="Y230"/>
      <c r="AF230"/>
      <c r="AM230"/>
      <c r="AT230"/>
      <c r="BA230"/>
      <c r="BH230"/>
      <c r="BO230"/>
      <c r="BV230"/>
      <c r="CC230"/>
      <c r="CJ230"/>
    </row>
    <row r="231" spans="18:88" x14ac:dyDescent="0.2">
      <c r="R231"/>
      <c r="Y231"/>
      <c r="AF231"/>
      <c r="AM231"/>
      <c r="AT231"/>
      <c r="BA231"/>
      <c r="BH231"/>
      <c r="BO231"/>
      <c r="BV231"/>
      <c r="CC231"/>
      <c r="CJ231"/>
    </row>
    <row r="232" spans="18:88" x14ac:dyDescent="0.2">
      <c r="R232"/>
      <c r="Y232"/>
      <c r="AF232"/>
      <c r="AM232"/>
      <c r="AT232"/>
      <c r="BA232"/>
      <c r="BH232"/>
      <c r="BO232"/>
      <c r="BV232"/>
      <c r="CC232"/>
      <c r="CJ232"/>
    </row>
    <row r="233" spans="18:88" x14ac:dyDescent="0.2">
      <c r="R233"/>
      <c r="Y233"/>
      <c r="AF233"/>
      <c r="AM233"/>
      <c r="AT233"/>
      <c r="BA233"/>
      <c r="BH233"/>
      <c r="BO233"/>
      <c r="BV233"/>
      <c r="CC233"/>
      <c r="CJ233"/>
    </row>
    <row r="234" spans="18:88" x14ac:dyDescent="0.2">
      <c r="R234"/>
      <c r="Y234"/>
      <c r="AF234"/>
      <c r="AM234"/>
      <c r="AT234"/>
      <c r="BA234"/>
      <c r="BH234"/>
      <c r="BO234"/>
      <c r="BV234"/>
      <c r="CC234"/>
      <c r="CJ234"/>
    </row>
    <row r="235" spans="18:88" x14ac:dyDescent="0.2">
      <c r="R235"/>
      <c r="Y235"/>
      <c r="AF235"/>
      <c r="AM235"/>
      <c r="AT235"/>
      <c r="BA235"/>
      <c r="BH235"/>
      <c r="BO235"/>
      <c r="BV235"/>
      <c r="CC235"/>
      <c r="CJ235"/>
    </row>
    <row r="236" spans="18:88" x14ac:dyDescent="0.2">
      <c r="R236"/>
      <c r="Y236"/>
      <c r="AF236"/>
      <c r="AM236"/>
      <c r="AT236"/>
      <c r="BA236"/>
      <c r="BH236"/>
      <c r="BO236"/>
      <c r="BV236"/>
      <c r="CC236"/>
      <c r="CJ236"/>
    </row>
    <row r="237" spans="18:88" x14ac:dyDescent="0.2">
      <c r="R237"/>
      <c r="Y237"/>
      <c r="AF237"/>
      <c r="AM237"/>
      <c r="AT237"/>
      <c r="BA237"/>
      <c r="BH237"/>
      <c r="BO237"/>
      <c r="BV237"/>
      <c r="CC237"/>
      <c r="CJ237"/>
    </row>
    <row r="238" spans="18:88" x14ac:dyDescent="0.2">
      <c r="R238"/>
      <c r="Y238"/>
      <c r="AF238"/>
      <c r="AM238"/>
      <c r="AT238"/>
      <c r="BA238"/>
      <c r="BH238"/>
      <c r="BO238"/>
      <c r="BV238"/>
      <c r="CC238"/>
      <c r="CJ238"/>
    </row>
    <row r="239" spans="18:88" x14ac:dyDescent="0.2">
      <c r="R239"/>
      <c r="Y239"/>
    </row>
    <row r="240" spans="18:88" x14ac:dyDescent="0.2">
      <c r="R240"/>
      <c r="Y240"/>
      <c r="AF240"/>
      <c r="AM240"/>
      <c r="AT240"/>
      <c r="BA240"/>
      <c r="BH240"/>
      <c r="BO240"/>
      <c r="BV240"/>
      <c r="CC240"/>
      <c r="CJ240"/>
    </row>
    <row r="241" spans="18:88" x14ac:dyDescent="0.2">
      <c r="R241"/>
      <c r="Y241"/>
      <c r="AF241"/>
      <c r="AM241"/>
      <c r="AT241"/>
      <c r="BA241"/>
      <c r="BH241"/>
      <c r="BO241"/>
      <c r="BV241"/>
      <c r="CC241"/>
      <c r="CJ241"/>
    </row>
  </sheetData>
  <mergeCells count="157">
    <mergeCell ref="CI99:CN99"/>
    <mergeCell ref="CN118:CN119"/>
    <mergeCell ref="CI122:CN122"/>
    <mergeCell ref="CI3:CM3"/>
    <mergeCell ref="CI6:CM6"/>
    <mergeCell ref="CM25:CM26"/>
    <mergeCell ref="CI29:CN29"/>
    <mergeCell ref="CN48:CN49"/>
    <mergeCell ref="CI53:CN53"/>
    <mergeCell ref="CN72:CN73"/>
    <mergeCell ref="CI76:CN76"/>
    <mergeCell ref="CN95:CN96"/>
    <mergeCell ref="C131:H131"/>
    <mergeCell ref="Q122:V122"/>
    <mergeCell ref="X122:AC122"/>
    <mergeCell ref="CB3:CF3"/>
    <mergeCell ref="CB6:CF6"/>
    <mergeCell ref="CF25:CF26"/>
    <mergeCell ref="CB29:CG29"/>
    <mergeCell ref="CG48:CG49"/>
    <mergeCell ref="CB53:CG53"/>
    <mergeCell ref="CG72:CG73"/>
    <mergeCell ref="CB76:CG76"/>
    <mergeCell ref="CG95:CG96"/>
    <mergeCell ref="CB99:CG99"/>
    <mergeCell ref="CG118:CG119"/>
    <mergeCell ref="CB122:CG122"/>
    <mergeCell ref="J99:O99"/>
    <mergeCell ref="O118:O119"/>
    <mergeCell ref="J122:O122"/>
    <mergeCell ref="J3:N3"/>
    <mergeCell ref="J6:N6"/>
    <mergeCell ref="N25:N26"/>
    <mergeCell ref="J29:O29"/>
    <mergeCell ref="O48:O49"/>
    <mergeCell ref="C3:G3"/>
    <mergeCell ref="C6:G6"/>
    <mergeCell ref="G25:G26"/>
    <mergeCell ref="C29:H29"/>
    <mergeCell ref="H48:H49"/>
    <mergeCell ref="C53:H53"/>
    <mergeCell ref="J53:O53"/>
    <mergeCell ref="H72:H73"/>
    <mergeCell ref="C76:H76"/>
    <mergeCell ref="H95:H96"/>
    <mergeCell ref="C99:H99"/>
    <mergeCell ref="O72:O73"/>
    <mergeCell ref="J76:O76"/>
    <mergeCell ref="O95:O96"/>
    <mergeCell ref="H118:H119"/>
    <mergeCell ref="C122:H122"/>
    <mergeCell ref="V72:V73"/>
    <mergeCell ref="Q76:V76"/>
    <mergeCell ref="V95:V96"/>
    <mergeCell ref="Q99:V99"/>
    <mergeCell ref="V118:V119"/>
    <mergeCell ref="Q3:U3"/>
    <mergeCell ref="Q6:U6"/>
    <mergeCell ref="U25:U26"/>
    <mergeCell ref="Q29:V29"/>
    <mergeCell ref="V48:V49"/>
    <mergeCell ref="Q53:V53"/>
    <mergeCell ref="AC72:AC73"/>
    <mergeCell ref="X76:AC76"/>
    <mergeCell ref="AC95:AC96"/>
    <mergeCell ref="X99:AC99"/>
    <mergeCell ref="AC118:AC119"/>
    <mergeCell ref="X3:AB3"/>
    <mergeCell ref="X6:AB6"/>
    <mergeCell ref="AB25:AB26"/>
    <mergeCell ref="X29:AC29"/>
    <mergeCell ref="AC48:AC49"/>
    <mergeCell ref="X53:AC53"/>
    <mergeCell ref="AJ118:AJ119"/>
    <mergeCell ref="AE122:AJ122"/>
    <mergeCell ref="AL3:AP3"/>
    <mergeCell ref="AL6:AP6"/>
    <mergeCell ref="AP25:AP26"/>
    <mergeCell ref="AL29:AQ29"/>
    <mergeCell ref="AQ48:AQ49"/>
    <mergeCell ref="AL53:AQ53"/>
    <mergeCell ref="AQ72:AQ73"/>
    <mergeCell ref="AL76:AQ76"/>
    <mergeCell ref="AQ95:AQ96"/>
    <mergeCell ref="AL99:AQ99"/>
    <mergeCell ref="AQ118:AQ119"/>
    <mergeCell ref="AL122:AQ122"/>
    <mergeCell ref="AE53:AJ53"/>
    <mergeCell ref="AJ72:AJ73"/>
    <mergeCell ref="AE76:AJ76"/>
    <mergeCell ref="AJ95:AJ96"/>
    <mergeCell ref="AE99:AJ99"/>
    <mergeCell ref="AE3:AI3"/>
    <mergeCell ref="AE6:AI6"/>
    <mergeCell ref="AI25:AI26"/>
    <mergeCell ref="AE29:AJ29"/>
    <mergeCell ref="AJ48:AJ49"/>
    <mergeCell ref="AX118:AX119"/>
    <mergeCell ref="AS122:AX122"/>
    <mergeCell ref="AZ3:BD3"/>
    <mergeCell ref="AZ6:BD6"/>
    <mergeCell ref="BD25:BD26"/>
    <mergeCell ref="AZ29:BE29"/>
    <mergeCell ref="BE48:BE49"/>
    <mergeCell ref="AZ53:BE53"/>
    <mergeCell ref="BE72:BE73"/>
    <mergeCell ref="AZ76:BE76"/>
    <mergeCell ref="BE95:BE96"/>
    <mergeCell ref="AZ99:BE99"/>
    <mergeCell ref="BE118:BE119"/>
    <mergeCell ref="AZ122:BE122"/>
    <mergeCell ref="AS53:AX53"/>
    <mergeCell ref="AX72:AX73"/>
    <mergeCell ref="AS76:AX76"/>
    <mergeCell ref="AX95:AX96"/>
    <mergeCell ref="AS99:AX99"/>
    <mergeCell ref="AS3:AW3"/>
    <mergeCell ref="AS6:AW6"/>
    <mergeCell ref="AW25:AW26"/>
    <mergeCell ref="AS29:AX29"/>
    <mergeCell ref="AX48:AX49"/>
    <mergeCell ref="BL118:BL119"/>
    <mergeCell ref="BG122:BL122"/>
    <mergeCell ref="BN3:BR3"/>
    <mergeCell ref="BN6:BR6"/>
    <mergeCell ref="BR25:BR26"/>
    <mergeCell ref="BN29:BS29"/>
    <mergeCell ref="BS48:BS49"/>
    <mergeCell ref="BN53:BS53"/>
    <mergeCell ref="BS72:BS73"/>
    <mergeCell ref="BN76:BS76"/>
    <mergeCell ref="BS95:BS96"/>
    <mergeCell ref="BN99:BS99"/>
    <mergeCell ref="BS118:BS119"/>
    <mergeCell ref="BN122:BS122"/>
    <mergeCell ref="BG53:BL53"/>
    <mergeCell ref="BL72:BL73"/>
    <mergeCell ref="BG76:BL76"/>
    <mergeCell ref="BL95:BL96"/>
    <mergeCell ref="BG99:BL99"/>
    <mergeCell ref="BG3:BK3"/>
    <mergeCell ref="BG6:BK6"/>
    <mergeCell ref="BK25:BK26"/>
    <mergeCell ref="BG29:BL29"/>
    <mergeCell ref="BL48:BL49"/>
    <mergeCell ref="BZ118:BZ119"/>
    <mergeCell ref="BU122:BZ122"/>
    <mergeCell ref="BU53:BZ53"/>
    <mergeCell ref="BZ72:BZ73"/>
    <mergeCell ref="BU76:BZ76"/>
    <mergeCell ref="BZ95:BZ96"/>
    <mergeCell ref="BU99:BZ99"/>
    <mergeCell ref="BU3:BY3"/>
    <mergeCell ref="BU6:BY6"/>
    <mergeCell ref="BY25:BY26"/>
    <mergeCell ref="BU29:BZ29"/>
    <mergeCell ref="BZ48:BZ49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G176"/>
  <sheetViews>
    <sheetView showGridLines="0" topLeftCell="A139" zoomScaleNormal="100" zoomScalePageLayoutView="125" workbookViewId="0">
      <selection activeCell="D156" sqref="D156:H156"/>
    </sheetView>
  </sheetViews>
  <sheetFormatPr baseColWidth="10" defaultRowHeight="15" x14ac:dyDescent="0.2"/>
  <cols>
    <col min="1" max="1" width="19.6640625" customWidth="1"/>
    <col min="2" max="2" width="2.5" customWidth="1"/>
    <col min="3" max="3" width="40.83203125" customWidth="1"/>
    <col min="4" max="4" width="18.83203125" bestFit="1" customWidth="1"/>
    <col min="5" max="5" width="21.1640625" bestFit="1" customWidth="1"/>
    <col min="6" max="7" width="22" bestFit="1" customWidth="1"/>
    <col min="8" max="8" width="22.5" bestFit="1" customWidth="1"/>
    <col min="9" max="10" width="5.1640625" customWidth="1"/>
    <col min="11" max="11" width="27.5" customWidth="1"/>
    <col min="12" max="12" width="18.83203125" bestFit="1" customWidth="1"/>
    <col min="13" max="14" width="21.1640625" bestFit="1" customWidth="1"/>
    <col min="15" max="15" width="20.1640625" customWidth="1"/>
    <col min="16" max="16" width="21.1640625" bestFit="1" customWidth="1"/>
    <col min="17" max="18" width="2.1640625" customWidth="1"/>
    <col min="19" max="19" width="3.5" customWidth="1"/>
    <col min="20" max="20" width="40.83203125" customWidth="1"/>
    <col min="21" max="21" width="17.83203125" customWidth="1"/>
    <col min="22" max="22" width="19.5" bestFit="1" customWidth="1"/>
    <col min="23" max="23" width="20.6640625" bestFit="1" customWidth="1"/>
    <col min="24" max="24" width="21.1640625" bestFit="1" customWidth="1"/>
    <col min="25" max="25" width="20.6640625" bestFit="1" customWidth="1"/>
    <col min="26" max="26" width="2.6640625" customWidth="1"/>
    <col min="28" max="28" width="32.1640625" customWidth="1"/>
    <col min="29" max="29" width="18" customWidth="1"/>
    <col min="30" max="30" width="20.1640625" bestFit="1" customWidth="1"/>
    <col min="31" max="33" width="21.1640625" bestFit="1" customWidth="1"/>
    <col min="34" max="34" width="17.83203125" customWidth="1"/>
    <col min="35" max="35" width="4.6640625" customWidth="1"/>
    <col min="36" max="36" width="17.83203125" customWidth="1"/>
    <col min="37" max="37" width="3.5" customWidth="1"/>
    <col min="38" max="38" width="40.83203125" customWidth="1"/>
    <col min="39" max="43" width="17.83203125" customWidth="1"/>
    <col min="44" max="44" width="16.1640625" customWidth="1"/>
  </cols>
  <sheetData>
    <row r="3" spans="3:32" x14ac:dyDescent="0.2">
      <c r="C3" s="858" t="s">
        <v>320</v>
      </c>
      <c r="D3" s="859"/>
      <c r="E3" s="859"/>
      <c r="F3" s="859"/>
      <c r="G3" s="859"/>
      <c r="H3" s="402"/>
      <c r="K3" s="858" t="s">
        <v>322</v>
      </c>
      <c r="L3" s="859"/>
      <c r="M3" s="859"/>
      <c r="N3" s="859"/>
      <c r="O3" s="860"/>
      <c r="T3" s="858" t="s">
        <v>335</v>
      </c>
      <c r="U3" s="859"/>
      <c r="V3" s="859"/>
      <c r="W3" s="859"/>
      <c r="X3" s="860"/>
      <c r="AB3" s="858" t="s">
        <v>325</v>
      </c>
      <c r="AC3" s="859"/>
      <c r="AD3" s="859"/>
      <c r="AE3" s="859"/>
      <c r="AF3" s="860"/>
    </row>
    <row r="4" spans="3:32" x14ac:dyDescent="0.2">
      <c r="C4" s="9" t="s">
        <v>25</v>
      </c>
      <c r="D4" s="5" t="s">
        <v>3</v>
      </c>
      <c r="E4" s="5" t="s">
        <v>4</v>
      </c>
      <c r="F4" s="10" t="s">
        <v>5</v>
      </c>
      <c r="G4" s="39" t="s">
        <v>352</v>
      </c>
      <c r="K4" s="9" t="s">
        <v>25</v>
      </c>
      <c r="L4" s="5" t="s">
        <v>3</v>
      </c>
      <c r="M4" s="5" t="s">
        <v>4</v>
      </c>
      <c r="N4" s="10" t="s">
        <v>5</v>
      </c>
      <c r="O4" s="39" t="s">
        <v>352</v>
      </c>
      <c r="T4" s="9" t="s">
        <v>25</v>
      </c>
      <c r="U4" s="5" t="s">
        <v>3</v>
      </c>
      <c r="V4" s="5" t="s">
        <v>4</v>
      </c>
      <c r="W4" s="10" t="s">
        <v>5</v>
      </c>
      <c r="X4" s="39" t="s">
        <v>352</v>
      </c>
      <c r="AB4" s="9" t="s">
        <v>25</v>
      </c>
      <c r="AC4" s="5" t="s">
        <v>3</v>
      </c>
      <c r="AD4" s="5" t="s">
        <v>4</v>
      </c>
      <c r="AE4" s="10" t="s">
        <v>5</v>
      </c>
      <c r="AF4" s="39" t="s">
        <v>352</v>
      </c>
    </row>
    <row r="5" spans="3:32" x14ac:dyDescent="0.2">
      <c r="C5" s="18" t="s">
        <v>309</v>
      </c>
      <c r="D5" s="20">
        <f>+'CA Elevage'!C6+'CA Elevage'!C11+'CA Elevage'!C17</f>
        <v>3000</v>
      </c>
      <c r="E5" s="20"/>
      <c r="F5" s="20"/>
      <c r="G5" s="38">
        <f>+SUM(C5:F5)</f>
        <v>3000</v>
      </c>
      <c r="K5" s="18" t="s">
        <v>322</v>
      </c>
      <c r="L5" s="20">
        <f>+'CA Elevage'!K6+'CA Elevage'!K11+'CA Elevage'!K17</f>
        <v>10</v>
      </c>
      <c r="M5" s="20"/>
      <c r="N5" s="20"/>
      <c r="O5" s="38">
        <f>+SUM(K5:N5)</f>
        <v>10</v>
      </c>
      <c r="T5" s="18" t="s">
        <v>337</v>
      </c>
      <c r="U5" s="20"/>
      <c r="V5" s="20"/>
      <c r="W5" s="20"/>
      <c r="X5" s="38">
        <f>+SUM(T5:W5)</f>
        <v>0</v>
      </c>
      <c r="AB5" s="18" t="s">
        <v>350</v>
      </c>
      <c r="AC5" s="20"/>
      <c r="AD5" s="20"/>
      <c r="AE5" s="20">
        <v>0</v>
      </c>
      <c r="AF5" s="38">
        <f>+SUM(AB5:AE5)</f>
        <v>0</v>
      </c>
    </row>
    <row r="6" spans="3:32" x14ac:dyDescent="0.2">
      <c r="C6" s="11" t="s">
        <v>351</v>
      </c>
      <c r="D6" s="22"/>
      <c r="E6" s="22"/>
      <c r="F6" s="23"/>
      <c r="G6" s="14"/>
      <c r="K6" s="11" t="s">
        <v>351</v>
      </c>
      <c r="L6" s="22"/>
      <c r="M6" s="22"/>
      <c r="N6" s="23">
        <v>0</v>
      </c>
      <c r="O6" s="14"/>
      <c r="T6" s="11" t="s">
        <v>351</v>
      </c>
      <c r="U6" s="22"/>
      <c r="V6" s="22"/>
      <c r="W6" s="23">
        <v>0</v>
      </c>
      <c r="X6" s="14"/>
      <c r="AB6" s="11" t="s">
        <v>351</v>
      </c>
      <c r="AC6" s="22"/>
      <c r="AD6" s="22"/>
      <c r="AE6" s="23">
        <v>0</v>
      </c>
      <c r="AF6" s="14"/>
    </row>
    <row r="7" spans="3:32" x14ac:dyDescent="0.2">
      <c r="C7" s="6" t="s">
        <v>7</v>
      </c>
      <c r="D7" s="24">
        <f>+D6*D5</f>
        <v>0</v>
      </c>
      <c r="E7" s="24">
        <f>+E6*E5</f>
        <v>0</v>
      </c>
      <c r="F7" s="25">
        <f>+F6*F5</f>
        <v>0</v>
      </c>
      <c r="G7" s="14"/>
      <c r="K7" s="6" t="s">
        <v>7</v>
      </c>
      <c r="L7" s="24">
        <f>+L6*L5</f>
        <v>0</v>
      </c>
      <c r="M7" s="24">
        <f>+M6*M5</f>
        <v>0</v>
      </c>
      <c r="N7" s="25">
        <f>+N6*N5</f>
        <v>0</v>
      </c>
      <c r="O7" s="14"/>
      <c r="T7" s="6" t="s">
        <v>7</v>
      </c>
      <c r="U7" s="24">
        <f>+U6*U5</f>
        <v>0</v>
      </c>
      <c r="V7" s="24">
        <f>+V6*V5</f>
        <v>0</v>
      </c>
      <c r="W7" s="25">
        <f>+W6*W5</f>
        <v>0</v>
      </c>
      <c r="X7" s="14"/>
      <c r="AB7" s="6" t="s">
        <v>7</v>
      </c>
      <c r="AC7" s="24">
        <f>+AC6*AC5</f>
        <v>0</v>
      </c>
      <c r="AD7" s="24">
        <f>+AD6*AD5</f>
        <v>0</v>
      </c>
      <c r="AE7" s="25">
        <f>+AE6*AE5</f>
        <v>0</v>
      </c>
      <c r="AF7" s="14"/>
    </row>
    <row r="8" spans="3:32" x14ac:dyDescent="0.2">
      <c r="C8" s="16" t="s">
        <v>8</v>
      </c>
      <c r="D8" s="22">
        <f>+D7</f>
        <v>0</v>
      </c>
      <c r="E8" s="22">
        <f>+D8+E7</f>
        <v>0</v>
      </c>
      <c r="F8" s="23">
        <f>+E8+F7</f>
        <v>0</v>
      </c>
      <c r="G8" s="14"/>
      <c r="K8" s="16" t="s">
        <v>8</v>
      </c>
      <c r="L8" s="22">
        <f>+L7</f>
        <v>0</v>
      </c>
      <c r="M8" s="22">
        <f>+L8+M7</f>
        <v>0</v>
      </c>
      <c r="N8" s="23">
        <f>+M8+N7</f>
        <v>0</v>
      </c>
      <c r="O8" s="14"/>
      <c r="T8" s="16" t="s">
        <v>8</v>
      </c>
      <c r="U8" s="22">
        <f>+U7</f>
        <v>0</v>
      </c>
      <c r="V8" s="22">
        <f>+U8+V7</f>
        <v>0</v>
      </c>
      <c r="W8" s="23">
        <f>+V8+W7</f>
        <v>0</v>
      </c>
      <c r="X8" s="14"/>
      <c r="AB8" s="16" t="s">
        <v>8</v>
      </c>
      <c r="AC8" s="22">
        <f>+AC7</f>
        <v>0</v>
      </c>
      <c r="AD8" s="22">
        <f>+AC8+AD7</f>
        <v>0</v>
      </c>
      <c r="AE8" s="23">
        <f>+AD8+AE7</f>
        <v>0</v>
      </c>
      <c r="AF8" s="14"/>
    </row>
    <row r="9" spans="3:32" x14ac:dyDescent="0.2">
      <c r="C9" s="7"/>
      <c r="D9" s="26"/>
      <c r="E9" s="26"/>
      <c r="F9" s="27"/>
      <c r="G9" s="14"/>
      <c r="K9" s="7"/>
      <c r="L9" s="26"/>
      <c r="M9" s="26"/>
      <c r="N9" s="27"/>
      <c r="O9" s="14"/>
      <c r="T9" s="7"/>
      <c r="U9" s="26"/>
      <c r="V9" s="26"/>
      <c r="W9" s="27"/>
      <c r="X9" s="14"/>
      <c r="AB9" s="7"/>
      <c r="AC9" s="26"/>
      <c r="AD9" s="26"/>
      <c r="AE9" s="27"/>
      <c r="AF9" s="14"/>
    </row>
    <row r="10" spans="3:32" x14ac:dyDescent="0.2">
      <c r="C10" s="17"/>
      <c r="D10" s="20">
        <f>+'CA Elevage'!C11</f>
        <v>0</v>
      </c>
      <c r="E10" s="20">
        <f>+'CA Elevage'!D11</f>
        <v>0</v>
      </c>
      <c r="F10" s="20">
        <f>+'CA Elevage'!E11</f>
        <v>0</v>
      </c>
      <c r="G10" s="14"/>
      <c r="K10" s="17"/>
      <c r="L10" s="20">
        <f>+'CA Elevage'!K11</f>
        <v>0</v>
      </c>
      <c r="M10" s="20">
        <f>+'CA Elevage'!L11</f>
        <v>0</v>
      </c>
      <c r="N10" s="20">
        <f>+'CA Elevage'!M11</f>
        <v>0</v>
      </c>
      <c r="O10" s="14"/>
      <c r="T10" s="17"/>
      <c r="U10" s="20"/>
      <c r="V10" s="20"/>
      <c r="W10" s="20">
        <f>+'CA Elevage'!V11</f>
        <v>0</v>
      </c>
      <c r="X10" s="14"/>
      <c r="AB10" s="17"/>
      <c r="AC10" s="20"/>
      <c r="AD10" s="20"/>
      <c r="AE10" s="20"/>
      <c r="AF10" s="14"/>
    </row>
    <row r="11" spans="3:32" x14ac:dyDescent="0.2">
      <c r="C11" s="11"/>
      <c r="D11" s="22"/>
      <c r="E11" s="22"/>
      <c r="F11" s="23"/>
      <c r="G11" s="38">
        <f>+SUM(C11:F11)</f>
        <v>0</v>
      </c>
      <c r="K11" s="11"/>
      <c r="L11" s="22"/>
      <c r="M11" s="22"/>
      <c r="N11" s="23"/>
      <c r="O11" s="38">
        <f>+SUM(K11:N11)</f>
        <v>0</v>
      </c>
      <c r="T11" s="11"/>
      <c r="U11" s="22"/>
      <c r="V11" s="22"/>
      <c r="W11" s="23"/>
      <c r="X11" s="38">
        <f>+SUM(T11:W11)</f>
        <v>0</v>
      </c>
      <c r="AB11" s="11"/>
      <c r="AC11" s="22"/>
      <c r="AD11" s="22"/>
      <c r="AE11" s="23"/>
      <c r="AF11" s="38">
        <f>+SUM(AB11:AE11)</f>
        <v>0</v>
      </c>
    </row>
    <row r="12" spans="3:32" x14ac:dyDescent="0.2">
      <c r="C12" s="7"/>
      <c r="D12" s="24"/>
      <c r="E12" s="24"/>
      <c r="F12" s="25"/>
      <c r="G12" s="14"/>
      <c r="K12" s="7"/>
      <c r="L12" s="24"/>
      <c r="M12" s="24"/>
      <c r="N12" s="25"/>
      <c r="O12" s="14"/>
      <c r="T12" s="7"/>
      <c r="U12" s="24"/>
      <c r="V12" s="24"/>
      <c r="W12" s="25"/>
      <c r="X12" s="14"/>
      <c r="AB12" s="7"/>
      <c r="AC12" s="24"/>
      <c r="AD12" s="24"/>
      <c r="AE12" s="25"/>
      <c r="AF12" s="14"/>
    </row>
    <row r="13" spans="3:32" x14ac:dyDescent="0.2">
      <c r="C13" s="15"/>
      <c r="D13" s="22">
        <f>+D12*D11</f>
        <v>0</v>
      </c>
      <c r="E13" s="22">
        <f>+E12*E11</f>
        <v>0</v>
      </c>
      <c r="F13" s="23">
        <f>+F12*F11</f>
        <v>0</v>
      </c>
      <c r="G13" s="14"/>
      <c r="K13" s="15"/>
      <c r="L13" s="22">
        <f>+L12*L11</f>
        <v>0</v>
      </c>
      <c r="M13" s="22">
        <f>+M12*M11</f>
        <v>0</v>
      </c>
      <c r="N13" s="23">
        <f>+N12*N11</f>
        <v>0</v>
      </c>
      <c r="O13" s="14"/>
      <c r="T13" s="15"/>
      <c r="U13" s="22">
        <f>+U12*U11</f>
        <v>0</v>
      </c>
      <c r="V13" s="22">
        <f>+V12*V11</f>
        <v>0</v>
      </c>
      <c r="W13" s="23">
        <f>+W12*W11</f>
        <v>0</v>
      </c>
      <c r="X13" s="14"/>
      <c r="AB13" s="15"/>
      <c r="AC13" s="22">
        <f>+AC12*AC11</f>
        <v>0</v>
      </c>
      <c r="AD13" s="22">
        <f>+AD12*AD11</f>
        <v>0</v>
      </c>
      <c r="AE13" s="23">
        <f>+AE12*AE11</f>
        <v>0</v>
      </c>
      <c r="AF13" s="14"/>
    </row>
    <row r="14" spans="3:32" x14ac:dyDescent="0.2">
      <c r="C14" s="12"/>
      <c r="D14" s="28">
        <f>+D13</f>
        <v>0</v>
      </c>
      <c r="E14" s="28">
        <f>+D14+E13</f>
        <v>0</v>
      </c>
      <c r="F14" s="29">
        <f>+E14+F13</f>
        <v>0</v>
      </c>
      <c r="G14" s="14"/>
      <c r="K14" s="12"/>
      <c r="L14" s="28">
        <f>+L13</f>
        <v>0</v>
      </c>
      <c r="M14" s="28">
        <f>+L14+M13</f>
        <v>0</v>
      </c>
      <c r="N14" s="29">
        <f>+M14+N13</f>
        <v>0</v>
      </c>
      <c r="O14" s="14"/>
      <c r="T14" s="12"/>
      <c r="U14" s="28">
        <f>+U13</f>
        <v>0</v>
      </c>
      <c r="V14" s="28">
        <f>+U14+V13</f>
        <v>0</v>
      </c>
      <c r="W14" s="29">
        <f>+V14+W13</f>
        <v>0</v>
      </c>
      <c r="X14" s="14"/>
      <c r="AB14" s="12"/>
      <c r="AC14" s="28">
        <f>+AC13</f>
        <v>0</v>
      </c>
      <c r="AD14" s="28">
        <f>+AC14+AD13</f>
        <v>0</v>
      </c>
      <c r="AE14" s="29">
        <f>+AD14+AE13</f>
        <v>0</v>
      </c>
      <c r="AF14" s="14"/>
    </row>
    <row r="15" spans="3:32" x14ac:dyDescent="0.2">
      <c r="C15" s="7"/>
      <c r="D15" s="26"/>
      <c r="E15" s="26"/>
      <c r="F15" s="27"/>
      <c r="G15" s="14"/>
      <c r="K15" s="7"/>
      <c r="L15" s="26"/>
      <c r="M15" s="26"/>
      <c r="N15" s="27"/>
      <c r="O15" s="14"/>
      <c r="T15" s="7"/>
      <c r="U15" s="26"/>
      <c r="V15" s="26"/>
      <c r="W15" s="27"/>
      <c r="X15" s="14"/>
      <c r="AB15" s="7"/>
      <c r="AC15" s="26"/>
      <c r="AD15" s="26"/>
      <c r="AE15" s="27"/>
      <c r="AF15" s="14"/>
    </row>
    <row r="16" spans="3:32" x14ac:dyDescent="0.2">
      <c r="C16" s="17"/>
      <c r="D16" s="20">
        <f>+'CA Elevage'!C17</f>
        <v>0</v>
      </c>
      <c r="E16" s="20">
        <f>+'CA Elevage'!D17</f>
        <v>0</v>
      </c>
      <c r="F16" s="20">
        <f>+'CA Elevage'!E17</f>
        <v>0</v>
      </c>
      <c r="G16" s="14"/>
      <c r="K16" s="17"/>
      <c r="L16" s="20">
        <f>+'CA Elevage'!K17</f>
        <v>0</v>
      </c>
      <c r="M16" s="20">
        <f>+'CA Elevage'!L17</f>
        <v>0</v>
      </c>
      <c r="N16" s="20">
        <f>+'CA Elevage'!M17</f>
        <v>0</v>
      </c>
      <c r="O16" s="14"/>
      <c r="T16" s="17"/>
      <c r="U16" s="20"/>
      <c r="V16" s="20"/>
      <c r="W16" s="20">
        <f>+'CA Elevage'!V28</f>
        <v>0</v>
      </c>
      <c r="X16" s="14"/>
      <c r="AB16" s="17"/>
      <c r="AC16" s="20"/>
      <c r="AD16" s="20"/>
      <c r="AE16" s="20"/>
      <c r="AF16" s="14"/>
    </row>
    <row r="17" spans="3:33" x14ac:dyDescent="0.2">
      <c r="C17" s="11"/>
      <c r="D17" s="22"/>
      <c r="E17" s="22"/>
      <c r="F17" s="23">
        <v>0</v>
      </c>
      <c r="G17" s="38">
        <f>+SUM(C17:F17)</f>
        <v>0</v>
      </c>
      <c r="K17" s="11"/>
      <c r="L17" s="22"/>
      <c r="M17" s="22"/>
      <c r="N17" s="23">
        <v>0</v>
      </c>
      <c r="O17" s="38">
        <f>+SUM(K17:N17)</f>
        <v>0</v>
      </c>
      <c r="T17" s="11"/>
      <c r="U17" s="22"/>
      <c r="V17" s="22"/>
      <c r="W17" s="23">
        <v>0</v>
      </c>
      <c r="X17" s="38">
        <f>+SUM(T17:W17)</f>
        <v>0</v>
      </c>
      <c r="AB17" s="11"/>
      <c r="AC17" s="22"/>
      <c r="AD17" s="22"/>
      <c r="AE17" s="23">
        <v>0</v>
      </c>
      <c r="AF17" s="38">
        <f>+SUM(AB17:AE17)</f>
        <v>0</v>
      </c>
    </row>
    <row r="18" spans="3:33" x14ac:dyDescent="0.2">
      <c r="C18" s="7"/>
      <c r="D18" s="24"/>
      <c r="E18" s="24"/>
      <c r="F18" s="25">
        <v>0</v>
      </c>
      <c r="G18" s="14"/>
      <c r="K18" s="7"/>
      <c r="L18" s="24"/>
      <c r="M18" s="24"/>
      <c r="N18" s="25">
        <v>0</v>
      </c>
      <c r="O18" s="14"/>
      <c r="T18" s="7"/>
      <c r="U18" s="24"/>
      <c r="V18" s="24"/>
      <c r="W18" s="25">
        <v>0</v>
      </c>
      <c r="X18" s="14"/>
      <c r="AB18" s="7"/>
      <c r="AC18" s="24"/>
      <c r="AD18" s="24"/>
      <c r="AE18" s="25">
        <v>0</v>
      </c>
      <c r="AF18" s="14"/>
    </row>
    <row r="19" spans="3:33" x14ac:dyDescent="0.2">
      <c r="C19" s="15"/>
      <c r="D19" s="30">
        <f>+D18*D17</f>
        <v>0</v>
      </c>
      <c r="E19" s="30"/>
      <c r="F19" s="31">
        <f>+F18*F17</f>
        <v>0</v>
      </c>
      <c r="G19" s="14"/>
      <c r="K19" s="15"/>
      <c r="L19" s="30">
        <f>+L18*L17</f>
        <v>0</v>
      </c>
      <c r="M19" s="30"/>
      <c r="N19" s="31">
        <f>+N18*N17</f>
        <v>0</v>
      </c>
      <c r="O19" s="14"/>
      <c r="T19" s="15"/>
      <c r="U19" s="30">
        <f>+U18*U17</f>
        <v>0</v>
      </c>
      <c r="V19" s="30"/>
      <c r="W19" s="31">
        <f>+W18*W17</f>
        <v>0</v>
      </c>
      <c r="X19" s="14"/>
      <c r="AB19" s="15"/>
      <c r="AC19" s="30">
        <f>+AC18*AC17</f>
        <v>0</v>
      </c>
      <c r="AD19" s="30"/>
      <c r="AE19" s="31">
        <f>+AE18*AE17</f>
        <v>0</v>
      </c>
      <c r="AF19" s="14"/>
    </row>
    <row r="20" spans="3:33" x14ac:dyDescent="0.2">
      <c r="C20" s="12"/>
      <c r="D20" s="32">
        <f>+D19</f>
        <v>0</v>
      </c>
      <c r="E20" s="32">
        <f>+D20+E19</f>
        <v>0</v>
      </c>
      <c r="F20" s="33">
        <f>+E20+F19</f>
        <v>0</v>
      </c>
      <c r="G20" s="14"/>
      <c r="K20" s="12"/>
      <c r="L20" s="32">
        <f>+L19</f>
        <v>0</v>
      </c>
      <c r="M20" s="32">
        <f>+L20+M19</f>
        <v>0</v>
      </c>
      <c r="N20" s="33">
        <f>+M20+N19</f>
        <v>0</v>
      </c>
      <c r="O20" s="14"/>
      <c r="T20" s="12"/>
      <c r="U20" s="32">
        <f>+U19</f>
        <v>0</v>
      </c>
      <c r="V20" s="32">
        <f>+U20+V19</f>
        <v>0</v>
      </c>
      <c r="W20" s="33">
        <f>+V20+W19</f>
        <v>0</v>
      </c>
      <c r="X20" s="14"/>
      <c r="AB20" s="12"/>
      <c r="AC20" s="32">
        <f>+AC19</f>
        <v>0</v>
      </c>
      <c r="AD20" s="32">
        <f>+AC20+AD19</f>
        <v>0</v>
      </c>
      <c r="AE20" s="33">
        <f>+AD20+AE19</f>
        <v>0</v>
      </c>
      <c r="AF20" s="14"/>
    </row>
    <row r="21" spans="3:33" x14ac:dyDescent="0.2">
      <c r="C21" s="8"/>
      <c r="D21" s="34"/>
      <c r="E21" s="34"/>
      <c r="F21" s="35"/>
      <c r="G21" s="14"/>
      <c r="K21" s="8"/>
      <c r="L21" s="34"/>
      <c r="M21" s="34"/>
      <c r="N21" s="35"/>
      <c r="O21" s="14"/>
      <c r="T21" s="8"/>
      <c r="U21" s="34"/>
      <c r="V21" s="34"/>
      <c r="W21" s="35"/>
      <c r="X21" s="14"/>
      <c r="AB21" s="8"/>
      <c r="AC21" s="34"/>
      <c r="AD21" s="34"/>
      <c r="AE21" s="35"/>
      <c r="AF21" s="14"/>
    </row>
    <row r="22" spans="3:33" x14ac:dyDescent="0.2">
      <c r="C22" s="13" t="s">
        <v>23</v>
      </c>
      <c r="D22" s="36">
        <f>+D7+D13+D19</f>
        <v>0</v>
      </c>
      <c r="E22" s="36">
        <f>+E19+E13+E7</f>
        <v>0</v>
      </c>
      <c r="F22" s="36">
        <f>+F19+F13+F7</f>
        <v>0</v>
      </c>
      <c r="G22" s="853">
        <f>+SUM(G5:G21)</f>
        <v>3000</v>
      </c>
      <c r="K22" s="13" t="s">
        <v>23</v>
      </c>
      <c r="L22" s="36">
        <f>+L7+L13+L19</f>
        <v>0</v>
      </c>
      <c r="M22" s="36">
        <f>+M19+M13+M7</f>
        <v>0</v>
      </c>
      <c r="N22" s="36">
        <f>+N19+N13+N7</f>
        <v>0</v>
      </c>
      <c r="O22" s="853">
        <f>+SUM(O5:O21)</f>
        <v>10</v>
      </c>
      <c r="T22" s="13" t="s">
        <v>23</v>
      </c>
      <c r="U22" s="36">
        <f>+U7+U13+U19</f>
        <v>0</v>
      </c>
      <c r="V22" s="36">
        <f>+V19+V13+V7</f>
        <v>0</v>
      </c>
      <c r="W22" s="36">
        <f>+W19+W13+W7</f>
        <v>0</v>
      </c>
      <c r="X22" s="853">
        <f>+SUM(X5:X21)</f>
        <v>0</v>
      </c>
      <c r="AB22" s="13" t="s">
        <v>23</v>
      </c>
      <c r="AC22" s="36">
        <f>+AC7+AC13+AC19</f>
        <v>0</v>
      </c>
      <c r="AD22" s="36">
        <f>+AD19+AD13+AD7</f>
        <v>0</v>
      </c>
      <c r="AE22" s="36">
        <f>+AE19+AE13+AE7</f>
        <v>0</v>
      </c>
      <c r="AF22" s="853">
        <f>+SUM(AF5:AF21)</f>
        <v>0</v>
      </c>
    </row>
    <row r="23" spans="3:33" x14ac:dyDescent="0.2">
      <c r="C23" s="19" t="s">
        <v>29</v>
      </c>
      <c r="D23" s="37">
        <f>+D22</f>
        <v>0</v>
      </c>
      <c r="E23" s="37">
        <f>+D23+E22</f>
        <v>0</v>
      </c>
      <c r="F23" s="37">
        <f>+E23+F22</f>
        <v>0</v>
      </c>
      <c r="G23" s="854"/>
      <c r="K23" s="19" t="s">
        <v>29</v>
      </c>
      <c r="L23" s="37">
        <f>+L22</f>
        <v>0</v>
      </c>
      <c r="M23" s="37">
        <f>+L23+M22</f>
        <v>0</v>
      </c>
      <c r="N23" s="37">
        <f>+M23+N22</f>
        <v>0</v>
      </c>
      <c r="O23" s="854"/>
      <c r="T23" s="19" t="s">
        <v>29</v>
      </c>
      <c r="U23" s="37">
        <f>+U22</f>
        <v>0</v>
      </c>
      <c r="V23" s="37">
        <f>+U23+V22</f>
        <v>0</v>
      </c>
      <c r="W23" s="37">
        <f>+V23+W22</f>
        <v>0</v>
      </c>
      <c r="X23" s="854"/>
      <c r="AB23" s="19" t="s">
        <v>29</v>
      </c>
      <c r="AC23" s="37">
        <f>+AC22</f>
        <v>0</v>
      </c>
      <c r="AD23" s="37">
        <f>+AC23+AD22</f>
        <v>0</v>
      </c>
      <c r="AE23" s="37">
        <f>+AD23+AE22</f>
        <v>0</v>
      </c>
      <c r="AF23" s="854"/>
    </row>
    <row r="24" spans="3:33" x14ac:dyDescent="0.2">
      <c r="D24" s="2"/>
      <c r="E24" s="2"/>
      <c r="F24" s="4"/>
      <c r="L24" s="2"/>
      <c r="M24" s="2"/>
      <c r="N24" s="4"/>
    </row>
    <row r="25" spans="3:33" x14ac:dyDescent="0.2">
      <c r="D25" s="1"/>
      <c r="E25" s="1"/>
      <c r="F25" s="1"/>
      <c r="L25" s="1"/>
      <c r="M25" s="1"/>
      <c r="N25" s="1"/>
    </row>
    <row r="26" spans="3:33" x14ac:dyDescent="0.2">
      <c r="C26" s="858" t="s">
        <v>315</v>
      </c>
      <c r="D26" s="859"/>
      <c r="E26" s="859"/>
      <c r="F26" s="859"/>
      <c r="G26" s="859"/>
      <c r="H26" s="860"/>
      <c r="I26" s="3"/>
      <c r="J26" s="3"/>
      <c r="K26" s="858" t="s">
        <v>326</v>
      </c>
      <c r="L26" s="859"/>
      <c r="M26" s="859"/>
      <c r="N26" s="859"/>
      <c r="O26" s="859"/>
      <c r="P26" s="860"/>
      <c r="T26" s="858" t="s">
        <v>340</v>
      </c>
      <c r="U26" s="859"/>
      <c r="V26" s="859"/>
      <c r="W26" s="859"/>
      <c r="X26" s="859"/>
      <c r="Y26" s="860" t="s">
        <v>27</v>
      </c>
      <c r="AB26" s="858" t="s">
        <v>345</v>
      </c>
      <c r="AC26" s="859"/>
      <c r="AD26" s="859"/>
      <c r="AE26" s="859"/>
      <c r="AF26" s="859"/>
      <c r="AG26" s="860" t="s">
        <v>27</v>
      </c>
    </row>
    <row r="27" spans="3:33" x14ac:dyDescent="0.2">
      <c r="C27" s="9" t="s">
        <v>25</v>
      </c>
      <c r="D27" s="3" t="s">
        <v>9</v>
      </c>
      <c r="E27" s="10" t="s">
        <v>106</v>
      </c>
      <c r="F27" s="10" t="s">
        <v>10</v>
      </c>
      <c r="G27" s="10" t="s">
        <v>11</v>
      </c>
      <c r="H27" s="39" t="s">
        <v>24</v>
      </c>
      <c r="I27" s="207"/>
      <c r="J27" s="207"/>
      <c r="K27" s="9" t="s">
        <v>25</v>
      </c>
      <c r="L27" s="3" t="s">
        <v>9</v>
      </c>
      <c r="M27" s="10" t="s">
        <v>106</v>
      </c>
      <c r="N27" s="10" t="s">
        <v>10</v>
      </c>
      <c r="O27" s="10" t="s">
        <v>11</v>
      </c>
      <c r="P27" s="39" t="s">
        <v>24</v>
      </c>
      <c r="T27" s="9" t="s">
        <v>28</v>
      </c>
      <c r="U27" s="3" t="s">
        <v>9</v>
      </c>
      <c r="V27" s="10" t="s">
        <v>106</v>
      </c>
      <c r="W27" s="10" t="s">
        <v>10</v>
      </c>
      <c r="X27" s="10" t="s">
        <v>11</v>
      </c>
      <c r="Y27" s="39" t="s">
        <v>24</v>
      </c>
      <c r="AB27" s="9" t="s">
        <v>28</v>
      </c>
      <c r="AC27" s="3" t="s">
        <v>9</v>
      </c>
      <c r="AD27" s="10" t="s">
        <v>106</v>
      </c>
      <c r="AE27" s="10" t="s">
        <v>10</v>
      </c>
      <c r="AF27" s="10" t="s">
        <v>11</v>
      </c>
      <c r="AG27" s="39" t="s">
        <v>27</v>
      </c>
    </row>
    <row r="28" spans="3:33" x14ac:dyDescent="0.2">
      <c r="C28" s="18" t="s">
        <v>309</v>
      </c>
      <c r="D28" s="20"/>
      <c r="E28" s="20"/>
      <c r="F28" s="20">
        <v>15</v>
      </c>
      <c r="G28" s="20">
        <v>15</v>
      </c>
      <c r="H28" s="38">
        <f>+SUM(D28:G28)</f>
        <v>30</v>
      </c>
      <c r="I28" s="69"/>
      <c r="J28" s="69"/>
      <c r="K28" s="18" t="s">
        <v>332</v>
      </c>
      <c r="L28" s="20">
        <v>30</v>
      </c>
      <c r="M28" s="20">
        <v>30</v>
      </c>
      <c r="N28" s="20">
        <v>30</v>
      </c>
      <c r="O28" s="20">
        <v>30</v>
      </c>
      <c r="P28" s="38">
        <f>+SUM(L28:O28)</f>
        <v>120</v>
      </c>
      <c r="T28" s="18" t="s">
        <v>337</v>
      </c>
      <c r="U28" s="20">
        <v>600</v>
      </c>
      <c r="V28" s="20"/>
      <c r="W28" s="20">
        <v>600</v>
      </c>
      <c r="X28" s="20">
        <v>0</v>
      </c>
      <c r="Y28" s="38">
        <f>+SUM(U28:X28)</f>
        <v>1200</v>
      </c>
      <c r="AB28" s="18" t="s">
        <v>350</v>
      </c>
      <c r="AC28" s="20">
        <v>2000</v>
      </c>
      <c r="AD28" s="20">
        <v>2000</v>
      </c>
      <c r="AE28" s="20">
        <v>2000</v>
      </c>
      <c r="AF28" s="20">
        <v>2000</v>
      </c>
      <c r="AG28" s="38">
        <f>SUM(AC28:AF28)</f>
        <v>8000</v>
      </c>
    </row>
    <row r="29" spans="3:33" x14ac:dyDescent="0.2">
      <c r="C29" s="11" t="s">
        <v>0</v>
      </c>
      <c r="D29" s="22">
        <v>250000</v>
      </c>
      <c r="E29" s="22">
        <f>+D29</f>
        <v>250000</v>
      </c>
      <c r="F29" s="22">
        <f>+E29</f>
        <v>250000</v>
      </c>
      <c r="G29" s="22">
        <f>+F29</f>
        <v>250000</v>
      </c>
      <c r="H29" s="14"/>
      <c r="K29" s="11" t="s">
        <v>0</v>
      </c>
      <c r="L29" s="22">
        <v>130000</v>
      </c>
      <c r="M29" s="22">
        <f>+L29</f>
        <v>130000</v>
      </c>
      <c r="N29" s="22">
        <f>SUM(L29)</f>
        <v>130000</v>
      </c>
      <c r="O29" s="22">
        <f>+N29</f>
        <v>130000</v>
      </c>
      <c r="P29" s="14"/>
      <c r="T29" s="11" t="s">
        <v>19</v>
      </c>
      <c r="U29" s="22">
        <v>400</v>
      </c>
      <c r="V29" s="22">
        <v>0</v>
      </c>
      <c r="W29" s="22">
        <f>SUM(U29)</f>
        <v>400</v>
      </c>
      <c r="X29" s="22">
        <v>450</v>
      </c>
      <c r="Y29" s="14"/>
      <c r="AB29" s="11" t="s">
        <v>19</v>
      </c>
      <c r="AC29" s="22">
        <v>400</v>
      </c>
      <c r="AD29" s="22">
        <v>400</v>
      </c>
      <c r="AE29" s="22">
        <v>400</v>
      </c>
      <c r="AF29" s="22">
        <v>400</v>
      </c>
      <c r="AG29" s="14"/>
    </row>
    <row r="30" spans="3:33" x14ac:dyDescent="0.2">
      <c r="C30" s="6" t="s">
        <v>7</v>
      </c>
      <c r="D30" s="24">
        <f>+D29*D28</f>
        <v>0</v>
      </c>
      <c r="E30" s="24">
        <f>+E29*E28</f>
        <v>0</v>
      </c>
      <c r="F30" s="25">
        <f>+F29*F28</f>
        <v>3750000</v>
      </c>
      <c r="G30" s="25">
        <f>+G29*G28</f>
        <v>3750000</v>
      </c>
      <c r="H30" s="14"/>
      <c r="K30" s="6" t="s">
        <v>7</v>
      </c>
      <c r="L30" s="24">
        <f>+L29*L28</f>
        <v>3900000</v>
      </c>
      <c r="M30" s="24">
        <f>+M29*M28</f>
        <v>3900000</v>
      </c>
      <c r="N30" s="25">
        <f>+N29*N28</f>
        <v>3900000</v>
      </c>
      <c r="O30" s="25">
        <f>+O29*O28</f>
        <v>3900000</v>
      </c>
      <c r="P30" s="14"/>
      <c r="T30" s="6" t="s">
        <v>7</v>
      </c>
      <c r="U30" s="24">
        <f>+U29*U28</f>
        <v>240000</v>
      </c>
      <c r="V30" s="24">
        <f>+V29*V28</f>
        <v>0</v>
      </c>
      <c r="W30" s="25">
        <f>+W29*W28</f>
        <v>240000</v>
      </c>
      <c r="X30" s="25">
        <f>+X29*X28</f>
        <v>0</v>
      </c>
      <c r="Y30" s="14"/>
      <c r="AB30" s="6" t="s">
        <v>7</v>
      </c>
      <c r="AC30" s="24">
        <f>+AC29*AC28</f>
        <v>800000</v>
      </c>
      <c r="AD30" s="24">
        <f>+AD29*AD28</f>
        <v>800000</v>
      </c>
      <c r="AE30" s="25">
        <f>+AE29*AE28</f>
        <v>800000</v>
      </c>
      <c r="AF30" s="25">
        <f>+AF29*AF28</f>
        <v>800000</v>
      </c>
      <c r="AG30" s="14"/>
    </row>
    <row r="31" spans="3:33" x14ac:dyDescent="0.2">
      <c r="C31" s="16" t="s">
        <v>8</v>
      </c>
      <c r="D31" s="22">
        <f>+D30</f>
        <v>0</v>
      </c>
      <c r="E31" s="22">
        <f>+D31+E30</f>
        <v>0</v>
      </c>
      <c r="F31" s="23">
        <f>+E31+F30</f>
        <v>3750000</v>
      </c>
      <c r="G31" s="23">
        <f>+F31+G30</f>
        <v>7500000</v>
      </c>
      <c r="H31" s="14"/>
      <c r="K31" s="16" t="s">
        <v>8</v>
      </c>
      <c r="L31" s="22">
        <f>+L30</f>
        <v>3900000</v>
      </c>
      <c r="M31" s="22">
        <f>+L31+M30</f>
        <v>7800000</v>
      </c>
      <c r="N31" s="23">
        <f>+M31+N30</f>
        <v>11700000</v>
      </c>
      <c r="O31" s="23">
        <f>+N31+O30</f>
        <v>15600000</v>
      </c>
      <c r="P31" s="14"/>
      <c r="T31" s="16" t="s">
        <v>8</v>
      </c>
      <c r="U31" s="22">
        <f>+U30</f>
        <v>240000</v>
      </c>
      <c r="V31" s="22">
        <f>+U31+V30</f>
        <v>240000</v>
      </c>
      <c r="W31" s="23">
        <f>+V31+W30</f>
        <v>480000</v>
      </c>
      <c r="X31" s="23">
        <f>+W31+X30</f>
        <v>480000</v>
      </c>
      <c r="Y31" s="14"/>
      <c r="AB31" s="16" t="s">
        <v>8</v>
      </c>
      <c r="AC31" s="22">
        <f>+AC30</f>
        <v>800000</v>
      </c>
      <c r="AD31" s="22">
        <f>+AC31+AD30</f>
        <v>1600000</v>
      </c>
      <c r="AE31" s="23">
        <f>+AD31+AE30</f>
        <v>2400000</v>
      </c>
      <c r="AF31" s="23">
        <f>+AE31+AF30</f>
        <v>3200000</v>
      </c>
      <c r="AG31" s="14"/>
    </row>
    <row r="32" spans="3:33" x14ac:dyDescent="0.2">
      <c r="C32" s="7"/>
      <c r="D32" s="26"/>
      <c r="E32" s="26"/>
      <c r="F32" s="27"/>
      <c r="G32" s="27"/>
      <c r="H32" s="14"/>
      <c r="K32" s="7"/>
      <c r="L32" s="26"/>
      <c r="M32" s="26"/>
      <c r="N32" s="27"/>
      <c r="O32" s="27"/>
      <c r="P32" s="14"/>
      <c r="T32" s="7"/>
      <c r="U32" s="26"/>
      <c r="V32" s="26"/>
      <c r="W32" s="27"/>
      <c r="X32" s="27"/>
      <c r="Y32" s="14"/>
      <c r="AB32" s="7"/>
      <c r="AC32" s="26"/>
      <c r="AD32" s="26"/>
      <c r="AE32" s="27"/>
      <c r="AF32" s="27"/>
      <c r="AG32" s="14"/>
    </row>
    <row r="33" spans="1:33" x14ac:dyDescent="0.2">
      <c r="C33" s="17" t="s">
        <v>312</v>
      </c>
      <c r="D33" s="101"/>
      <c r="E33" s="101"/>
      <c r="F33" s="101"/>
      <c r="G33" s="101"/>
      <c r="H33" s="14"/>
      <c r="K33" s="17" t="s">
        <v>312</v>
      </c>
      <c r="L33" s="26"/>
      <c r="M33" s="26"/>
      <c r="N33" s="27"/>
      <c r="O33" s="27"/>
      <c r="P33" s="14"/>
      <c r="T33" s="17" t="s">
        <v>338</v>
      </c>
      <c r="U33" s="26"/>
      <c r="V33" s="26"/>
      <c r="W33" s="27"/>
      <c r="X33" s="27"/>
      <c r="Y33" s="14"/>
      <c r="AB33" s="17" t="s">
        <v>336</v>
      </c>
      <c r="AC33" s="26"/>
      <c r="AD33" s="26"/>
      <c r="AE33" s="27"/>
      <c r="AF33" s="27"/>
      <c r="AG33" s="14"/>
    </row>
    <row r="34" spans="1:33" x14ac:dyDescent="0.2">
      <c r="C34" s="11" t="s">
        <v>310</v>
      </c>
      <c r="D34" s="22">
        <f>SUM(D28)*5*90</f>
        <v>0</v>
      </c>
      <c r="E34" s="22">
        <f>SUM(E28)*5*90</f>
        <v>0</v>
      </c>
      <c r="F34" s="22">
        <f>SUM(F28)*5*90</f>
        <v>6750</v>
      </c>
      <c r="G34" s="22">
        <f>SUM(G28)*5*90</f>
        <v>6750</v>
      </c>
      <c r="H34" s="38"/>
      <c r="I34" s="69"/>
      <c r="J34" s="69"/>
      <c r="K34" s="11" t="s">
        <v>310</v>
      </c>
      <c r="L34" s="22">
        <f>SUM(L28)*5*90</f>
        <v>13500</v>
      </c>
      <c r="M34" s="22">
        <f>SUM(M28)*5*90</f>
        <v>13500</v>
      </c>
      <c r="N34" s="22">
        <f>SUM(N28)*5*90</f>
        <v>13500</v>
      </c>
      <c r="O34" s="22">
        <f>SUM(O28)*5*90</f>
        <v>13500</v>
      </c>
      <c r="P34" s="38"/>
      <c r="T34" s="11" t="s">
        <v>310</v>
      </c>
      <c r="U34" s="22">
        <f>SUM(U28)*0.12*90</f>
        <v>6480</v>
      </c>
      <c r="V34" s="22">
        <f>SUM(U34)</f>
        <v>6480</v>
      </c>
      <c r="W34" s="22">
        <f>SUM(V34)*2</f>
        <v>12960</v>
      </c>
      <c r="X34" s="22">
        <f>SUM(W34)</f>
        <v>12960</v>
      </c>
      <c r="Y34" s="38"/>
      <c r="AB34" s="11" t="s">
        <v>310</v>
      </c>
      <c r="AC34" s="22">
        <f>SUM(AC28)*0.15*50</f>
        <v>15000</v>
      </c>
      <c r="AD34" s="22">
        <f t="shared" ref="AD34:AF35" si="0">SUM(AC34)</f>
        <v>15000</v>
      </c>
      <c r="AE34" s="22">
        <f t="shared" si="0"/>
        <v>15000</v>
      </c>
      <c r="AF34" s="22">
        <f t="shared" si="0"/>
        <v>15000</v>
      </c>
      <c r="AG34" s="38"/>
    </row>
    <row r="35" spans="1:33" x14ac:dyDescent="0.2">
      <c r="C35" s="7" t="s">
        <v>0</v>
      </c>
      <c r="D35" s="202">
        <v>250</v>
      </c>
      <c r="E35" s="202">
        <v>250</v>
      </c>
      <c r="F35" s="202">
        <v>250</v>
      </c>
      <c r="G35" s="202">
        <f>+F35</f>
        <v>250</v>
      </c>
      <c r="H35" s="14"/>
      <c r="K35" s="7" t="s">
        <v>0</v>
      </c>
      <c r="L35" s="201">
        <v>225</v>
      </c>
      <c r="M35" s="201">
        <f>+L35</f>
        <v>225</v>
      </c>
      <c r="N35" s="201">
        <f>+M35</f>
        <v>225</v>
      </c>
      <c r="O35" s="201">
        <f>+N35</f>
        <v>225</v>
      </c>
      <c r="P35" s="14"/>
      <c r="T35" s="7" t="s">
        <v>0</v>
      </c>
      <c r="U35" s="201">
        <v>200</v>
      </c>
      <c r="V35" s="201">
        <f>SUM(U35)</f>
        <v>200</v>
      </c>
      <c r="W35" s="201">
        <f>SUM(V35)</f>
        <v>200</v>
      </c>
      <c r="X35" s="201">
        <f>SUM(W35)</f>
        <v>200</v>
      </c>
      <c r="Y35" s="14"/>
      <c r="AB35" s="7" t="s">
        <v>0</v>
      </c>
      <c r="AC35" s="201">
        <v>190</v>
      </c>
      <c r="AD35" s="201">
        <f t="shared" si="0"/>
        <v>190</v>
      </c>
      <c r="AE35" s="201">
        <f t="shared" si="0"/>
        <v>190</v>
      </c>
      <c r="AF35" s="201">
        <f t="shared" si="0"/>
        <v>190</v>
      </c>
      <c r="AG35" s="14"/>
    </row>
    <row r="36" spans="1:33" x14ac:dyDescent="0.2">
      <c r="C36" s="15" t="s">
        <v>7</v>
      </c>
      <c r="D36" s="22">
        <f>+D35*D34</f>
        <v>0</v>
      </c>
      <c r="E36" s="22">
        <f>+E35*E34</f>
        <v>0</v>
      </c>
      <c r="F36" s="23">
        <f>+F35*F34</f>
        <v>1687500</v>
      </c>
      <c r="G36" s="23">
        <f>+G35*G34</f>
        <v>1687500</v>
      </c>
      <c r="H36" s="14"/>
      <c r="K36" s="15" t="s">
        <v>7</v>
      </c>
      <c r="L36" s="22">
        <f>+L35*L34</f>
        <v>3037500</v>
      </c>
      <c r="M36" s="22">
        <f>+M35*M34</f>
        <v>3037500</v>
      </c>
      <c r="N36" s="23">
        <f>+N35*N34</f>
        <v>3037500</v>
      </c>
      <c r="O36" s="23">
        <f>+O35*O34</f>
        <v>3037500</v>
      </c>
      <c r="P36" s="14"/>
      <c r="T36" s="15" t="s">
        <v>7</v>
      </c>
      <c r="U36" s="22">
        <f>+U35*U34</f>
        <v>1296000</v>
      </c>
      <c r="V36" s="22">
        <f>+V35*V34</f>
        <v>1296000</v>
      </c>
      <c r="W36" s="23">
        <f>+W35*W34</f>
        <v>2592000</v>
      </c>
      <c r="X36" s="23">
        <f>+X35*X34</f>
        <v>2592000</v>
      </c>
      <c r="Y36" s="14"/>
      <c r="AB36" s="15" t="s">
        <v>7</v>
      </c>
      <c r="AC36" s="22">
        <f>+AC35*AC34</f>
        <v>2850000</v>
      </c>
      <c r="AD36" s="22">
        <f>+AD35*AD34</f>
        <v>2850000</v>
      </c>
      <c r="AE36" s="23">
        <f>+AE35*AE34</f>
        <v>2850000</v>
      </c>
      <c r="AF36" s="23">
        <f>+AF35*AF34</f>
        <v>2850000</v>
      </c>
      <c r="AG36" s="14"/>
    </row>
    <row r="37" spans="1:33" x14ac:dyDescent="0.2">
      <c r="C37" s="12" t="s">
        <v>8</v>
      </c>
      <c r="D37" s="28">
        <f>+D36</f>
        <v>0</v>
      </c>
      <c r="E37" s="28">
        <f>+D37+E36</f>
        <v>0</v>
      </c>
      <c r="F37" s="29">
        <f>+E37+F36</f>
        <v>1687500</v>
      </c>
      <c r="G37" s="29">
        <f>+F37+G36</f>
        <v>3375000</v>
      </c>
      <c r="H37" s="14"/>
      <c r="K37" s="12" t="s">
        <v>8</v>
      </c>
      <c r="L37" s="28">
        <f>+L36</f>
        <v>3037500</v>
      </c>
      <c r="M37" s="28">
        <f>+L37+M36</f>
        <v>6075000</v>
      </c>
      <c r="N37" s="29">
        <f>+M37+N36</f>
        <v>9112500</v>
      </c>
      <c r="O37" s="29">
        <f>+N37+O36</f>
        <v>12150000</v>
      </c>
      <c r="P37" s="14"/>
      <c r="T37" s="12" t="s">
        <v>8</v>
      </c>
      <c r="U37" s="28">
        <f>+U36</f>
        <v>1296000</v>
      </c>
      <c r="V37" s="28">
        <f>+U37+V36</f>
        <v>2592000</v>
      </c>
      <c r="W37" s="29">
        <f>+V37+W36</f>
        <v>5184000</v>
      </c>
      <c r="X37" s="29">
        <f>+W37+X36</f>
        <v>7776000</v>
      </c>
      <c r="Y37" s="14"/>
      <c r="AB37" s="12" t="s">
        <v>8</v>
      </c>
      <c r="AC37" s="28">
        <f>+AC36</f>
        <v>2850000</v>
      </c>
      <c r="AD37" s="28">
        <f>+AC37+AD36</f>
        <v>5700000</v>
      </c>
      <c r="AE37" s="29">
        <f>+AD37+AE36</f>
        <v>8550000</v>
      </c>
      <c r="AF37" s="29">
        <f>+AE37+AF36</f>
        <v>11400000</v>
      </c>
      <c r="AG37" s="14"/>
    </row>
    <row r="38" spans="1:33" x14ac:dyDescent="0.2">
      <c r="C38" s="7"/>
      <c r="D38" s="26"/>
      <c r="E38" s="26"/>
      <c r="F38" s="27"/>
      <c r="G38" s="27"/>
      <c r="H38" s="14"/>
      <c r="K38" s="7"/>
      <c r="L38" s="26"/>
      <c r="M38" s="26"/>
      <c r="N38" s="27"/>
      <c r="O38" s="27"/>
      <c r="P38" s="14"/>
      <c r="T38" s="7"/>
      <c r="U38" s="26"/>
      <c r="V38" s="26"/>
      <c r="W38" s="27"/>
      <c r="X38" s="27"/>
      <c r="Y38" s="14"/>
      <c r="AB38" s="7"/>
      <c r="AC38" s="26"/>
      <c r="AD38" s="26"/>
      <c r="AE38" s="27"/>
      <c r="AF38" s="27"/>
      <c r="AG38" s="14"/>
    </row>
    <row r="39" spans="1:33" x14ac:dyDescent="0.2">
      <c r="C39" s="17" t="s">
        <v>313</v>
      </c>
      <c r="D39" s="101"/>
      <c r="E39" s="101">
        <f>SUM(D39)</f>
        <v>0</v>
      </c>
      <c r="F39" s="102">
        <v>15000</v>
      </c>
      <c r="G39" s="102">
        <v>15000</v>
      </c>
      <c r="H39" s="14"/>
      <c r="K39" s="17" t="s">
        <v>331</v>
      </c>
      <c r="L39" s="101">
        <v>10000</v>
      </c>
      <c r="M39" s="101">
        <v>10000</v>
      </c>
      <c r="N39" s="101">
        <f>SUM(L39)</f>
        <v>10000</v>
      </c>
      <c r="O39" s="101">
        <f>SUM(L39)</f>
        <v>10000</v>
      </c>
      <c r="P39" s="14"/>
      <c r="T39" s="17" t="s">
        <v>331</v>
      </c>
      <c r="U39" s="101">
        <v>75</v>
      </c>
      <c r="V39" s="101">
        <f>SUM(U39)</f>
        <v>75</v>
      </c>
      <c r="W39" s="101">
        <f>SUM(U39)</f>
        <v>75</v>
      </c>
      <c r="X39" s="101">
        <f>SUM(U39)</f>
        <v>75</v>
      </c>
      <c r="Y39" s="14"/>
      <c r="AB39" s="17" t="s">
        <v>331</v>
      </c>
      <c r="AC39" s="101">
        <v>70</v>
      </c>
      <c r="AD39" s="101">
        <f>SUM(AC39)</f>
        <v>70</v>
      </c>
      <c r="AE39" s="101">
        <f>SUM(AC39)</f>
        <v>70</v>
      </c>
      <c r="AF39" s="101">
        <f>SUM(AC39)</f>
        <v>70</v>
      </c>
      <c r="AG39" s="14"/>
    </row>
    <row r="40" spans="1:33" x14ac:dyDescent="0.2">
      <c r="C40" s="11" t="s">
        <v>107</v>
      </c>
      <c r="D40" s="22">
        <f>+D28*D39</f>
        <v>0</v>
      </c>
      <c r="E40" s="22">
        <f>+E28*E39</f>
        <v>0</v>
      </c>
      <c r="F40" s="22">
        <f>+F28*F39</f>
        <v>225000</v>
      </c>
      <c r="G40" s="22">
        <f>+G28*G39</f>
        <v>225000</v>
      </c>
      <c r="H40" s="38"/>
      <c r="I40" s="69"/>
      <c r="J40" s="69"/>
      <c r="K40" s="11" t="s">
        <v>107</v>
      </c>
      <c r="L40" s="22">
        <f>+L28*L39</f>
        <v>300000</v>
      </c>
      <c r="M40" s="22">
        <f>+M28*M39</f>
        <v>300000</v>
      </c>
      <c r="N40" s="22">
        <f>+N28*N39</f>
        <v>300000</v>
      </c>
      <c r="O40" s="22">
        <f>+O28*O39</f>
        <v>300000</v>
      </c>
      <c r="P40" s="38"/>
      <c r="T40" s="11" t="s">
        <v>107</v>
      </c>
      <c r="U40" s="22">
        <f>+U28*U39</f>
        <v>45000</v>
      </c>
      <c r="V40" s="22">
        <f>+V28*V39</f>
        <v>0</v>
      </c>
      <c r="W40" s="22">
        <f>+W28*W39</f>
        <v>45000</v>
      </c>
      <c r="X40" s="22">
        <f>+X28*X39</f>
        <v>0</v>
      </c>
      <c r="Y40" s="38"/>
      <c r="AB40" s="11" t="s">
        <v>107</v>
      </c>
      <c r="AC40" s="22">
        <f>+AC28*AC39</f>
        <v>140000</v>
      </c>
      <c r="AD40" s="22">
        <f>+AD28*AD39</f>
        <v>140000</v>
      </c>
      <c r="AE40" s="22">
        <f>+AE28*AE39</f>
        <v>140000</v>
      </c>
      <c r="AF40" s="22">
        <f>+AF28*AF39</f>
        <v>140000</v>
      </c>
      <c r="AG40" s="38"/>
    </row>
    <row r="41" spans="1:33" x14ac:dyDescent="0.2">
      <c r="C41" s="12" t="s">
        <v>8</v>
      </c>
      <c r="D41" s="28">
        <f>+D40</f>
        <v>0</v>
      </c>
      <c r="E41" s="28">
        <f>+D41+E40</f>
        <v>0</v>
      </c>
      <c r="F41" s="29">
        <f>+E41+F40</f>
        <v>225000</v>
      </c>
      <c r="G41" s="29">
        <f>+F41+G40</f>
        <v>450000</v>
      </c>
      <c r="H41" s="14"/>
      <c r="K41" s="12" t="s">
        <v>8</v>
      </c>
      <c r="L41" s="28">
        <f>+L40</f>
        <v>300000</v>
      </c>
      <c r="M41" s="28">
        <f>+L41+M40</f>
        <v>600000</v>
      </c>
      <c r="N41" s="29">
        <f>+M41+N40</f>
        <v>900000</v>
      </c>
      <c r="O41" s="29">
        <f>+N41+O40</f>
        <v>1200000</v>
      </c>
      <c r="P41" s="14"/>
      <c r="T41" s="12" t="s">
        <v>8</v>
      </c>
      <c r="U41" s="28">
        <f>+U40</f>
        <v>45000</v>
      </c>
      <c r="V41" s="28">
        <f>+U41+V40</f>
        <v>45000</v>
      </c>
      <c r="W41" s="29">
        <f>+V41+W40</f>
        <v>90000</v>
      </c>
      <c r="X41" s="29">
        <f>+W41+X40</f>
        <v>90000</v>
      </c>
      <c r="Y41" s="14"/>
      <c r="AB41" s="12" t="s">
        <v>8</v>
      </c>
      <c r="AC41" s="28">
        <f>+AC40</f>
        <v>140000</v>
      </c>
      <c r="AD41" s="28">
        <f>+AC41+AD40</f>
        <v>280000</v>
      </c>
      <c r="AE41" s="29">
        <f>+AD41+AE40</f>
        <v>420000</v>
      </c>
      <c r="AF41" s="29">
        <f>+AE41+AF40</f>
        <v>560000</v>
      </c>
      <c r="AG41" s="14"/>
    </row>
    <row r="42" spans="1:33" x14ac:dyDescent="0.2">
      <c r="C42" s="7"/>
      <c r="D42" s="28"/>
      <c r="E42" s="28"/>
      <c r="F42" s="29"/>
      <c r="G42" s="29"/>
      <c r="H42" s="14"/>
      <c r="K42" s="7"/>
      <c r="L42" s="28"/>
      <c r="M42" s="28"/>
      <c r="N42" s="29"/>
      <c r="O42" s="29"/>
      <c r="P42" s="14"/>
      <c r="T42" s="7"/>
      <c r="U42" s="28"/>
      <c r="V42" s="28"/>
      <c r="W42" s="29"/>
      <c r="X42" s="29"/>
      <c r="Y42" s="14"/>
      <c r="AB42" s="7"/>
      <c r="AC42" s="28"/>
      <c r="AD42" s="28"/>
      <c r="AE42" s="29"/>
      <c r="AF42" s="29"/>
      <c r="AG42" s="14"/>
    </row>
    <row r="43" spans="1:33" x14ac:dyDescent="0.2">
      <c r="A43" s="69"/>
      <c r="C43" s="17"/>
      <c r="D43" s="24"/>
      <c r="E43" s="24"/>
      <c r="F43" s="25"/>
      <c r="G43" s="24"/>
      <c r="H43" s="316" t="s">
        <v>311</v>
      </c>
      <c r="K43" s="17"/>
      <c r="L43" s="24"/>
      <c r="M43" s="24"/>
      <c r="N43" s="25"/>
      <c r="O43" s="24"/>
      <c r="P43" s="318" t="s">
        <v>226</v>
      </c>
      <c r="T43" s="17"/>
      <c r="U43" s="24"/>
      <c r="V43" s="24"/>
      <c r="W43" s="25"/>
      <c r="X43" s="24"/>
      <c r="Y43" s="318" t="s">
        <v>339</v>
      </c>
      <c r="AB43" s="17"/>
      <c r="AC43" s="24"/>
      <c r="AD43" s="24"/>
      <c r="AE43" s="25"/>
      <c r="AF43" s="24"/>
      <c r="AG43" s="318" t="s">
        <v>226</v>
      </c>
    </row>
    <row r="44" spans="1:33" x14ac:dyDescent="0.2">
      <c r="C44" s="8"/>
      <c r="D44" s="34"/>
      <c r="E44" s="34"/>
      <c r="F44" s="35"/>
      <c r="G44" s="34"/>
      <c r="H44" s="317">
        <f>SUM(G46)/H28</f>
        <v>377500</v>
      </c>
      <c r="K44" s="8"/>
      <c r="L44" s="34"/>
      <c r="M44" s="34"/>
      <c r="N44" s="35"/>
      <c r="O44" s="34"/>
      <c r="P44" s="317">
        <f>SUM(O46)/P28</f>
        <v>241250</v>
      </c>
      <c r="T44" s="8"/>
      <c r="U44" s="34"/>
      <c r="V44" s="34"/>
      <c r="W44" s="35"/>
      <c r="X44" s="34"/>
      <c r="Y44" s="317">
        <f>SUM(X46)/Y45</f>
        <v>6955</v>
      </c>
      <c r="AB44" s="8"/>
      <c r="AC44" s="34"/>
      <c r="AD44" s="34"/>
      <c r="AE44" s="35"/>
      <c r="AF44" s="34"/>
      <c r="AG44" s="317">
        <f>SUM(AF46)/AG28</f>
        <v>1895</v>
      </c>
    </row>
    <row r="45" spans="1:33" x14ac:dyDescent="0.2">
      <c r="C45" s="13" t="s">
        <v>23</v>
      </c>
      <c r="D45" s="36">
        <f>+D30+D36+D40</f>
        <v>0</v>
      </c>
      <c r="E45" s="36">
        <f>+E30+E36+E40</f>
        <v>0</v>
      </c>
      <c r="F45" s="36">
        <f>+F30+F36+F40</f>
        <v>5662500</v>
      </c>
      <c r="G45" s="36">
        <f>+G30+G36+G40</f>
        <v>5662500</v>
      </c>
      <c r="H45" s="868">
        <f>SUM(H28:H41)</f>
        <v>30</v>
      </c>
      <c r="I45" s="200"/>
      <c r="J45" s="200"/>
      <c r="K45" s="13" t="s">
        <v>23</v>
      </c>
      <c r="L45" s="36">
        <f>+L30+L36+L40</f>
        <v>7237500</v>
      </c>
      <c r="M45" s="36">
        <f>+M30+M36+M40</f>
        <v>7237500</v>
      </c>
      <c r="N45" s="36">
        <f>+N30+N36+N40</f>
        <v>7237500</v>
      </c>
      <c r="O45" s="36">
        <f>+O30+O36+O40</f>
        <v>7237500</v>
      </c>
      <c r="P45" s="868">
        <f>SUM(P28:P41)</f>
        <v>120</v>
      </c>
      <c r="T45" s="13" t="s">
        <v>23</v>
      </c>
      <c r="U45" s="36">
        <f>+U30+U36+U40</f>
        <v>1581000</v>
      </c>
      <c r="V45" s="36">
        <f>+V30+V36+V40</f>
        <v>1296000</v>
      </c>
      <c r="W45" s="36">
        <f>+W30+W36+W40</f>
        <v>2877000</v>
      </c>
      <c r="X45" s="36">
        <f>+X30+X36+X40</f>
        <v>2592000</v>
      </c>
      <c r="Y45" s="868">
        <f>SUM(Y28:Y41)</f>
        <v>1200</v>
      </c>
      <c r="AB45" s="13" t="s">
        <v>23</v>
      </c>
      <c r="AC45" s="36">
        <f>+AC30+AC36+AC40</f>
        <v>3790000</v>
      </c>
      <c r="AD45" s="36">
        <f>+AD30+AD36+AD40</f>
        <v>3790000</v>
      </c>
      <c r="AE45" s="36">
        <f>+AE30+AE36+AE40</f>
        <v>3790000</v>
      </c>
      <c r="AF45" s="36">
        <f>+AF30+AF36+AF40</f>
        <v>3790000</v>
      </c>
      <c r="AG45" s="868">
        <f>SUM(AG28:AG41)</f>
        <v>8000</v>
      </c>
    </row>
    <row r="46" spans="1:33" x14ac:dyDescent="0.2">
      <c r="C46" s="19" t="s">
        <v>29</v>
      </c>
      <c r="D46" s="37">
        <f>+D45</f>
        <v>0</v>
      </c>
      <c r="E46" s="37">
        <f>+D46+E45</f>
        <v>0</v>
      </c>
      <c r="F46" s="37">
        <f>+E46+F45</f>
        <v>5662500</v>
      </c>
      <c r="G46" s="37">
        <f>+F46+G45</f>
        <v>11325000</v>
      </c>
      <c r="H46" s="854"/>
      <c r="I46" s="200"/>
      <c r="J46" s="200"/>
      <c r="K46" s="299" t="s">
        <v>29</v>
      </c>
      <c r="L46" s="300">
        <f>+L45</f>
        <v>7237500</v>
      </c>
      <c r="M46" s="300">
        <f>+L46+M45</f>
        <v>14475000</v>
      </c>
      <c r="N46" s="300">
        <f>+M46+N45</f>
        <v>21712500</v>
      </c>
      <c r="O46" s="300">
        <f>+N46+O45</f>
        <v>28950000</v>
      </c>
      <c r="P46" s="854"/>
      <c r="T46" s="299" t="s">
        <v>29</v>
      </c>
      <c r="U46" s="300">
        <f>+U45</f>
        <v>1581000</v>
      </c>
      <c r="V46" s="300">
        <f>+U46+V45</f>
        <v>2877000</v>
      </c>
      <c r="W46" s="300">
        <f>+V46+W45</f>
        <v>5754000</v>
      </c>
      <c r="X46" s="300">
        <f>+W46+X45</f>
        <v>8346000</v>
      </c>
      <c r="Y46" s="854"/>
      <c r="AB46" s="299" t="s">
        <v>29</v>
      </c>
      <c r="AC46" s="300">
        <f>+AC45</f>
        <v>3790000</v>
      </c>
      <c r="AD46" s="300">
        <f>+AC46+AD45</f>
        <v>7580000</v>
      </c>
      <c r="AE46" s="300">
        <f>+AD46+AE45</f>
        <v>11370000</v>
      </c>
      <c r="AF46" s="300">
        <f>+AE46+AF45</f>
        <v>15160000</v>
      </c>
      <c r="AG46" s="854"/>
    </row>
    <row r="49" spans="3:33" x14ac:dyDescent="0.2">
      <c r="D49" s="1"/>
      <c r="E49" s="1"/>
      <c r="F49" s="1"/>
      <c r="L49" s="1"/>
      <c r="M49" s="1"/>
      <c r="N49" s="1"/>
    </row>
    <row r="50" spans="3:33" x14ac:dyDescent="0.2">
      <c r="C50" s="858" t="s">
        <v>316</v>
      </c>
      <c r="D50" s="859"/>
      <c r="E50" s="859"/>
      <c r="F50" s="859"/>
      <c r="G50" s="859"/>
      <c r="H50" s="860"/>
      <c r="I50" s="3"/>
      <c r="J50" s="3"/>
      <c r="K50" s="858" t="s">
        <v>327</v>
      </c>
      <c r="L50" s="859"/>
      <c r="M50" s="859"/>
      <c r="N50" s="859"/>
      <c r="O50" s="859"/>
      <c r="P50" s="860"/>
      <c r="T50" s="858" t="s">
        <v>341</v>
      </c>
      <c r="U50" s="859"/>
      <c r="V50" s="859"/>
      <c r="W50" s="859"/>
      <c r="X50" s="859"/>
      <c r="Y50" s="860" t="s">
        <v>27</v>
      </c>
      <c r="AB50" s="858" t="s">
        <v>346</v>
      </c>
      <c r="AC50" s="859"/>
      <c r="AD50" s="859"/>
      <c r="AE50" s="859"/>
      <c r="AF50" s="859"/>
      <c r="AG50" s="860" t="s">
        <v>27</v>
      </c>
    </row>
    <row r="51" spans="3:33" x14ac:dyDescent="0.2">
      <c r="C51" s="9" t="s">
        <v>25</v>
      </c>
      <c r="D51" s="3" t="s">
        <v>9</v>
      </c>
      <c r="E51" s="10" t="s">
        <v>106</v>
      </c>
      <c r="F51" s="10" t="s">
        <v>10</v>
      </c>
      <c r="G51" s="10" t="s">
        <v>11</v>
      </c>
      <c r="H51" s="39" t="s">
        <v>24</v>
      </c>
      <c r="I51" s="207"/>
      <c r="J51" s="207"/>
      <c r="K51" s="9" t="s">
        <v>25</v>
      </c>
      <c r="L51" s="3" t="s">
        <v>9</v>
      </c>
      <c r="M51" s="10" t="s">
        <v>106</v>
      </c>
      <c r="N51" s="10" t="s">
        <v>10</v>
      </c>
      <c r="O51" s="10" t="s">
        <v>11</v>
      </c>
      <c r="P51" s="39" t="s">
        <v>24</v>
      </c>
      <c r="T51" s="9" t="s">
        <v>28</v>
      </c>
      <c r="U51" s="3" t="s">
        <v>9</v>
      </c>
      <c r="V51" s="10" t="s">
        <v>106</v>
      </c>
      <c r="W51" s="10" t="s">
        <v>10</v>
      </c>
      <c r="X51" s="10" t="s">
        <v>11</v>
      </c>
      <c r="Y51" s="39" t="s">
        <v>27</v>
      </c>
      <c r="AB51" s="9" t="s">
        <v>28</v>
      </c>
      <c r="AC51" s="3" t="s">
        <v>9</v>
      </c>
      <c r="AD51" s="10" t="s">
        <v>106</v>
      </c>
      <c r="AE51" s="10" t="s">
        <v>10</v>
      </c>
      <c r="AF51" s="10" t="s">
        <v>11</v>
      </c>
      <c r="AG51" s="39" t="s">
        <v>27</v>
      </c>
    </row>
    <row r="52" spans="3:33" x14ac:dyDescent="0.2">
      <c r="C52" s="18" t="s">
        <v>309</v>
      </c>
      <c r="D52" s="20"/>
      <c r="E52" s="20"/>
      <c r="F52" s="20"/>
      <c r="G52" s="20"/>
      <c r="H52" s="38">
        <f>+SUM(D52:G52)</f>
        <v>0</v>
      </c>
      <c r="I52" s="69"/>
      <c r="J52" s="69"/>
      <c r="K52" s="18" t="s">
        <v>332</v>
      </c>
      <c r="L52" s="20">
        <v>30</v>
      </c>
      <c r="M52" s="20">
        <v>30</v>
      </c>
      <c r="N52" s="20">
        <v>30</v>
      </c>
      <c r="O52" s="20">
        <v>30</v>
      </c>
      <c r="P52" s="38">
        <f>+SUM(L52:O52)</f>
        <v>120</v>
      </c>
      <c r="T52" s="18" t="s">
        <v>337</v>
      </c>
      <c r="U52" s="20"/>
      <c r="V52" s="20">
        <v>600</v>
      </c>
      <c r="W52" s="20"/>
      <c r="X52" s="20">
        <v>600</v>
      </c>
      <c r="Y52" s="38">
        <f>+SUM(U52:X52)</f>
        <v>1200</v>
      </c>
      <c r="AB52" s="18" t="s">
        <v>350</v>
      </c>
      <c r="AC52" s="20">
        <v>2000</v>
      </c>
      <c r="AD52" s="20">
        <v>2000</v>
      </c>
      <c r="AE52" s="20">
        <v>2000</v>
      </c>
      <c r="AF52" s="20">
        <v>2000</v>
      </c>
      <c r="AG52" s="38">
        <f>+SUM(AC52:AF52)</f>
        <v>8000</v>
      </c>
    </row>
    <row r="53" spans="3:33" x14ac:dyDescent="0.2">
      <c r="C53" s="11" t="s">
        <v>0</v>
      </c>
      <c r="D53" s="22">
        <v>200000</v>
      </c>
      <c r="E53" s="22">
        <f>+D53</f>
        <v>200000</v>
      </c>
      <c r="F53" s="22">
        <f>+E53</f>
        <v>200000</v>
      </c>
      <c r="G53" s="22">
        <f>+F53</f>
        <v>200000</v>
      </c>
      <c r="H53" s="14"/>
      <c r="K53" s="11" t="s">
        <v>0</v>
      </c>
      <c r="L53" s="22">
        <v>130000</v>
      </c>
      <c r="M53" s="22">
        <f>+L53</f>
        <v>130000</v>
      </c>
      <c r="N53" s="22">
        <f>+M53</f>
        <v>130000</v>
      </c>
      <c r="O53" s="22">
        <f>+N53</f>
        <v>130000</v>
      </c>
      <c r="P53" s="14"/>
      <c r="T53" s="11" t="s">
        <v>19</v>
      </c>
      <c r="U53" s="22">
        <f>SUM(X29)</f>
        <v>450</v>
      </c>
      <c r="V53" s="22">
        <f>SUM(U53)</f>
        <v>450</v>
      </c>
      <c r="W53" s="22">
        <f>SUM(U53)</f>
        <v>450</v>
      </c>
      <c r="X53" s="22">
        <f>SUM(U53)</f>
        <v>450</v>
      </c>
      <c r="Y53" s="14"/>
      <c r="AB53" s="11" t="s">
        <v>19</v>
      </c>
      <c r="AC53" s="22">
        <f>SUM(AF29)</f>
        <v>400</v>
      </c>
      <c r="AD53" s="22">
        <f>SUM(AC53)</f>
        <v>400</v>
      </c>
      <c r="AE53" s="22">
        <f>SUM(AC53)</f>
        <v>400</v>
      </c>
      <c r="AF53" s="22">
        <f>SUM(AC53)</f>
        <v>400</v>
      </c>
      <c r="AG53" s="14"/>
    </row>
    <row r="54" spans="3:33" x14ac:dyDescent="0.2">
      <c r="C54" s="6" t="s">
        <v>7</v>
      </c>
      <c r="D54" s="24">
        <f>+D53*D52</f>
        <v>0</v>
      </c>
      <c r="E54" s="24">
        <f>+E53*E52</f>
        <v>0</v>
      </c>
      <c r="F54" s="25">
        <f>+F53*F52</f>
        <v>0</v>
      </c>
      <c r="G54" s="25">
        <f>+G53*G52</f>
        <v>0</v>
      </c>
      <c r="H54" s="14"/>
      <c r="K54" s="6" t="s">
        <v>7</v>
      </c>
      <c r="L54" s="24">
        <f>+L53*L52</f>
        <v>3900000</v>
      </c>
      <c r="M54" s="24">
        <f>+M53*M52</f>
        <v>3900000</v>
      </c>
      <c r="N54" s="25">
        <f>+N53*N52</f>
        <v>3900000</v>
      </c>
      <c r="O54" s="25">
        <f>+O53*O52</f>
        <v>3900000</v>
      </c>
      <c r="P54" s="14"/>
      <c r="T54" s="6" t="s">
        <v>7</v>
      </c>
      <c r="U54" s="24">
        <f>+U53*U52</f>
        <v>0</v>
      </c>
      <c r="V54" s="24">
        <f>+V53*V52</f>
        <v>270000</v>
      </c>
      <c r="W54" s="25">
        <f>+W53*W52</f>
        <v>0</v>
      </c>
      <c r="X54" s="25">
        <f>+X53*X52</f>
        <v>270000</v>
      </c>
      <c r="Y54" s="14"/>
      <c r="AB54" s="6" t="s">
        <v>7</v>
      </c>
      <c r="AC54" s="24">
        <f>+AC53*AC52</f>
        <v>800000</v>
      </c>
      <c r="AD54" s="24">
        <f>+AD53*AD52</f>
        <v>800000</v>
      </c>
      <c r="AE54" s="25">
        <f>+AE53*AE52</f>
        <v>800000</v>
      </c>
      <c r="AF54" s="25">
        <f>+AF53*AF52</f>
        <v>800000</v>
      </c>
      <c r="AG54" s="14"/>
    </row>
    <row r="55" spans="3:33" x14ac:dyDescent="0.2">
      <c r="C55" s="16" t="s">
        <v>8</v>
      </c>
      <c r="D55" s="22">
        <f>+D54</f>
        <v>0</v>
      </c>
      <c r="E55" s="22">
        <f>+D55+E54</f>
        <v>0</v>
      </c>
      <c r="F55" s="23">
        <f>+E55+F54</f>
        <v>0</v>
      </c>
      <c r="G55" s="23">
        <f>+F55+G54</f>
        <v>0</v>
      </c>
      <c r="H55" s="14"/>
      <c r="K55" s="16" t="s">
        <v>8</v>
      </c>
      <c r="L55" s="22">
        <f>+L54</f>
        <v>3900000</v>
      </c>
      <c r="M55" s="22">
        <f>+L55+M54</f>
        <v>7800000</v>
      </c>
      <c r="N55" s="23">
        <f>+M55+N54</f>
        <v>11700000</v>
      </c>
      <c r="O55" s="23">
        <f>+N55+O54</f>
        <v>15600000</v>
      </c>
      <c r="P55" s="14"/>
      <c r="T55" s="16" t="s">
        <v>8</v>
      </c>
      <c r="U55" s="22">
        <f>+U54</f>
        <v>0</v>
      </c>
      <c r="V55" s="22">
        <f>+U55+V54</f>
        <v>270000</v>
      </c>
      <c r="W55" s="23">
        <f>+V55+W54</f>
        <v>270000</v>
      </c>
      <c r="X55" s="23">
        <f>+W55+X54</f>
        <v>540000</v>
      </c>
      <c r="Y55" s="14"/>
      <c r="AB55" s="16" t="s">
        <v>8</v>
      </c>
      <c r="AC55" s="22">
        <f>+AC54</f>
        <v>800000</v>
      </c>
      <c r="AD55" s="22">
        <f>+AC55+AD54</f>
        <v>1600000</v>
      </c>
      <c r="AE55" s="23">
        <f>+AD55+AE54</f>
        <v>2400000</v>
      </c>
      <c r="AF55" s="23">
        <f>+AE55+AF54</f>
        <v>3200000</v>
      </c>
      <c r="AG55" s="14"/>
    </row>
    <row r="56" spans="3:33" x14ac:dyDescent="0.2">
      <c r="C56" s="7"/>
      <c r="D56" s="26"/>
      <c r="E56" s="26"/>
      <c r="F56" s="27"/>
      <c r="G56" s="27"/>
      <c r="H56" s="14"/>
      <c r="K56" s="7"/>
      <c r="L56" s="26"/>
      <c r="M56" s="26"/>
      <c r="N56" s="27"/>
      <c r="O56" s="27"/>
      <c r="P56" s="14"/>
      <c r="T56" s="7"/>
      <c r="U56" s="26"/>
      <c r="V56" s="26"/>
      <c r="W56" s="27"/>
      <c r="X56" s="27"/>
      <c r="Y56" s="14"/>
      <c r="AB56" s="7"/>
      <c r="AC56" s="26"/>
      <c r="AD56" s="26"/>
      <c r="AE56" s="27"/>
      <c r="AF56" s="27"/>
      <c r="AG56" s="14"/>
    </row>
    <row r="57" spans="3:33" x14ac:dyDescent="0.2">
      <c r="C57" s="17" t="s">
        <v>312</v>
      </c>
      <c r="D57" s="101"/>
      <c r="E57" s="26"/>
      <c r="F57" s="27"/>
      <c r="G57" s="27"/>
      <c r="H57" s="14"/>
      <c r="K57" s="17" t="s">
        <v>312</v>
      </c>
      <c r="L57" s="26"/>
      <c r="M57" s="26"/>
      <c r="N57" s="27"/>
      <c r="O57" s="27"/>
      <c r="P57" s="14"/>
      <c r="T57" s="17" t="s">
        <v>338</v>
      </c>
      <c r="U57" s="26"/>
      <c r="V57" s="26"/>
      <c r="W57" s="27"/>
      <c r="X57" s="27"/>
      <c r="Y57" s="14"/>
      <c r="AB57" s="17" t="s">
        <v>336</v>
      </c>
      <c r="AC57" s="26"/>
      <c r="AD57" s="26"/>
      <c r="AE57" s="27"/>
      <c r="AF57" s="27"/>
      <c r="AG57" s="14"/>
    </row>
    <row r="58" spans="3:33" x14ac:dyDescent="0.2">
      <c r="C58" s="11" t="s">
        <v>310</v>
      </c>
      <c r="D58" s="22">
        <f>SUM(H28)*5*90</f>
        <v>13500</v>
      </c>
      <c r="E58" s="22">
        <f>SUM(H28)*5*90</f>
        <v>13500</v>
      </c>
      <c r="F58" s="22">
        <f>SUM(H28)*5*90</f>
        <v>13500</v>
      </c>
      <c r="G58" s="22">
        <f>SUM(H28)*5*90</f>
        <v>13500</v>
      </c>
      <c r="H58" s="38"/>
      <c r="I58" s="69"/>
      <c r="J58" s="69"/>
      <c r="K58" s="11" t="s">
        <v>310</v>
      </c>
      <c r="L58" s="22">
        <f>SUM(L52)*5*90</f>
        <v>13500</v>
      </c>
      <c r="M58" s="22">
        <f>SUM(M52)*5*90</f>
        <v>13500</v>
      </c>
      <c r="N58" s="22">
        <f>SUM(N52)*5*90</f>
        <v>13500</v>
      </c>
      <c r="O58" s="22">
        <f>SUM(O52)*5*90</f>
        <v>13500</v>
      </c>
      <c r="P58" s="38"/>
      <c r="T58" s="11" t="s">
        <v>310</v>
      </c>
      <c r="U58" s="22">
        <f>SUM(X34)</f>
        <v>12960</v>
      </c>
      <c r="V58" s="22">
        <f>SUM(U58)</f>
        <v>12960</v>
      </c>
      <c r="W58" s="22">
        <f>SUM(V58)</f>
        <v>12960</v>
      </c>
      <c r="X58" s="22">
        <f>SUM(U58)</f>
        <v>12960</v>
      </c>
      <c r="Y58" s="38"/>
      <c r="AB58" s="11" t="s">
        <v>310</v>
      </c>
      <c r="AC58" s="22">
        <f>SUM(AF34)</f>
        <v>15000</v>
      </c>
      <c r="AD58" s="22">
        <f>SUM(AC58)</f>
        <v>15000</v>
      </c>
      <c r="AE58" s="22">
        <f>SUM(AD58)</f>
        <v>15000</v>
      </c>
      <c r="AF58" s="22">
        <f>SUM(AE58)</f>
        <v>15000</v>
      </c>
      <c r="AG58" s="38"/>
    </row>
    <row r="59" spans="3:33" x14ac:dyDescent="0.2">
      <c r="C59" s="7" t="s">
        <v>222</v>
      </c>
      <c r="D59" s="202">
        <v>250</v>
      </c>
      <c r="E59" s="201">
        <f>+D59</f>
        <v>250</v>
      </c>
      <c r="F59" s="202">
        <f>+E59</f>
        <v>250</v>
      </c>
      <c r="G59" s="202">
        <f>+F59</f>
        <v>250</v>
      </c>
      <c r="H59" s="14"/>
      <c r="K59" s="7" t="s">
        <v>222</v>
      </c>
      <c r="L59" s="201">
        <f>SUM(L35)</f>
        <v>225</v>
      </c>
      <c r="M59" s="201">
        <f>+L59</f>
        <v>225</v>
      </c>
      <c r="N59" s="201">
        <f>+M59</f>
        <v>225</v>
      </c>
      <c r="O59" s="201">
        <f>+N59</f>
        <v>225</v>
      </c>
      <c r="P59" s="14"/>
      <c r="T59" s="7" t="s">
        <v>0</v>
      </c>
      <c r="U59" s="201">
        <f>SUM(U35)</f>
        <v>200</v>
      </c>
      <c r="V59" s="201">
        <f>+U59</f>
        <v>200</v>
      </c>
      <c r="W59" s="201">
        <f>+V59</f>
        <v>200</v>
      </c>
      <c r="X59" s="201">
        <f>+W59</f>
        <v>200</v>
      </c>
      <c r="Y59" s="14"/>
      <c r="AB59" s="7" t="s">
        <v>0</v>
      </c>
      <c r="AC59" s="201">
        <f>SUM(AF35)</f>
        <v>190</v>
      </c>
      <c r="AD59" s="201">
        <f>+AC59</f>
        <v>190</v>
      </c>
      <c r="AE59" s="201">
        <f>+AD59</f>
        <v>190</v>
      </c>
      <c r="AF59" s="201">
        <f>+AE59</f>
        <v>190</v>
      </c>
      <c r="AG59" s="14"/>
    </row>
    <row r="60" spans="3:33" x14ac:dyDescent="0.2">
      <c r="C60" s="15" t="s">
        <v>7</v>
      </c>
      <c r="D60" s="22">
        <f>+D59*D58</f>
        <v>3375000</v>
      </c>
      <c r="E60" s="22">
        <f>+E59*E58</f>
        <v>3375000</v>
      </c>
      <c r="F60" s="23">
        <f>+F59*F58</f>
        <v>3375000</v>
      </c>
      <c r="G60" s="23">
        <f>+G59*G58</f>
        <v>3375000</v>
      </c>
      <c r="H60" s="14"/>
      <c r="K60" s="15" t="s">
        <v>7</v>
      </c>
      <c r="L60" s="22">
        <f>+L59*L58</f>
        <v>3037500</v>
      </c>
      <c r="M60" s="22">
        <f>+M59*M58</f>
        <v>3037500</v>
      </c>
      <c r="N60" s="23">
        <f>+N59*N58</f>
        <v>3037500</v>
      </c>
      <c r="O60" s="23">
        <f>+O59*O58</f>
        <v>3037500</v>
      </c>
      <c r="P60" s="14"/>
      <c r="T60" s="15" t="s">
        <v>7</v>
      </c>
      <c r="U60" s="22">
        <f>+U59*U58</f>
        <v>2592000</v>
      </c>
      <c r="V60" s="22">
        <f>+V59*V58</f>
        <v>2592000</v>
      </c>
      <c r="W60" s="23">
        <f>+W59*W58</f>
        <v>2592000</v>
      </c>
      <c r="X60" s="23">
        <f>+X59*X58</f>
        <v>2592000</v>
      </c>
      <c r="Y60" s="14"/>
      <c r="AB60" s="15" t="s">
        <v>7</v>
      </c>
      <c r="AC60" s="22">
        <f>+AC59*AC58</f>
        <v>2850000</v>
      </c>
      <c r="AD60" s="22">
        <f>+AD59*AD58</f>
        <v>2850000</v>
      </c>
      <c r="AE60" s="23">
        <f>+AE59*AE58</f>
        <v>2850000</v>
      </c>
      <c r="AF60" s="23">
        <f>+AF59*AF58</f>
        <v>2850000</v>
      </c>
      <c r="AG60" s="14"/>
    </row>
    <row r="61" spans="3:33" x14ac:dyDescent="0.2">
      <c r="C61" s="12" t="s">
        <v>8</v>
      </c>
      <c r="D61" s="28">
        <f>+D60</f>
        <v>3375000</v>
      </c>
      <c r="E61" s="28">
        <f>+D61+E60</f>
        <v>6750000</v>
      </c>
      <c r="F61" s="29">
        <f>+E61+F60</f>
        <v>10125000</v>
      </c>
      <c r="G61" s="29">
        <f>+F61+G60</f>
        <v>13500000</v>
      </c>
      <c r="H61" s="14"/>
      <c r="K61" s="12" t="s">
        <v>8</v>
      </c>
      <c r="L61" s="28">
        <f>+L60</f>
        <v>3037500</v>
      </c>
      <c r="M61" s="28">
        <f>+L61+M60</f>
        <v>6075000</v>
      </c>
      <c r="N61" s="29">
        <f>+M61+N60</f>
        <v>9112500</v>
      </c>
      <c r="O61" s="29">
        <f>+N61+O60</f>
        <v>12150000</v>
      </c>
      <c r="P61" s="14"/>
      <c r="T61" s="12" t="s">
        <v>8</v>
      </c>
      <c r="U61" s="28">
        <f>+U60</f>
        <v>2592000</v>
      </c>
      <c r="V61" s="28">
        <f>+U61+V60</f>
        <v>5184000</v>
      </c>
      <c r="W61" s="29">
        <f>+V61+W60</f>
        <v>7776000</v>
      </c>
      <c r="X61" s="29">
        <f>+W61+X60</f>
        <v>10368000</v>
      </c>
      <c r="Y61" s="14"/>
      <c r="AB61" s="12" t="s">
        <v>8</v>
      </c>
      <c r="AC61" s="28">
        <f>+AC60</f>
        <v>2850000</v>
      </c>
      <c r="AD61" s="28">
        <f>+AC61+AD60</f>
        <v>5700000</v>
      </c>
      <c r="AE61" s="29">
        <f>+AD61+AE60</f>
        <v>8550000</v>
      </c>
      <c r="AF61" s="29">
        <f>+AE61+AF60</f>
        <v>11400000</v>
      </c>
      <c r="AG61" s="14"/>
    </row>
    <row r="62" spans="3:33" x14ac:dyDescent="0.2">
      <c r="C62" s="7"/>
      <c r="D62" s="26"/>
      <c r="E62" s="26"/>
      <c r="F62" s="27"/>
      <c r="G62" s="27"/>
      <c r="H62" s="14"/>
      <c r="K62" s="7"/>
      <c r="L62" s="26"/>
      <c r="M62" s="26"/>
      <c r="N62" s="27"/>
      <c r="O62" s="27"/>
      <c r="P62" s="14"/>
      <c r="T62" s="7"/>
      <c r="U62" s="26"/>
      <c r="V62" s="26"/>
      <c r="W62" s="27"/>
      <c r="X62" s="27"/>
      <c r="Y62" s="14"/>
      <c r="AB62" s="7"/>
      <c r="AC62" s="26"/>
      <c r="AD62" s="26"/>
      <c r="AE62" s="27"/>
      <c r="AF62" s="27"/>
      <c r="AG62" s="14"/>
    </row>
    <row r="63" spans="3:33" x14ac:dyDescent="0.2">
      <c r="C63" s="17" t="s">
        <v>313</v>
      </c>
      <c r="D63" s="101"/>
      <c r="E63" s="101">
        <f>SUM(D63)</f>
        <v>0</v>
      </c>
      <c r="F63" s="101">
        <f>SUM(D63)</f>
        <v>0</v>
      </c>
      <c r="G63" s="101">
        <f>SUM(D63)</f>
        <v>0</v>
      </c>
      <c r="H63" s="14"/>
      <c r="K63" s="17" t="s">
        <v>331</v>
      </c>
      <c r="L63" s="101">
        <f>SUM(L39)</f>
        <v>10000</v>
      </c>
      <c r="M63" s="101">
        <f>SUM(L63)</f>
        <v>10000</v>
      </c>
      <c r="N63" s="101">
        <f>SUM(L63)</f>
        <v>10000</v>
      </c>
      <c r="O63" s="101">
        <f>SUM(L63)</f>
        <v>10000</v>
      </c>
      <c r="P63" s="14"/>
      <c r="T63" s="17" t="s">
        <v>331</v>
      </c>
      <c r="U63" s="101">
        <v>75</v>
      </c>
      <c r="V63" s="101">
        <f>SUM(U63)</f>
        <v>75</v>
      </c>
      <c r="W63" s="101">
        <v>75</v>
      </c>
      <c r="X63" s="101">
        <f>SUM(W63)</f>
        <v>75</v>
      </c>
      <c r="Y63" s="14"/>
      <c r="AB63" s="17" t="s">
        <v>331</v>
      </c>
      <c r="AC63" s="101">
        <f>SUM(AC39)</f>
        <v>70</v>
      </c>
      <c r="AD63" s="101">
        <f>SUM(AC63)</f>
        <v>70</v>
      </c>
      <c r="AE63" s="101">
        <f>SUM(AD63)</f>
        <v>70</v>
      </c>
      <c r="AF63" s="101">
        <f>SUM(AE63)</f>
        <v>70</v>
      </c>
      <c r="AG63" s="14"/>
    </row>
    <row r="64" spans="3:33" x14ac:dyDescent="0.2">
      <c r="C64" s="11" t="s">
        <v>107</v>
      </c>
      <c r="D64" s="22">
        <f>+D52*D63</f>
        <v>0</v>
      </c>
      <c r="E64" s="22">
        <f>+E52*E63</f>
        <v>0</v>
      </c>
      <c r="F64" s="22">
        <f>+F52*F63</f>
        <v>0</v>
      </c>
      <c r="G64" s="22">
        <f>+G52*G63</f>
        <v>0</v>
      </c>
      <c r="H64" s="38"/>
      <c r="I64" s="69"/>
      <c r="J64" s="69"/>
      <c r="K64" s="11" t="s">
        <v>107</v>
      </c>
      <c r="L64" s="22">
        <f>+L52*L63</f>
        <v>300000</v>
      </c>
      <c r="M64" s="22">
        <f>+M52*M63</f>
        <v>300000</v>
      </c>
      <c r="N64" s="22">
        <f>+N52*N63</f>
        <v>300000</v>
      </c>
      <c r="O64" s="22">
        <f>+O52*O63</f>
        <v>300000</v>
      </c>
      <c r="P64" s="38"/>
      <c r="T64" s="11" t="s">
        <v>107</v>
      </c>
      <c r="U64" s="22">
        <f>+U52*U63</f>
        <v>0</v>
      </c>
      <c r="V64" s="22">
        <f>+V52*V63</f>
        <v>45000</v>
      </c>
      <c r="W64" s="22">
        <f>+W52*W63</f>
        <v>0</v>
      </c>
      <c r="X64" s="22">
        <f>+X52*X63</f>
        <v>45000</v>
      </c>
      <c r="Y64" s="38"/>
      <c r="AB64" s="11" t="s">
        <v>107</v>
      </c>
      <c r="AC64" s="22">
        <f>+AC52*AC63</f>
        <v>140000</v>
      </c>
      <c r="AD64" s="22">
        <f>+AD52*AD63</f>
        <v>140000</v>
      </c>
      <c r="AE64" s="22">
        <f>+AE52*AE63</f>
        <v>140000</v>
      </c>
      <c r="AF64" s="22">
        <f>+AF52*AF63</f>
        <v>140000</v>
      </c>
      <c r="AG64" s="38"/>
    </row>
    <row r="65" spans="3:33" x14ac:dyDescent="0.2">
      <c r="C65" s="12" t="s">
        <v>8</v>
      </c>
      <c r="D65" s="28">
        <f>+D64</f>
        <v>0</v>
      </c>
      <c r="E65" s="28">
        <f>+D65+E64</f>
        <v>0</v>
      </c>
      <c r="F65" s="29">
        <f>+E65+F64</f>
        <v>0</v>
      </c>
      <c r="G65" s="29">
        <f>+F65+G64</f>
        <v>0</v>
      </c>
      <c r="H65" s="14"/>
      <c r="K65" s="12" t="s">
        <v>8</v>
      </c>
      <c r="L65" s="28">
        <f>+L64</f>
        <v>300000</v>
      </c>
      <c r="M65" s="28">
        <f>+L65+M64</f>
        <v>600000</v>
      </c>
      <c r="N65" s="29">
        <f>+M65+N64</f>
        <v>900000</v>
      </c>
      <c r="O65" s="29">
        <f>+N65+O64</f>
        <v>1200000</v>
      </c>
      <c r="P65" s="14"/>
      <c r="T65" s="12" t="s">
        <v>8</v>
      </c>
      <c r="U65" s="28">
        <f>+U64</f>
        <v>0</v>
      </c>
      <c r="V65" s="28">
        <f>+U65+V64</f>
        <v>45000</v>
      </c>
      <c r="W65" s="29">
        <f>+V65+W64</f>
        <v>45000</v>
      </c>
      <c r="X65" s="29">
        <f>+W65+X64</f>
        <v>90000</v>
      </c>
      <c r="Y65" s="14"/>
      <c r="AB65" s="12" t="s">
        <v>8</v>
      </c>
      <c r="AC65" s="28">
        <f>+AC64</f>
        <v>140000</v>
      </c>
      <c r="AD65" s="28">
        <f>+AC65+AD64</f>
        <v>280000</v>
      </c>
      <c r="AE65" s="29">
        <f>+AD65+AE64</f>
        <v>420000</v>
      </c>
      <c r="AF65" s="29">
        <f>+AE65+AF64</f>
        <v>560000</v>
      </c>
      <c r="AG65" s="14"/>
    </row>
    <row r="66" spans="3:33" ht="16" thickBot="1" x14ac:dyDescent="0.25">
      <c r="C66" s="7"/>
      <c r="D66" s="28"/>
      <c r="E66" s="28"/>
      <c r="F66" s="29"/>
      <c r="G66" s="29"/>
      <c r="H66" s="14"/>
      <c r="K66" s="7"/>
      <c r="L66" s="28"/>
      <c r="M66" s="28"/>
      <c r="N66" s="29"/>
      <c r="O66" s="29"/>
      <c r="P66" s="14"/>
      <c r="T66" s="7"/>
      <c r="U66" s="28"/>
      <c r="V66" s="28"/>
      <c r="W66" s="29"/>
      <c r="X66" s="29"/>
      <c r="Y66" s="14"/>
      <c r="AB66" s="7"/>
      <c r="AC66" s="28"/>
      <c r="AD66" s="28"/>
      <c r="AE66" s="29"/>
      <c r="AF66" s="29"/>
      <c r="AG66" s="14"/>
    </row>
    <row r="67" spans="3:33" ht="16" thickBot="1" x14ac:dyDescent="0.25">
      <c r="C67" s="17"/>
      <c r="D67" s="24"/>
      <c r="E67" s="24"/>
      <c r="F67" s="25"/>
      <c r="G67" s="25"/>
      <c r="H67" s="209" t="s">
        <v>314</v>
      </c>
      <c r="K67" s="17"/>
      <c r="L67" s="24"/>
      <c r="M67" s="24"/>
      <c r="N67" s="25"/>
      <c r="O67" s="24"/>
      <c r="P67" s="318" t="s">
        <v>226</v>
      </c>
      <c r="T67" s="17"/>
      <c r="U67" s="24"/>
      <c r="V67" s="24"/>
      <c r="W67" s="25"/>
      <c r="X67" s="24"/>
      <c r="Y67" s="318" t="s">
        <v>339</v>
      </c>
      <c r="AB67" s="17"/>
      <c r="AC67" s="24"/>
      <c r="AD67" s="24"/>
      <c r="AE67" s="25"/>
      <c r="AF67" s="24"/>
      <c r="AG67" s="318" t="s">
        <v>226</v>
      </c>
    </row>
    <row r="68" spans="3:33" ht="16" thickBot="1" x14ac:dyDescent="0.25">
      <c r="C68" s="8"/>
      <c r="D68" s="34"/>
      <c r="E68" s="34"/>
      <c r="F68" s="35"/>
      <c r="G68" s="35"/>
      <c r="H68" s="210">
        <f>SUM(G70)/H28</f>
        <v>450000</v>
      </c>
      <c r="K68" s="8"/>
      <c r="L68" s="34"/>
      <c r="M68" s="34"/>
      <c r="N68" s="35"/>
      <c r="O68" s="34"/>
      <c r="P68" s="317">
        <f>SUM(O70)/P52</f>
        <v>241250</v>
      </c>
      <c r="T68" s="8"/>
      <c r="U68" s="34"/>
      <c r="V68" s="34"/>
      <c r="W68" s="35"/>
      <c r="X68" s="34"/>
      <c r="Y68" s="317">
        <f>SUM(X70)/Y52</f>
        <v>9165</v>
      </c>
      <c r="AB68" s="8"/>
      <c r="AC68" s="34"/>
      <c r="AD68" s="34"/>
      <c r="AE68" s="35"/>
      <c r="AF68" s="34"/>
      <c r="AG68" s="317">
        <f>SUM(AF70)/AG52</f>
        <v>1895</v>
      </c>
    </row>
    <row r="69" spans="3:33" x14ac:dyDescent="0.2">
      <c r="C69" s="13" t="s">
        <v>23</v>
      </c>
      <c r="D69" s="36">
        <f>+D54+D60+D64</f>
        <v>3375000</v>
      </c>
      <c r="E69" s="36">
        <f>+E54+E60+E64</f>
        <v>3375000</v>
      </c>
      <c r="F69" s="36">
        <f>+F54+F60+F64</f>
        <v>3375000</v>
      </c>
      <c r="G69" s="36">
        <f>+G54+G60+G64</f>
        <v>3375000</v>
      </c>
      <c r="H69" s="853">
        <f>SUM(H52:H65)</f>
        <v>0</v>
      </c>
      <c r="I69" s="200"/>
      <c r="J69" s="200"/>
      <c r="K69" s="13" t="s">
        <v>23</v>
      </c>
      <c r="L69" s="36">
        <f>+L54+L60+L64</f>
        <v>7237500</v>
      </c>
      <c r="M69" s="36">
        <f>+M54+M60+M64</f>
        <v>7237500</v>
      </c>
      <c r="N69" s="36">
        <f>+N54+N60+N64</f>
        <v>7237500</v>
      </c>
      <c r="O69" s="36">
        <f>+O54+O60+O64</f>
        <v>7237500</v>
      </c>
      <c r="P69" s="868">
        <f>SUM(P52:P65)</f>
        <v>120</v>
      </c>
      <c r="T69" s="13" t="s">
        <v>23</v>
      </c>
      <c r="U69" s="36">
        <f>+U54+U60+U64</f>
        <v>2592000</v>
      </c>
      <c r="V69" s="36">
        <f>+V54+V60+V64</f>
        <v>2907000</v>
      </c>
      <c r="W69" s="36">
        <f>+W54+W60+W64</f>
        <v>2592000</v>
      </c>
      <c r="X69" s="36">
        <f>+X54+X60+X64</f>
        <v>2907000</v>
      </c>
      <c r="Y69" s="868">
        <f>SUM(Y52:Y65)</f>
        <v>1200</v>
      </c>
      <c r="AB69" s="13" t="s">
        <v>23</v>
      </c>
      <c r="AC69" s="36">
        <f>+AC54+AC60+AC64</f>
        <v>3790000</v>
      </c>
      <c r="AD69" s="36">
        <f>+AD54+AD60+AD64</f>
        <v>3790000</v>
      </c>
      <c r="AE69" s="36">
        <f>+AE54+AE60+AE64</f>
        <v>3790000</v>
      </c>
      <c r="AF69" s="36">
        <f>+AF54+AF60+AF64</f>
        <v>3790000</v>
      </c>
      <c r="AG69" s="868">
        <f>SUM(AG52:AG65)</f>
        <v>8000</v>
      </c>
    </row>
    <row r="70" spans="3:33" x14ac:dyDescent="0.2">
      <c r="C70" s="299" t="s">
        <v>29</v>
      </c>
      <c r="D70" s="300">
        <f>+D69</f>
        <v>3375000</v>
      </c>
      <c r="E70" s="300">
        <f>+D70+E69</f>
        <v>6750000</v>
      </c>
      <c r="F70" s="300">
        <f>+E70+F69</f>
        <v>10125000</v>
      </c>
      <c r="G70" s="300">
        <f>+F70+G69</f>
        <v>13500000</v>
      </c>
      <c r="H70" s="854"/>
      <c r="I70" s="200"/>
      <c r="J70" s="200"/>
      <c r="K70" s="299" t="s">
        <v>29</v>
      </c>
      <c r="L70" s="300">
        <f>+L69</f>
        <v>7237500</v>
      </c>
      <c r="M70" s="300">
        <f>+L70+M69</f>
        <v>14475000</v>
      </c>
      <c r="N70" s="300">
        <f>+M70+N69</f>
        <v>21712500</v>
      </c>
      <c r="O70" s="300">
        <f>+N70+O69</f>
        <v>28950000</v>
      </c>
      <c r="P70" s="854"/>
      <c r="T70" s="299" t="s">
        <v>29</v>
      </c>
      <c r="U70" s="300">
        <f>+U69</f>
        <v>2592000</v>
      </c>
      <c r="V70" s="300">
        <f>+U70+V69</f>
        <v>5499000</v>
      </c>
      <c r="W70" s="300">
        <f>+V70+W69</f>
        <v>8091000</v>
      </c>
      <c r="X70" s="300">
        <f>+W70+X69</f>
        <v>10998000</v>
      </c>
      <c r="Y70" s="854"/>
      <c r="AB70" s="299" t="s">
        <v>29</v>
      </c>
      <c r="AC70" s="300">
        <f>+AC69</f>
        <v>3790000</v>
      </c>
      <c r="AD70" s="300">
        <f>+AC70+AD69</f>
        <v>7580000</v>
      </c>
      <c r="AE70" s="300">
        <f>+AD70+AE69</f>
        <v>11370000</v>
      </c>
      <c r="AF70" s="300">
        <f>+AE70+AF69</f>
        <v>15160000</v>
      </c>
      <c r="AG70" s="854"/>
    </row>
    <row r="72" spans="3:33" x14ac:dyDescent="0.2">
      <c r="D72" s="1"/>
      <c r="E72" s="1"/>
      <c r="F72" s="1"/>
      <c r="L72" s="1"/>
      <c r="M72" s="1"/>
      <c r="N72" s="1"/>
    </row>
    <row r="73" spans="3:33" x14ac:dyDescent="0.2">
      <c r="C73" s="858" t="s">
        <v>317</v>
      </c>
      <c r="D73" s="859"/>
      <c r="E73" s="859"/>
      <c r="F73" s="859"/>
      <c r="G73" s="859"/>
      <c r="H73" s="860"/>
      <c r="I73" s="3"/>
      <c r="J73" s="3"/>
      <c r="K73" s="858" t="s">
        <v>328</v>
      </c>
      <c r="L73" s="859"/>
      <c r="M73" s="859"/>
      <c r="N73" s="859"/>
      <c r="O73" s="859"/>
      <c r="P73" s="860"/>
      <c r="T73" s="858" t="s">
        <v>342</v>
      </c>
      <c r="U73" s="859"/>
      <c r="V73" s="859"/>
      <c r="W73" s="859"/>
      <c r="X73" s="859"/>
      <c r="Y73" s="860" t="s">
        <v>27</v>
      </c>
      <c r="AB73" s="858" t="s">
        <v>347</v>
      </c>
      <c r="AC73" s="859"/>
      <c r="AD73" s="859"/>
      <c r="AE73" s="859"/>
      <c r="AF73" s="859"/>
      <c r="AG73" s="860" t="s">
        <v>27</v>
      </c>
    </row>
    <row r="74" spans="3:33" x14ac:dyDescent="0.2">
      <c r="C74" s="9" t="s">
        <v>25</v>
      </c>
      <c r="D74" s="3" t="s">
        <v>9</v>
      </c>
      <c r="E74" s="10" t="s">
        <v>106</v>
      </c>
      <c r="F74" s="10" t="s">
        <v>10</v>
      </c>
      <c r="G74" s="10" t="s">
        <v>11</v>
      </c>
      <c r="H74" s="39" t="s">
        <v>24</v>
      </c>
      <c r="I74" s="207"/>
      <c r="J74" s="207"/>
      <c r="K74" s="9" t="s">
        <v>25</v>
      </c>
      <c r="L74" s="3" t="s">
        <v>9</v>
      </c>
      <c r="M74" s="10" t="s">
        <v>106</v>
      </c>
      <c r="N74" s="10" t="s">
        <v>10</v>
      </c>
      <c r="O74" s="10" t="s">
        <v>11</v>
      </c>
      <c r="P74" s="39" t="s">
        <v>24</v>
      </c>
      <c r="T74" s="9" t="s">
        <v>28</v>
      </c>
      <c r="U74" s="3" t="s">
        <v>9</v>
      </c>
      <c r="V74" s="10" t="s">
        <v>106</v>
      </c>
      <c r="W74" s="10" t="s">
        <v>10</v>
      </c>
      <c r="X74" s="10" t="s">
        <v>11</v>
      </c>
      <c r="Y74" s="39" t="s">
        <v>27</v>
      </c>
      <c r="AB74" s="9" t="s">
        <v>28</v>
      </c>
      <c r="AC74" s="3" t="s">
        <v>9</v>
      </c>
      <c r="AD74" s="10" t="s">
        <v>106</v>
      </c>
      <c r="AE74" s="10" t="s">
        <v>10</v>
      </c>
      <c r="AF74" s="10" t="s">
        <v>11</v>
      </c>
      <c r="AG74" s="39"/>
    </row>
    <row r="75" spans="3:33" x14ac:dyDescent="0.2">
      <c r="C75" s="18" t="s">
        <v>309</v>
      </c>
      <c r="D75" s="20"/>
      <c r="E75" s="20"/>
      <c r="F75" s="20"/>
      <c r="G75" s="20"/>
      <c r="H75" s="38">
        <f>+SUM(D75:G75)</f>
        <v>0</v>
      </c>
      <c r="I75" s="69"/>
      <c r="J75" s="69"/>
      <c r="K75" s="18" t="s">
        <v>332</v>
      </c>
      <c r="L75" s="20">
        <v>30</v>
      </c>
      <c r="M75" s="20">
        <v>30</v>
      </c>
      <c r="N75" s="20">
        <v>30</v>
      </c>
      <c r="O75" s="20">
        <v>30</v>
      </c>
      <c r="P75" s="38">
        <f>+SUM(L75:O75)</f>
        <v>120</v>
      </c>
      <c r="T75" s="18" t="s">
        <v>337</v>
      </c>
      <c r="U75" s="20">
        <v>0</v>
      </c>
      <c r="V75" s="20">
        <v>600</v>
      </c>
      <c r="W75" s="20"/>
      <c r="X75" s="20">
        <v>600</v>
      </c>
      <c r="Y75" s="38">
        <f>+SUM(U75:X75)</f>
        <v>1200</v>
      </c>
      <c r="AB75" s="18" t="s">
        <v>350</v>
      </c>
      <c r="AC75" s="20">
        <v>2000</v>
      </c>
      <c r="AD75" s="20">
        <v>2000</v>
      </c>
      <c r="AE75" s="20">
        <v>2000</v>
      </c>
      <c r="AF75" s="20">
        <v>2000</v>
      </c>
      <c r="AG75" s="38">
        <f>+SUM(AC75:AF75)</f>
        <v>8000</v>
      </c>
    </row>
    <row r="76" spans="3:33" x14ac:dyDescent="0.2">
      <c r="C76" s="11" t="s">
        <v>0</v>
      </c>
      <c r="D76" s="22">
        <f>SUM(D53)</f>
        <v>200000</v>
      </c>
      <c r="E76" s="22">
        <f>+D76</f>
        <v>200000</v>
      </c>
      <c r="F76" s="22">
        <f>+E76</f>
        <v>200000</v>
      </c>
      <c r="G76" s="22">
        <f>+F76</f>
        <v>200000</v>
      </c>
      <c r="H76" s="14"/>
      <c r="K76" s="11" t="s">
        <v>0</v>
      </c>
      <c r="L76" s="22">
        <f>SUM(L53)*1.1</f>
        <v>143000</v>
      </c>
      <c r="M76" s="22">
        <f>+L76</f>
        <v>143000</v>
      </c>
      <c r="N76" s="22">
        <f>+M76</f>
        <v>143000</v>
      </c>
      <c r="O76" s="22">
        <f>+N76</f>
        <v>143000</v>
      </c>
      <c r="P76" s="14"/>
      <c r="T76" s="11" t="s">
        <v>19</v>
      </c>
      <c r="U76" s="22">
        <f>SUM(U53)*1.1</f>
        <v>495.00000000000006</v>
      </c>
      <c r="V76" s="22">
        <f>SUM(V53)*1.1</f>
        <v>495.00000000000006</v>
      </c>
      <c r="W76" s="22">
        <f>SUM(W53)*1.1</f>
        <v>495.00000000000006</v>
      </c>
      <c r="X76" s="22">
        <f>SUM(X53)*1.1</f>
        <v>495.00000000000006</v>
      </c>
      <c r="Y76" s="14"/>
      <c r="AB76" s="11" t="s">
        <v>19</v>
      </c>
      <c r="AC76" s="22">
        <f>SUM(AC53)*1.1</f>
        <v>440.00000000000006</v>
      </c>
      <c r="AD76" s="22">
        <f>SUM(AD53)*1.1</f>
        <v>440.00000000000006</v>
      </c>
      <c r="AE76" s="22">
        <f>SUM(AE53)*1.1</f>
        <v>440.00000000000006</v>
      </c>
      <c r="AF76" s="22">
        <f>SUM(AF53)*1.1</f>
        <v>440.00000000000006</v>
      </c>
      <c r="AG76" s="14"/>
    </row>
    <row r="77" spans="3:33" x14ac:dyDescent="0.2">
      <c r="C77" s="6" t="s">
        <v>7</v>
      </c>
      <c r="D77" s="24">
        <f>+D76*D75</f>
        <v>0</v>
      </c>
      <c r="E77" s="24">
        <f>+E76*E75</f>
        <v>0</v>
      </c>
      <c r="F77" s="25">
        <f>+F76*F75</f>
        <v>0</v>
      </c>
      <c r="G77" s="25">
        <f>+G76*G75</f>
        <v>0</v>
      </c>
      <c r="H77" s="14"/>
      <c r="K77" s="6" t="s">
        <v>7</v>
      </c>
      <c r="L77" s="24">
        <f>+L76*L75</f>
        <v>4290000</v>
      </c>
      <c r="M77" s="24">
        <f>+M76*M75</f>
        <v>4290000</v>
      </c>
      <c r="N77" s="25">
        <f>+N76*N75</f>
        <v>4290000</v>
      </c>
      <c r="O77" s="25">
        <f>+O76*O75</f>
        <v>4290000</v>
      </c>
      <c r="P77" s="14"/>
      <c r="T77" s="6" t="s">
        <v>7</v>
      </c>
      <c r="U77" s="24">
        <f>+U76*U75</f>
        <v>0</v>
      </c>
      <c r="V77" s="24">
        <f>+V76*V75</f>
        <v>297000.00000000006</v>
      </c>
      <c r="W77" s="25">
        <f>+W76*W75</f>
        <v>0</v>
      </c>
      <c r="X77" s="25">
        <f>+X76*X75</f>
        <v>297000.00000000006</v>
      </c>
      <c r="Y77" s="14"/>
      <c r="AB77" s="6" t="s">
        <v>7</v>
      </c>
      <c r="AC77" s="24">
        <f>+AC76*AC75</f>
        <v>880000.00000000012</v>
      </c>
      <c r="AD77" s="24">
        <f>+AD76*AD75</f>
        <v>880000.00000000012</v>
      </c>
      <c r="AE77" s="25">
        <f>+AE76*AE75</f>
        <v>880000.00000000012</v>
      </c>
      <c r="AF77" s="25">
        <f>+AF76*AF75</f>
        <v>880000.00000000012</v>
      </c>
      <c r="AG77" s="14"/>
    </row>
    <row r="78" spans="3:33" x14ac:dyDescent="0.2">
      <c r="C78" s="16" t="s">
        <v>8</v>
      </c>
      <c r="D78" s="22">
        <f>+D77</f>
        <v>0</v>
      </c>
      <c r="E78" s="22">
        <f>+D78+E77</f>
        <v>0</v>
      </c>
      <c r="F78" s="23">
        <f>+E78+F77</f>
        <v>0</v>
      </c>
      <c r="G78" s="23">
        <f>+F78+G77</f>
        <v>0</v>
      </c>
      <c r="H78" s="14"/>
      <c r="K78" s="16" t="s">
        <v>8</v>
      </c>
      <c r="L78" s="22">
        <f>+L77</f>
        <v>4290000</v>
      </c>
      <c r="M78" s="22">
        <f>+L78+M77</f>
        <v>8580000</v>
      </c>
      <c r="N78" s="23">
        <f>+M78+N77</f>
        <v>12870000</v>
      </c>
      <c r="O78" s="23">
        <f>+N78+O77</f>
        <v>17160000</v>
      </c>
      <c r="P78" s="14"/>
      <c r="T78" s="16" t="s">
        <v>8</v>
      </c>
      <c r="U78" s="22">
        <f>+U77</f>
        <v>0</v>
      </c>
      <c r="V78" s="22">
        <f>+U78+V77</f>
        <v>297000.00000000006</v>
      </c>
      <c r="W78" s="23">
        <f>+V78+W77</f>
        <v>297000.00000000006</v>
      </c>
      <c r="X78" s="23">
        <f>+W78+X77</f>
        <v>594000.00000000012</v>
      </c>
      <c r="Y78" s="14"/>
      <c r="AB78" s="16" t="s">
        <v>8</v>
      </c>
      <c r="AC78" s="22">
        <f>+AC77</f>
        <v>880000.00000000012</v>
      </c>
      <c r="AD78" s="22">
        <f>+AC78+AD77</f>
        <v>1760000.0000000002</v>
      </c>
      <c r="AE78" s="23">
        <f>+AD78+AE77</f>
        <v>2640000.0000000005</v>
      </c>
      <c r="AF78" s="23">
        <f>+AE78+AF77</f>
        <v>3520000.0000000005</v>
      </c>
      <c r="AG78" s="14"/>
    </row>
    <row r="79" spans="3:33" x14ac:dyDescent="0.2">
      <c r="C79" s="7"/>
      <c r="D79" s="26"/>
      <c r="E79" s="26"/>
      <c r="F79" s="27"/>
      <c r="G79" s="27"/>
      <c r="H79" s="14"/>
      <c r="K79" s="7"/>
      <c r="L79" s="26"/>
      <c r="M79" s="26"/>
      <c r="N79" s="27"/>
      <c r="O79" s="27"/>
      <c r="P79" s="14"/>
      <c r="T79" s="7"/>
      <c r="U79" s="26"/>
      <c r="V79" s="26"/>
      <c r="W79" s="27"/>
      <c r="X79" s="27"/>
      <c r="Y79" s="14"/>
      <c r="AB79" s="7"/>
      <c r="AC79" s="26"/>
      <c r="AD79" s="26"/>
      <c r="AE79" s="27"/>
      <c r="AF79" s="27"/>
      <c r="AG79" s="14"/>
    </row>
    <row r="80" spans="3:33" x14ac:dyDescent="0.2">
      <c r="C80" s="17" t="s">
        <v>312</v>
      </c>
      <c r="D80" s="26"/>
      <c r="E80" s="26"/>
      <c r="F80" s="27"/>
      <c r="G80" s="27"/>
      <c r="H80" s="14"/>
      <c r="K80" s="17" t="s">
        <v>312</v>
      </c>
      <c r="L80" s="26"/>
      <c r="M80" s="26"/>
      <c r="N80" s="27"/>
      <c r="O80" s="27"/>
      <c r="P80" s="14"/>
      <c r="T80" s="17" t="s">
        <v>338</v>
      </c>
      <c r="U80" s="26"/>
      <c r="V80" s="26"/>
      <c r="W80" s="27"/>
      <c r="X80" s="27"/>
      <c r="Y80" s="14"/>
      <c r="AB80" s="17" t="s">
        <v>336</v>
      </c>
      <c r="AC80" s="26"/>
      <c r="AD80" s="26"/>
      <c r="AE80" s="27"/>
      <c r="AF80" s="27"/>
      <c r="AG80" s="14"/>
    </row>
    <row r="81" spans="3:33" x14ac:dyDescent="0.2">
      <c r="C81" s="11" t="s">
        <v>310</v>
      </c>
      <c r="D81" s="22">
        <f>SUM(H28)*5*90</f>
        <v>13500</v>
      </c>
      <c r="E81" s="22">
        <f>SUM(H28)*5*90</f>
        <v>13500</v>
      </c>
      <c r="F81" s="22">
        <f>SUM(H28)*5*90</f>
        <v>13500</v>
      </c>
      <c r="G81" s="22">
        <f>SUM(H28)*5*90</f>
        <v>13500</v>
      </c>
      <c r="H81" s="38"/>
      <c r="I81" s="69"/>
      <c r="J81" s="69"/>
      <c r="K81" s="11" t="s">
        <v>310</v>
      </c>
      <c r="L81" s="22">
        <f>SUM(L75)*5*90</f>
        <v>13500</v>
      </c>
      <c r="M81" s="22">
        <f>SUM(M75)*5*90</f>
        <v>13500</v>
      </c>
      <c r="N81" s="22">
        <f>SUM(N75)*5*90</f>
        <v>13500</v>
      </c>
      <c r="O81" s="22">
        <f>SUM(O75)*5*90</f>
        <v>13500</v>
      </c>
      <c r="P81" s="38"/>
      <c r="T81" s="11" t="s">
        <v>310</v>
      </c>
      <c r="U81" s="22">
        <f>SUM(X58)</f>
        <v>12960</v>
      </c>
      <c r="V81" s="22">
        <f>SUM(U81)</f>
        <v>12960</v>
      </c>
      <c r="W81" s="22">
        <f>SUM(V81)</f>
        <v>12960</v>
      </c>
      <c r="X81" s="22">
        <f>SUM(W81)</f>
        <v>12960</v>
      </c>
      <c r="Y81" s="38"/>
      <c r="AB81" s="11" t="s">
        <v>310</v>
      </c>
      <c r="AC81" s="22">
        <f>SUM(AF58)</f>
        <v>15000</v>
      </c>
      <c r="AD81" s="22">
        <f>SUM(AC81)</f>
        <v>15000</v>
      </c>
      <c r="AE81" s="22">
        <f>SUM(AD81)</f>
        <v>15000</v>
      </c>
      <c r="AF81" s="22">
        <f>SUM(AE81)</f>
        <v>15000</v>
      </c>
      <c r="AG81" s="38"/>
    </row>
    <row r="82" spans="3:33" x14ac:dyDescent="0.2">
      <c r="C82" s="7" t="s">
        <v>0</v>
      </c>
      <c r="D82" s="201">
        <f>+D59*1.1</f>
        <v>275</v>
      </c>
      <c r="E82" s="201">
        <f>+D82</f>
        <v>275</v>
      </c>
      <c r="F82" s="201">
        <f>+E82</f>
        <v>275</v>
      </c>
      <c r="G82" s="201">
        <f>+F82</f>
        <v>275</v>
      </c>
      <c r="H82" s="14"/>
      <c r="K82" s="7" t="s">
        <v>0</v>
      </c>
      <c r="L82" s="201">
        <f>+L59*1.1</f>
        <v>247.50000000000003</v>
      </c>
      <c r="M82" s="201">
        <f>+L82</f>
        <v>247.50000000000003</v>
      </c>
      <c r="N82" s="201">
        <f>+M82</f>
        <v>247.50000000000003</v>
      </c>
      <c r="O82" s="201">
        <f>+N82</f>
        <v>247.50000000000003</v>
      </c>
      <c r="P82" s="14"/>
      <c r="T82" s="7" t="s">
        <v>0</v>
      </c>
      <c r="U82" s="201">
        <f>+X59*1.05</f>
        <v>210</v>
      </c>
      <c r="V82" s="201">
        <f>+U82</f>
        <v>210</v>
      </c>
      <c r="W82" s="201">
        <f>+V82</f>
        <v>210</v>
      </c>
      <c r="X82" s="201">
        <f>+W82</f>
        <v>210</v>
      </c>
      <c r="Y82" s="14"/>
      <c r="AB82" s="7" t="s">
        <v>0</v>
      </c>
      <c r="AC82" s="201">
        <f>+AF59*1.05</f>
        <v>199.5</v>
      </c>
      <c r="AD82" s="201">
        <f>+AC82</f>
        <v>199.5</v>
      </c>
      <c r="AE82" s="201">
        <f>+AD82</f>
        <v>199.5</v>
      </c>
      <c r="AF82" s="201">
        <f>+AE82</f>
        <v>199.5</v>
      </c>
      <c r="AG82" s="14"/>
    </row>
    <row r="83" spans="3:33" x14ac:dyDescent="0.2">
      <c r="C83" s="15" t="s">
        <v>7</v>
      </c>
      <c r="D83" s="22">
        <f>+D82*D81</f>
        <v>3712500</v>
      </c>
      <c r="E83" s="22">
        <f>+E82*E81</f>
        <v>3712500</v>
      </c>
      <c r="F83" s="23">
        <f>+F82*F81</f>
        <v>3712500</v>
      </c>
      <c r="G83" s="23">
        <f>+G82*G81</f>
        <v>3712500</v>
      </c>
      <c r="H83" s="14"/>
      <c r="K83" s="15" t="s">
        <v>7</v>
      </c>
      <c r="L83" s="22">
        <f>+L82*L81</f>
        <v>3341250.0000000005</v>
      </c>
      <c r="M83" s="22">
        <f>+M82*M81</f>
        <v>3341250.0000000005</v>
      </c>
      <c r="N83" s="23">
        <f>+N82*N81</f>
        <v>3341250.0000000005</v>
      </c>
      <c r="O83" s="23">
        <f>+O82*O81</f>
        <v>3341250.0000000005</v>
      </c>
      <c r="P83" s="14"/>
      <c r="T83" s="15" t="s">
        <v>7</v>
      </c>
      <c r="U83" s="22">
        <f>+U82*U81</f>
        <v>2721600</v>
      </c>
      <c r="V83" s="22">
        <f>+V82*V81</f>
        <v>2721600</v>
      </c>
      <c r="W83" s="23">
        <f>+W82*W81</f>
        <v>2721600</v>
      </c>
      <c r="X83" s="23">
        <f>+X82*X81</f>
        <v>2721600</v>
      </c>
      <c r="Y83" s="14"/>
      <c r="AB83" s="15" t="s">
        <v>7</v>
      </c>
      <c r="AC83" s="22">
        <f>+AC82*AC81</f>
        <v>2992500</v>
      </c>
      <c r="AD83" s="22">
        <f>+AD82*AD81</f>
        <v>2992500</v>
      </c>
      <c r="AE83" s="23">
        <f>+AE82*AE81</f>
        <v>2992500</v>
      </c>
      <c r="AF83" s="23">
        <f>+AF82*AF81</f>
        <v>2992500</v>
      </c>
      <c r="AG83" s="14"/>
    </row>
    <row r="84" spans="3:33" x14ac:dyDescent="0.2">
      <c r="C84" s="12" t="s">
        <v>8</v>
      </c>
      <c r="D84" s="28">
        <f>+D83</f>
        <v>3712500</v>
      </c>
      <c r="E84" s="28">
        <f>+D84+E83</f>
        <v>7425000</v>
      </c>
      <c r="F84" s="29">
        <f>+E84+F83</f>
        <v>11137500</v>
      </c>
      <c r="G84" s="29">
        <f>+F84+G83</f>
        <v>14850000</v>
      </c>
      <c r="H84" s="14"/>
      <c r="K84" s="12" t="s">
        <v>8</v>
      </c>
      <c r="L84" s="28">
        <f>+L83</f>
        <v>3341250.0000000005</v>
      </c>
      <c r="M84" s="28">
        <f>+L84+M83</f>
        <v>6682500.0000000009</v>
      </c>
      <c r="N84" s="29">
        <f>+M84+N83</f>
        <v>10023750.000000002</v>
      </c>
      <c r="O84" s="29">
        <f>+N84+O83</f>
        <v>13365000.000000002</v>
      </c>
      <c r="P84" s="14"/>
      <c r="T84" s="12" t="s">
        <v>8</v>
      </c>
      <c r="U84" s="28">
        <f>+U83</f>
        <v>2721600</v>
      </c>
      <c r="V84" s="28">
        <f>+U84+V83</f>
        <v>5443200</v>
      </c>
      <c r="W84" s="29">
        <f>+V84+W83</f>
        <v>8164800</v>
      </c>
      <c r="X84" s="29">
        <f>+W84+X83</f>
        <v>10886400</v>
      </c>
      <c r="Y84" s="14"/>
      <c r="AB84" s="12" t="s">
        <v>8</v>
      </c>
      <c r="AC84" s="28">
        <f>+AC83</f>
        <v>2992500</v>
      </c>
      <c r="AD84" s="28">
        <f>+AC84+AD83</f>
        <v>5985000</v>
      </c>
      <c r="AE84" s="29">
        <f>+AD84+AE83</f>
        <v>8977500</v>
      </c>
      <c r="AF84" s="29">
        <f>+AE84+AF83</f>
        <v>11970000</v>
      </c>
      <c r="AG84" s="14"/>
    </row>
    <row r="85" spans="3:33" x14ac:dyDescent="0.2">
      <c r="C85" s="7"/>
      <c r="D85" s="26"/>
      <c r="E85" s="26"/>
      <c r="F85" s="27"/>
      <c r="G85" s="27"/>
      <c r="H85" s="14"/>
      <c r="K85" s="7"/>
      <c r="L85" s="26"/>
      <c r="M85" s="26"/>
      <c r="N85" s="27"/>
      <c r="O85" s="27"/>
      <c r="P85" s="14"/>
      <c r="T85" s="7"/>
      <c r="U85" s="26"/>
      <c r="V85" s="26"/>
      <c r="W85" s="27"/>
      <c r="X85" s="27"/>
      <c r="Y85" s="14"/>
      <c r="AB85" s="7"/>
      <c r="AC85" s="26"/>
      <c r="AD85" s="26"/>
      <c r="AE85" s="27"/>
      <c r="AF85" s="27"/>
      <c r="AG85" s="14"/>
    </row>
    <row r="86" spans="3:33" x14ac:dyDescent="0.2">
      <c r="C86" s="17" t="s">
        <v>313</v>
      </c>
      <c r="D86" s="101">
        <f>+D63*1.1</f>
        <v>0</v>
      </c>
      <c r="E86" s="101">
        <f>+D86</f>
        <v>0</v>
      </c>
      <c r="F86" s="101">
        <f>+E86</f>
        <v>0</v>
      </c>
      <c r="G86" s="101">
        <f>+F86</f>
        <v>0</v>
      </c>
      <c r="H86" s="14"/>
      <c r="K86" s="17" t="s">
        <v>331</v>
      </c>
      <c r="L86" s="101">
        <f>+L63*1.1</f>
        <v>11000</v>
      </c>
      <c r="M86" s="101">
        <f>+L86</f>
        <v>11000</v>
      </c>
      <c r="N86" s="101">
        <f>+M86</f>
        <v>11000</v>
      </c>
      <c r="O86" s="101">
        <f>+N86</f>
        <v>11000</v>
      </c>
      <c r="P86" s="14"/>
      <c r="T86" s="17" t="s">
        <v>331</v>
      </c>
      <c r="U86" s="101">
        <f>SUM(U63)*1.1</f>
        <v>82.5</v>
      </c>
      <c r="V86" s="101">
        <f>+U86</f>
        <v>82.5</v>
      </c>
      <c r="W86" s="101">
        <f>+V86</f>
        <v>82.5</v>
      </c>
      <c r="X86" s="101">
        <f>+W86</f>
        <v>82.5</v>
      </c>
      <c r="Y86" s="14"/>
      <c r="AB86" s="17" t="s">
        <v>331</v>
      </c>
      <c r="AC86" s="101">
        <f>SUM(AC63)*1.05</f>
        <v>73.5</v>
      </c>
      <c r="AD86" s="101">
        <f>+AC86</f>
        <v>73.5</v>
      </c>
      <c r="AE86" s="101">
        <f>+AD86</f>
        <v>73.5</v>
      </c>
      <c r="AF86" s="101">
        <f>+AE86</f>
        <v>73.5</v>
      </c>
      <c r="AG86" s="14"/>
    </row>
    <row r="87" spans="3:33" x14ac:dyDescent="0.2">
      <c r="C87" s="11" t="s">
        <v>107</v>
      </c>
      <c r="D87" s="22">
        <f>+D75*D86</f>
        <v>0</v>
      </c>
      <c r="E87" s="22">
        <f>+E75*E86</f>
        <v>0</v>
      </c>
      <c r="F87" s="22">
        <f>+F75*F86</f>
        <v>0</v>
      </c>
      <c r="G87" s="22">
        <f>+G75*G86</f>
        <v>0</v>
      </c>
      <c r="H87" s="38"/>
      <c r="I87" s="69"/>
      <c r="J87" s="69"/>
      <c r="K87" s="11" t="s">
        <v>107</v>
      </c>
      <c r="L87" s="22">
        <f>+L75*L86</f>
        <v>330000</v>
      </c>
      <c r="M87" s="22">
        <f>+M75*M86</f>
        <v>330000</v>
      </c>
      <c r="N87" s="22">
        <f>+N75*N86</f>
        <v>330000</v>
      </c>
      <c r="O87" s="22">
        <f>+O75*O86</f>
        <v>330000</v>
      </c>
      <c r="P87" s="38"/>
      <c r="T87" s="11" t="s">
        <v>107</v>
      </c>
      <c r="U87" s="22">
        <f>+U75*U86</f>
        <v>0</v>
      </c>
      <c r="V87" s="22">
        <f>+V75*V86</f>
        <v>49500</v>
      </c>
      <c r="W87" s="22">
        <f>+W75*W86</f>
        <v>0</v>
      </c>
      <c r="X87" s="22">
        <f>+X75*X86</f>
        <v>49500</v>
      </c>
      <c r="Y87" s="38"/>
      <c r="AB87" s="11" t="s">
        <v>107</v>
      </c>
      <c r="AC87" s="22">
        <f>+AC75*AC86</f>
        <v>147000</v>
      </c>
      <c r="AD87" s="22">
        <f>+AD75*AD86</f>
        <v>147000</v>
      </c>
      <c r="AE87" s="22">
        <f>+AE75*AE86</f>
        <v>147000</v>
      </c>
      <c r="AF87" s="22">
        <f>+AF75*AF86</f>
        <v>147000</v>
      </c>
      <c r="AG87" s="38"/>
    </row>
    <row r="88" spans="3:33" x14ac:dyDescent="0.2">
      <c r="C88" s="12" t="s">
        <v>8</v>
      </c>
      <c r="D88" s="28">
        <f>+D87</f>
        <v>0</v>
      </c>
      <c r="E88" s="28">
        <f>+D88+E87</f>
        <v>0</v>
      </c>
      <c r="F88" s="29">
        <f>+E88+F87</f>
        <v>0</v>
      </c>
      <c r="G88" s="29">
        <f>+F88+G87</f>
        <v>0</v>
      </c>
      <c r="H88" s="14"/>
      <c r="K88" s="12" t="s">
        <v>8</v>
      </c>
      <c r="L88" s="28">
        <f>+L87</f>
        <v>330000</v>
      </c>
      <c r="M88" s="28">
        <f>+L88+M87</f>
        <v>660000</v>
      </c>
      <c r="N88" s="29">
        <f>+M88+N87</f>
        <v>990000</v>
      </c>
      <c r="O88" s="29">
        <f>+N88+O87</f>
        <v>1320000</v>
      </c>
      <c r="P88" s="14"/>
      <c r="T88" s="12" t="s">
        <v>8</v>
      </c>
      <c r="U88" s="28">
        <f>+U87</f>
        <v>0</v>
      </c>
      <c r="V88" s="28">
        <f>+U88+V87</f>
        <v>49500</v>
      </c>
      <c r="W88" s="29">
        <f>+V88+W87</f>
        <v>49500</v>
      </c>
      <c r="X88" s="29">
        <f>+W88+X87</f>
        <v>99000</v>
      </c>
      <c r="Y88" s="14"/>
      <c r="AB88" s="12" t="s">
        <v>8</v>
      </c>
      <c r="AC88" s="28">
        <f>+AC87</f>
        <v>147000</v>
      </c>
      <c r="AD88" s="28">
        <f>+AC88+AD87</f>
        <v>294000</v>
      </c>
      <c r="AE88" s="29">
        <f>+AD88+AE87</f>
        <v>441000</v>
      </c>
      <c r="AF88" s="29">
        <f>+AE88+AF87</f>
        <v>588000</v>
      </c>
      <c r="AG88" s="14"/>
    </row>
    <row r="89" spans="3:33" ht="16" thickBot="1" x14ac:dyDescent="0.25">
      <c r="C89" s="7"/>
      <c r="D89" s="28"/>
      <c r="E89" s="28"/>
      <c r="F89" s="29"/>
      <c r="G89" s="29"/>
      <c r="H89" s="14"/>
      <c r="K89" s="7"/>
      <c r="L89" s="28"/>
      <c r="M89" s="28"/>
      <c r="N89" s="29"/>
      <c r="O89" s="29"/>
      <c r="P89" s="14"/>
      <c r="T89" s="7"/>
      <c r="U89" s="28"/>
      <c r="V89" s="28"/>
      <c r="W89" s="29"/>
      <c r="X89" s="29"/>
      <c r="Y89" s="14"/>
      <c r="AB89" s="7"/>
      <c r="AC89" s="28"/>
      <c r="AD89" s="28"/>
      <c r="AE89" s="29"/>
      <c r="AF89" s="29"/>
      <c r="AG89" s="14"/>
    </row>
    <row r="90" spans="3:33" ht="16" thickBot="1" x14ac:dyDescent="0.25">
      <c r="C90" s="17"/>
      <c r="D90" s="24"/>
      <c r="E90" s="24"/>
      <c r="F90" s="25"/>
      <c r="G90" s="24"/>
      <c r="H90" s="209" t="s">
        <v>314</v>
      </c>
      <c r="K90" s="17"/>
      <c r="L90" s="24"/>
      <c r="M90" s="24"/>
      <c r="N90" s="25"/>
      <c r="O90" s="24"/>
      <c r="P90" s="318" t="s">
        <v>226</v>
      </c>
      <c r="T90" s="17"/>
      <c r="U90" s="24"/>
      <c r="V90" s="24"/>
      <c r="W90" s="25"/>
      <c r="X90" s="24"/>
      <c r="Y90" s="318" t="s">
        <v>339</v>
      </c>
      <c r="AB90" s="17"/>
      <c r="AC90" s="24"/>
      <c r="AD90" s="24"/>
      <c r="AE90" s="25"/>
      <c r="AF90" s="24"/>
      <c r="AG90" s="318" t="s">
        <v>226</v>
      </c>
    </row>
    <row r="91" spans="3:33" ht="16" thickBot="1" x14ac:dyDescent="0.25">
      <c r="C91" s="8"/>
      <c r="D91" s="34"/>
      <c r="E91" s="34"/>
      <c r="F91" s="35"/>
      <c r="G91" s="34"/>
      <c r="H91" s="210">
        <f>SUM(G93)/H28</f>
        <v>495000</v>
      </c>
      <c r="K91" s="8"/>
      <c r="L91" s="34"/>
      <c r="M91" s="34"/>
      <c r="N91" s="35"/>
      <c r="O91" s="34"/>
      <c r="P91" s="317">
        <f>SUM(O93)/P75</f>
        <v>265375</v>
      </c>
      <c r="T91" s="8"/>
      <c r="U91" s="34"/>
      <c r="V91" s="34"/>
      <c r="W91" s="35"/>
      <c r="X91" s="34"/>
      <c r="Y91" s="317">
        <f>SUM(X93)/Y75</f>
        <v>9649.5</v>
      </c>
      <c r="AB91" s="8"/>
      <c r="AC91" s="34"/>
      <c r="AD91" s="34"/>
      <c r="AE91" s="35"/>
      <c r="AF91" s="34"/>
      <c r="AG91" s="317">
        <f>SUM(AF93)/AG75</f>
        <v>2009.75</v>
      </c>
    </row>
    <row r="92" spans="3:33" x14ac:dyDescent="0.2">
      <c r="C92" s="13" t="s">
        <v>23</v>
      </c>
      <c r="D92" s="36">
        <f>+D77+D83+D87</f>
        <v>3712500</v>
      </c>
      <c r="E92" s="36">
        <f>+E77+E83+E87</f>
        <v>3712500</v>
      </c>
      <c r="F92" s="36">
        <f>+F77+F83+F87</f>
        <v>3712500</v>
      </c>
      <c r="G92" s="36">
        <f>+G77+G83+G87</f>
        <v>3712500</v>
      </c>
      <c r="H92" s="868">
        <f>SUM(H75:H88)</f>
        <v>0</v>
      </c>
      <c r="I92" s="200"/>
      <c r="J92" s="200"/>
      <c r="K92" s="13" t="s">
        <v>23</v>
      </c>
      <c r="L92" s="36">
        <f>+L77+L83+L87</f>
        <v>7961250</v>
      </c>
      <c r="M92" s="36">
        <f>+M77+M83+M87</f>
        <v>7961250</v>
      </c>
      <c r="N92" s="36">
        <f>+N77+N83+N87</f>
        <v>7961250</v>
      </c>
      <c r="O92" s="36">
        <f>+O77+O83+O87</f>
        <v>7961250</v>
      </c>
      <c r="P92" s="868">
        <f>SUM(P75:P88)</f>
        <v>120</v>
      </c>
      <c r="T92" s="13" t="s">
        <v>23</v>
      </c>
      <c r="U92" s="36">
        <f>+U77+U83+U87</f>
        <v>2721600</v>
      </c>
      <c r="V92" s="36">
        <f>+V77+V83+V87</f>
        <v>3068100</v>
      </c>
      <c r="W92" s="36">
        <f>+W77+W83+W87</f>
        <v>2721600</v>
      </c>
      <c r="X92" s="36">
        <f>+X77+X83+X87</f>
        <v>3068100</v>
      </c>
      <c r="Y92" s="868">
        <f>SUM(Y75:Y88)</f>
        <v>1200</v>
      </c>
      <c r="AB92" s="13" t="s">
        <v>23</v>
      </c>
      <c r="AC92" s="36">
        <f>+AC77+AC83+AC87</f>
        <v>4019500</v>
      </c>
      <c r="AD92" s="36">
        <f>+AD77+AD83+AD87</f>
        <v>4019500</v>
      </c>
      <c r="AE92" s="36">
        <f>+AE77+AE83+AE87</f>
        <v>4019500</v>
      </c>
      <c r="AF92" s="36">
        <f>+AF77+AF83+AF87</f>
        <v>4019500</v>
      </c>
      <c r="AG92" s="868">
        <f>SUM(AG75:AG88)</f>
        <v>8000</v>
      </c>
    </row>
    <row r="93" spans="3:33" x14ac:dyDescent="0.2">
      <c r="C93" s="299" t="s">
        <v>29</v>
      </c>
      <c r="D93" s="300">
        <f>+D92</f>
        <v>3712500</v>
      </c>
      <c r="E93" s="300">
        <f>+D93+E92</f>
        <v>7425000</v>
      </c>
      <c r="F93" s="300">
        <f>+E93+F92</f>
        <v>11137500</v>
      </c>
      <c r="G93" s="300">
        <f>+F93+G92</f>
        <v>14850000</v>
      </c>
      <c r="H93" s="854"/>
      <c r="I93" s="200"/>
      <c r="J93" s="200"/>
      <c r="K93" s="299" t="s">
        <v>29</v>
      </c>
      <c r="L93" s="300">
        <f>+L92</f>
        <v>7961250</v>
      </c>
      <c r="M93" s="300">
        <f>+L93+M92</f>
        <v>15922500</v>
      </c>
      <c r="N93" s="300">
        <f>+M93+N92</f>
        <v>23883750</v>
      </c>
      <c r="O93" s="300">
        <f>+N93+O92</f>
        <v>31845000</v>
      </c>
      <c r="P93" s="854"/>
      <c r="T93" s="299" t="s">
        <v>29</v>
      </c>
      <c r="U93" s="300">
        <f>+U92</f>
        <v>2721600</v>
      </c>
      <c r="V93" s="300">
        <f>+U93+V92</f>
        <v>5789700</v>
      </c>
      <c r="W93" s="300">
        <f>+V93+W92</f>
        <v>8511300</v>
      </c>
      <c r="X93" s="300">
        <f>+W93+X92</f>
        <v>11579400</v>
      </c>
      <c r="Y93" s="854"/>
      <c r="AB93" s="299" t="s">
        <v>29</v>
      </c>
      <c r="AC93" s="300">
        <f>+AC92</f>
        <v>4019500</v>
      </c>
      <c r="AD93" s="300">
        <f>+AC93+AD92</f>
        <v>8039000</v>
      </c>
      <c r="AE93" s="300">
        <f>+AD93+AE92</f>
        <v>12058500</v>
      </c>
      <c r="AF93" s="300">
        <f>+AE93+AF92</f>
        <v>16078000</v>
      </c>
      <c r="AG93" s="854"/>
    </row>
    <row r="95" spans="3:33" x14ac:dyDescent="0.2">
      <c r="D95" s="1"/>
      <c r="E95" s="1"/>
      <c r="F95" s="1"/>
      <c r="L95" s="1"/>
      <c r="M95" s="1"/>
      <c r="N95" s="1"/>
    </row>
    <row r="96" spans="3:33" x14ac:dyDescent="0.2">
      <c r="C96" s="858" t="s">
        <v>318</v>
      </c>
      <c r="D96" s="859"/>
      <c r="E96" s="859"/>
      <c r="F96" s="859"/>
      <c r="G96" s="859"/>
      <c r="H96" s="860"/>
      <c r="I96" s="3"/>
      <c r="J96" s="3"/>
      <c r="K96" s="858" t="s">
        <v>329</v>
      </c>
      <c r="L96" s="859"/>
      <c r="M96" s="859"/>
      <c r="N96" s="859"/>
      <c r="O96" s="859"/>
      <c r="P96" s="860"/>
      <c r="T96" s="858" t="s">
        <v>343</v>
      </c>
      <c r="U96" s="859"/>
      <c r="V96" s="859"/>
      <c r="W96" s="859"/>
      <c r="X96" s="859"/>
      <c r="Y96" s="860" t="s">
        <v>27</v>
      </c>
      <c r="AB96" s="858" t="s">
        <v>348</v>
      </c>
      <c r="AC96" s="859"/>
      <c r="AD96" s="859"/>
      <c r="AE96" s="859"/>
      <c r="AF96" s="859"/>
      <c r="AG96" s="860" t="s">
        <v>27</v>
      </c>
    </row>
    <row r="97" spans="3:33" x14ac:dyDescent="0.2">
      <c r="C97" s="9" t="s">
        <v>25</v>
      </c>
      <c r="D97" s="3" t="s">
        <v>9</v>
      </c>
      <c r="E97" s="10" t="s">
        <v>106</v>
      </c>
      <c r="F97" s="10" t="s">
        <v>10</v>
      </c>
      <c r="G97" s="10" t="s">
        <v>11</v>
      </c>
      <c r="H97" s="39" t="s">
        <v>24</v>
      </c>
      <c r="I97" s="207"/>
      <c r="J97" s="207"/>
      <c r="K97" s="9" t="s">
        <v>25</v>
      </c>
      <c r="L97" s="3" t="s">
        <v>9</v>
      </c>
      <c r="M97" s="10" t="s">
        <v>106</v>
      </c>
      <c r="N97" s="10" t="s">
        <v>10</v>
      </c>
      <c r="O97" s="10" t="s">
        <v>11</v>
      </c>
      <c r="P97" s="39" t="s">
        <v>24</v>
      </c>
      <c r="T97" s="9" t="s">
        <v>28</v>
      </c>
      <c r="U97" s="3" t="s">
        <v>9</v>
      </c>
      <c r="V97" s="10" t="s">
        <v>106</v>
      </c>
      <c r="W97" s="10" t="s">
        <v>10</v>
      </c>
      <c r="X97" s="10" t="s">
        <v>11</v>
      </c>
      <c r="Y97" s="39" t="s">
        <v>27</v>
      </c>
      <c r="AB97" s="9" t="s">
        <v>28</v>
      </c>
      <c r="AC97" s="3" t="s">
        <v>9</v>
      </c>
      <c r="AD97" s="10" t="s">
        <v>106</v>
      </c>
      <c r="AE97" s="10" t="s">
        <v>10</v>
      </c>
      <c r="AF97" s="10" t="s">
        <v>11</v>
      </c>
      <c r="AG97" s="39" t="s">
        <v>27</v>
      </c>
    </row>
    <row r="98" spans="3:33" x14ac:dyDescent="0.2">
      <c r="C98" s="18" t="s">
        <v>309</v>
      </c>
      <c r="D98" s="20"/>
      <c r="E98" s="20"/>
      <c r="F98" s="20"/>
      <c r="G98" s="20"/>
      <c r="H98" s="38">
        <f>+SUM(D98:G98)</f>
        <v>0</v>
      </c>
      <c r="I98" s="69"/>
      <c r="J98" s="69"/>
      <c r="K98" s="18" t="s">
        <v>332</v>
      </c>
      <c r="L98" s="20">
        <v>30</v>
      </c>
      <c r="M98" s="20">
        <v>30</v>
      </c>
      <c r="N98" s="20">
        <v>30</v>
      </c>
      <c r="O98" s="20">
        <v>30</v>
      </c>
      <c r="P98" s="38">
        <f>+SUM(L98:O98)</f>
        <v>120</v>
      </c>
      <c r="T98" s="18" t="s">
        <v>337</v>
      </c>
      <c r="U98" s="20">
        <v>600</v>
      </c>
      <c r="V98" s="20">
        <v>0</v>
      </c>
      <c r="W98" s="20">
        <v>600</v>
      </c>
      <c r="X98" s="20">
        <v>0</v>
      </c>
      <c r="Y98" s="38">
        <f>+SUM(U98:X98)</f>
        <v>1200</v>
      </c>
      <c r="AB98" s="18" t="s">
        <v>350</v>
      </c>
      <c r="AC98" s="20">
        <v>2000</v>
      </c>
      <c r="AD98" s="20">
        <v>2000</v>
      </c>
      <c r="AE98" s="20">
        <v>2000</v>
      </c>
      <c r="AF98" s="20">
        <v>2000</v>
      </c>
      <c r="AG98" s="38">
        <f>+SUM(AC98:AF98)</f>
        <v>8000</v>
      </c>
    </row>
    <row r="99" spans="3:33" x14ac:dyDescent="0.2">
      <c r="C99" s="11" t="s">
        <v>0</v>
      </c>
      <c r="D99" s="22">
        <f>SUM(D76)*1.1</f>
        <v>220000.00000000003</v>
      </c>
      <c r="E99" s="22">
        <f>+D99</f>
        <v>220000.00000000003</v>
      </c>
      <c r="F99" s="22">
        <f>+E99</f>
        <v>220000.00000000003</v>
      </c>
      <c r="G99" s="22">
        <f>+F99</f>
        <v>220000.00000000003</v>
      </c>
      <c r="H99" s="14"/>
      <c r="K99" s="11" t="s">
        <v>0</v>
      </c>
      <c r="L99" s="22">
        <f>SUM(L76)*1.1</f>
        <v>157300</v>
      </c>
      <c r="M99" s="22">
        <f>+L99</f>
        <v>157300</v>
      </c>
      <c r="N99" s="22">
        <f>+M99</f>
        <v>157300</v>
      </c>
      <c r="O99" s="22">
        <f>+N99</f>
        <v>157300</v>
      </c>
      <c r="P99" s="14"/>
      <c r="T99" s="11" t="s">
        <v>19</v>
      </c>
      <c r="U99" s="22">
        <f>SUM(U76)</f>
        <v>495.00000000000006</v>
      </c>
      <c r="V99" s="22">
        <f>SUM(V76)</f>
        <v>495.00000000000006</v>
      </c>
      <c r="W99" s="22">
        <f>SUM(W76)</f>
        <v>495.00000000000006</v>
      </c>
      <c r="X99" s="22">
        <f>SUM(X76)</f>
        <v>495.00000000000006</v>
      </c>
      <c r="Y99" s="14"/>
      <c r="AB99" s="11" t="s">
        <v>19</v>
      </c>
      <c r="AC99" s="22">
        <f>SUM(AC76)</f>
        <v>440.00000000000006</v>
      </c>
      <c r="AD99" s="22">
        <f>SUM(AD76)</f>
        <v>440.00000000000006</v>
      </c>
      <c r="AE99" s="22">
        <f>SUM(AE76)</f>
        <v>440.00000000000006</v>
      </c>
      <c r="AF99" s="22">
        <f>SUM(AF76)</f>
        <v>440.00000000000006</v>
      </c>
      <c r="AG99" s="14"/>
    </row>
    <row r="100" spans="3:33" x14ac:dyDescent="0.2">
      <c r="C100" s="6" t="s">
        <v>7</v>
      </c>
      <c r="D100" s="24">
        <f>+D99*D98</f>
        <v>0</v>
      </c>
      <c r="E100" s="24">
        <f>+E99*E98</f>
        <v>0</v>
      </c>
      <c r="F100" s="25">
        <f>+F99*F98</f>
        <v>0</v>
      </c>
      <c r="G100" s="25">
        <f>+G99*G98</f>
        <v>0</v>
      </c>
      <c r="H100" s="14"/>
      <c r="K100" s="6" t="s">
        <v>7</v>
      </c>
      <c r="L100" s="24">
        <f>+L99*L98</f>
        <v>4719000</v>
      </c>
      <c r="M100" s="24">
        <f>+M99*M98</f>
        <v>4719000</v>
      </c>
      <c r="N100" s="25">
        <f>+N99*N98</f>
        <v>4719000</v>
      </c>
      <c r="O100" s="25">
        <f>+O99*O98</f>
        <v>4719000</v>
      </c>
      <c r="P100" s="14"/>
      <c r="T100" s="6" t="s">
        <v>7</v>
      </c>
      <c r="U100" s="24">
        <f>+U99*U98</f>
        <v>297000.00000000006</v>
      </c>
      <c r="V100" s="24">
        <f>+V99*V98</f>
        <v>0</v>
      </c>
      <c r="W100" s="25">
        <f>+W99*W98</f>
        <v>297000.00000000006</v>
      </c>
      <c r="X100" s="25">
        <f>+X99*X98</f>
        <v>0</v>
      </c>
      <c r="Y100" s="14"/>
      <c r="AB100" s="6" t="s">
        <v>7</v>
      </c>
      <c r="AC100" s="24">
        <f>+AC99*AC98</f>
        <v>880000.00000000012</v>
      </c>
      <c r="AD100" s="24">
        <f>+AD99*AD98</f>
        <v>880000.00000000012</v>
      </c>
      <c r="AE100" s="25">
        <f>+AE99*AE98</f>
        <v>880000.00000000012</v>
      </c>
      <c r="AF100" s="25">
        <f>+AF99*AF98</f>
        <v>880000.00000000012</v>
      </c>
      <c r="AG100" s="14"/>
    </row>
    <row r="101" spans="3:33" x14ac:dyDescent="0.2">
      <c r="C101" s="16" t="s">
        <v>8</v>
      </c>
      <c r="D101" s="22">
        <f>+D100</f>
        <v>0</v>
      </c>
      <c r="E101" s="22">
        <f>+D101+E100</f>
        <v>0</v>
      </c>
      <c r="F101" s="23">
        <f>+E101+F100</f>
        <v>0</v>
      </c>
      <c r="G101" s="23">
        <f>+F101+G100</f>
        <v>0</v>
      </c>
      <c r="H101" s="14"/>
      <c r="K101" s="16" t="s">
        <v>8</v>
      </c>
      <c r="L101" s="22">
        <f>+L100</f>
        <v>4719000</v>
      </c>
      <c r="M101" s="22">
        <f>+L101+M100</f>
        <v>9438000</v>
      </c>
      <c r="N101" s="23">
        <f>+M101+N100</f>
        <v>14157000</v>
      </c>
      <c r="O101" s="23">
        <f>+N101+O100</f>
        <v>18876000</v>
      </c>
      <c r="P101" s="14"/>
      <c r="T101" s="16" t="s">
        <v>8</v>
      </c>
      <c r="U101" s="22">
        <f>+U100</f>
        <v>297000.00000000006</v>
      </c>
      <c r="V101" s="22">
        <f>+U101+V100</f>
        <v>297000.00000000006</v>
      </c>
      <c r="W101" s="23">
        <f>+V101+W100</f>
        <v>594000.00000000012</v>
      </c>
      <c r="X101" s="23">
        <f>+W101+X100</f>
        <v>594000.00000000012</v>
      </c>
      <c r="Y101" s="14"/>
      <c r="AB101" s="16" t="s">
        <v>8</v>
      </c>
      <c r="AC101" s="22">
        <f>+AC100</f>
        <v>880000.00000000012</v>
      </c>
      <c r="AD101" s="22">
        <f>+AC101+AD100</f>
        <v>1760000.0000000002</v>
      </c>
      <c r="AE101" s="23">
        <f>+AD101+AE100</f>
        <v>2640000.0000000005</v>
      </c>
      <c r="AF101" s="23">
        <f>+AE101+AF100</f>
        <v>3520000.0000000005</v>
      </c>
      <c r="AG101" s="14"/>
    </row>
    <row r="102" spans="3:33" x14ac:dyDescent="0.2">
      <c r="C102" s="7"/>
      <c r="D102" s="26"/>
      <c r="E102" s="26"/>
      <c r="F102" s="27"/>
      <c r="G102" s="27"/>
      <c r="H102" s="14"/>
      <c r="K102" s="7"/>
      <c r="L102" s="26"/>
      <c r="M102" s="26"/>
      <c r="N102" s="27"/>
      <c r="O102" s="27"/>
      <c r="P102" s="14"/>
      <c r="T102" s="7"/>
      <c r="U102" s="26"/>
      <c r="V102" s="26"/>
      <c r="W102" s="27"/>
      <c r="X102" s="27"/>
      <c r="Y102" s="14"/>
      <c r="AB102" s="7"/>
      <c r="AC102" s="26"/>
      <c r="AD102" s="26"/>
      <c r="AE102" s="27"/>
      <c r="AF102" s="27"/>
      <c r="AG102" s="14"/>
    </row>
    <row r="103" spans="3:33" x14ac:dyDescent="0.2">
      <c r="C103" s="17" t="s">
        <v>312</v>
      </c>
      <c r="D103" s="26"/>
      <c r="E103" s="26"/>
      <c r="F103" s="27"/>
      <c r="G103" s="27"/>
      <c r="H103" s="14"/>
      <c r="K103" s="17" t="s">
        <v>312</v>
      </c>
      <c r="L103" s="26"/>
      <c r="M103" s="26"/>
      <c r="N103" s="27"/>
      <c r="O103" s="27"/>
      <c r="P103" s="14"/>
      <c r="T103" s="17" t="s">
        <v>338</v>
      </c>
      <c r="U103" s="26"/>
      <c r="V103" s="26"/>
      <c r="W103" s="27"/>
      <c r="X103" s="27"/>
      <c r="Y103" s="14"/>
      <c r="AB103" s="17" t="s">
        <v>336</v>
      </c>
      <c r="AC103" s="26"/>
      <c r="AD103" s="26"/>
      <c r="AE103" s="27"/>
      <c r="AF103" s="27"/>
      <c r="AG103" s="14"/>
    </row>
    <row r="104" spans="3:33" x14ac:dyDescent="0.2">
      <c r="C104" s="11" t="s">
        <v>310</v>
      </c>
      <c r="D104" s="22">
        <f>SUM(H45)*5*90</f>
        <v>13500</v>
      </c>
      <c r="E104" s="22">
        <f>SUM(H45)*5*90</f>
        <v>13500</v>
      </c>
      <c r="F104" s="22">
        <f>SUM(H45)*5*90</f>
        <v>13500</v>
      </c>
      <c r="G104" s="22">
        <f>SUM(H45)*5*90</f>
        <v>13500</v>
      </c>
      <c r="H104" s="38"/>
      <c r="I104" s="69"/>
      <c r="J104" s="69"/>
      <c r="K104" s="11" t="s">
        <v>310</v>
      </c>
      <c r="L104" s="22">
        <f>SUM(L98)*5*90</f>
        <v>13500</v>
      </c>
      <c r="M104" s="22">
        <f>SUM(M98)*5*90</f>
        <v>13500</v>
      </c>
      <c r="N104" s="22">
        <f>SUM(N98)*5*90</f>
        <v>13500</v>
      </c>
      <c r="O104" s="22">
        <f>SUM(O98)*5*90</f>
        <v>13500</v>
      </c>
      <c r="P104" s="38"/>
      <c r="T104" s="11" t="s">
        <v>310</v>
      </c>
      <c r="U104" s="22">
        <f>SUM(X81)</f>
        <v>12960</v>
      </c>
      <c r="V104" s="22">
        <f>SUM(U104)</f>
        <v>12960</v>
      </c>
      <c r="W104" s="22">
        <f>SUM(V104)</f>
        <v>12960</v>
      </c>
      <c r="X104" s="22">
        <f>SUM(W104)</f>
        <v>12960</v>
      </c>
      <c r="Y104" s="38"/>
      <c r="AB104" s="11" t="s">
        <v>310</v>
      </c>
      <c r="AC104" s="22">
        <f>SUM(AF81)</f>
        <v>15000</v>
      </c>
      <c r="AD104" s="22">
        <f>SUM(AC104)</f>
        <v>15000</v>
      </c>
      <c r="AE104" s="22">
        <f>SUM(AD104)</f>
        <v>15000</v>
      </c>
      <c r="AF104" s="22">
        <f>SUM(AE104)</f>
        <v>15000</v>
      </c>
      <c r="AG104" s="38"/>
    </row>
    <row r="105" spans="3:33" x14ac:dyDescent="0.2">
      <c r="C105" s="7" t="s">
        <v>0</v>
      </c>
      <c r="D105" s="201">
        <f>+D82*1.1</f>
        <v>302.5</v>
      </c>
      <c r="E105" s="201">
        <f>+D105</f>
        <v>302.5</v>
      </c>
      <c r="F105" s="201">
        <f>+E105</f>
        <v>302.5</v>
      </c>
      <c r="G105" s="201">
        <f>+F105</f>
        <v>302.5</v>
      </c>
      <c r="H105" s="14"/>
      <c r="K105" s="7" t="s">
        <v>0</v>
      </c>
      <c r="L105" s="201">
        <f>+L82*1.1</f>
        <v>272.25000000000006</v>
      </c>
      <c r="M105" s="201">
        <f>+L105</f>
        <v>272.25000000000006</v>
      </c>
      <c r="N105" s="201">
        <f>+M105</f>
        <v>272.25000000000006</v>
      </c>
      <c r="O105" s="201">
        <f>+N105</f>
        <v>272.25000000000006</v>
      </c>
      <c r="P105" s="14"/>
      <c r="T105" s="7" t="s">
        <v>0</v>
      </c>
      <c r="U105" s="201">
        <f>+X82*1</f>
        <v>210</v>
      </c>
      <c r="V105" s="201">
        <f>+U105</f>
        <v>210</v>
      </c>
      <c r="W105" s="201">
        <f>+V105</f>
        <v>210</v>
      </c>
      <c r="X105" s="201">
        <f>+W105</f>
        <v>210</v>
      </c>
      <c r="Y105" s="14"/>
      <c r="AB105" s="7" t="s">
        <v>0</v>
      </c>
      <c r="AC105" s="201">
        <f>+AF82*1.1</f>
        <v>219.45000000000002</v>
      </c>
      <c r="AD105" s="201">
        <f>+AC105</f>
        <v>219.45000000000002</v>
      </c>
      <c r="AE105" s="201">
        <f>+AD105</f>
        <v>219.45000000000002</v>
      </c>
      <c r="AF105" s="201">
        <f>+AE105</f>
        <v>219.45000000000002</v>
      </c>
      <c r="AG105" s="14"/>
    </row>
    <row r="106" spans="3:33" x14ac:dyDescent="0.2">
      <c r="C106" s="15" t="s">
        <v>7</v>
      </c>
      <c r="D106" s="22">
        <f>+D105*D104</f>
        <v>4083750</v>
      </c>
      <c r="E106" s="22">
        <f>+E105*E104</f>
        <v>4083750</v>
      </c>
      <c r="F106" s="23">
        <f>+F105*F104</f>
        <v>4083750</v>
      </c>
      <c r="G106" s="23">
        <f>+G105*G104</f>
        <v>4083750</v>
      </c>
      <c r="H106" s="14"/>
      <c r="K106" s="15" t="s">
        <v>7</v>
      </c>
      <c r="L106" s="22">
        <f>+L105*L104</f>
        <v>3675375.0000000009</v>
      </c>
      <c r="M106" s="22">
        <f>+M105*M104</f>
        <v>3675375.0000000009</v>
      </c>
      <c r="N106" s="23">
        <f>+N105*N104</f>
        <v>3675375.0000000009</v>
      </c>
      <c r="O106" s="23">
        <f>+O105*O104</f>
        <v>3675375.0000000009</v>
      </c>
      <c r="P106" s="14"/>
      <c r="T106" s="15" t="s">
        <v>7</v>
      </c>
      <c r="U106" s="22">
        <f>+U105*U104</f>
        <v>2721600</v>
      </c>
      <c r="V106" s="22">
        <f>+V105*V104</f>
        <v>2721600</v>
      </c>
      <c r="W106" s="23">
        <f>+W105*W104</f>
        <v>2721600</v>
      </c>
      <c r="X106" s="23">
        <f>+X105*X104</f>
        <v>2721600</v>
      </c>
      <c r="Y106" s="14"/>
      <c r="AB106" s="15" t="s">
        <v>7</v>
      </c>
      <c r="AC106" s="22">
        <f>+AC105*AC104</f>
        <v>3291750.0000000005</v>
      </c>
      <c r="AD106" s="22">
        <f>+AD105*AD104</f>
        <v>3291750.0000000005</v>
      </c>
      <c r="AE106" s="23">
        <f>+AE105*AE104</f>
        <v>3291750.0000000005</v>
      </c>
      <c r="AF106" s="23">
        <f>+AF105*AF104</f>
        <v>3291750.0000000005</v>
      </c>
      <c r="AG106" s="14"/>
    </row>
    <row r="107" spans="3:33" x14ac:dyDescent="0.2">
      <c r="C107" s="12" t="s">
        <v>8</v>
      </c>
      <c r="D107" s="28">
        <f>+D106</f>
        <v>4083750</v>
      </c>
      <c r="E107" s="28">
        <f>+D107+E106</f>
        <v>8167500</v>
      </c>
      <c r="F107" s="29">
        <f>+E107+F106</f>
        <v>12251250</v>
      </c>
      <c r="G107" s="29">
        <f>+F107+G106</f>
        <v>16335000</v>
      </c>
      <c r="H107" s="14"/>
      <c r="K107" s="12" t="s">
        <v>8</v>
      </c>
      <c r="L107" s="28">
        <f>+L106</f>
        <v>3675375.0000000009</v>
      </c>
      <c r="M107" s="28">
        <f>+L107+M106</f>
        <v>7350750.0000000019</v>
      </c>
      <c r="N107" s="29">
        <f>+M107+N106</f>
        <v>11026125.000000004</v>
      </c>
      <c r="O107" s="29">
        <f>+N107+O106</f>
        <v>14701500.000000004</v>
      </c>
      <c r="P107" s="14"/>
      <c r="T107" s="12" t="s">
        <v>8</v>
      </c>
      <c r="U107" s="28">
        <f>+U106</f>
        <v>2721600</v>
      </c>
      <c r="V107" s="28">
        <f>+U107+V106</f>
        <v>5443200</v>
      </c>
      <c r="W107" s="29">
        <f>+V107+W106</f>
        <v>8164800</v>
      </c>
      <c r="X107" s="29">
        <f>+W107+X106</f>
        <v>10886400</v>
      </c>
      <c r="Y107" s="14"/>
      <c r="AB107" s="12" t="s">
        <v>8</v>
      </c>
      <c r="AC107" s="28">
        <f>+AC106</f>
        <v>3291750.0000000005</v>
      </c>
      <c r="AD107" s="28">
        <f>+AC107+AD106</f>
        <v>6583500.0000000009</v>
      </c>
      <c r="AE107" s="29">
        <f>+AD107+AE106</f>
        <v>9875250.0000000019</v>
      </c>
      <c r="AF107" s="29">
        <f>+AE107+AF106</f>
        <v>13167000.000000002</v>
      </c>
      <c r="AG107" s="14"/>
    </row>
    <row r="108" spans="3:33" x14ac:dyDescent="0.2">
      <c r="C108" s="7"/>
      <c r="D108" s="26"/>
      <c r="E108" s="26"/>
      <c r="F108" s="27"/>
      <c r="G108" s="27"/>
      <c r="H108" s="14"/>
      <c r="K108" s="7"/>
      <c r="L108" s="26"/>
      <c r="M108" s="26"/>
      <c r="N108" s="27"/>
      <c r="O108" s="27"/>
      <c r="P108" s="14"/>
      <c r="T108" s="7"/>
      <c r="U108" s="26"/>
      <c r="V108" s="26"/>
      <c r="W108" s="27"/>
      <c r="X108" s="27"/>
      <c r="Y108" s="14"/>
      <c r="AB108" s="7"/>
      <c r="AC108" s="26"/>
      <c r="AD108" s="26"/>
      <c r="AE108" s="27"/>
      <c r="AF108" s="27"/>
      <c r="AG108" s="14"/>
    </row>
    <row r="109" spans="3:33" x14ac:dyDescent="0.2">
      <c r="C109" s="17" t="s">
        <v>313</v>
      </c>
      <c r="D109" s="101">
        <f>SUM(D86)*1.1</f>
        <v>0</v>
      </c>
      <c r="E109" s="101">
        <f>+D109</f>
        <v>0</v>
      </c>
      <c r="F109" s="101">
        <f>+E109</f>
        <v>0</v>
      </c>
      <c r="G109" s="101">
        <f>+F109</f>
        <v>0</v>
      </c>
      <c r="H109" s="14"/>
      <c r="K109" s="17" t="s">
        <v>331</v>
      </c>
      <c r="L109" s="101">
        <f>SUM(L86)*1.1</f>
        <v>12100.000000000002</v>
      </c>
      <c r="M109" s="101">
        <f>+L109</f>
        <v>12100.000000000002</v>
      </c>
      <c r="N109" s="101">
        <f>+M109</f>
        <v>12100.000000000002</v>
      </c>
      <c r="O109" s="101">
        <f>+N109</f>
        <v>12100.000000000002</v>
      </c>
      <c r="P109" s="14"/>
      <c r="T109" s="17" t="s">
        <v>331</v>
      </c>
      <c r="U109" s="101">
        <f>SUM(U86)</f>
        <v>82.5</v>
      </c>
      <c r="V109" s="101">
        <f>+U109</f>
        <v>82.5</v>
      </c>
      <c r="W109" s="101">
        <f>+V109</f>
        <v>82.5</v>
      </c>
      <c r="X109" s="101">
        <f>+W109</f>
        <v>82.5</v>
      </c>
      <c r="Y109" s="14"/>
      <c r="AB109" s="17" t="s">
        <v>331</v>
      </c>
      <c r="AC109" s="101">
        <f>SUM(AC86)*1.05</f>
        <v>77.174999999999997</v>
      </c>
      <c r="AD109" s="101">
        <f>+AC109</f>
        <v>77.174999999999997</v>
      </c>
      <c r="AE109" s="101">
        <f>+AD109</f>
        <v>77.174999999999997</v>
      </c>
      <c r="AF109" s="101">
        <f>+AE109</f>
        <v>77.174999999999997</v>
      </c>
      <c r="AG109" s="14"/>
    </row>
    <row r="110" spans="3:33" x14ac:dyDescent="0.2">
      <c r="C110" s="11" t="s">
        <v>107</v>
      </c>
      <c r="D110" s="22">
        <f>+D98*D109</f>
        <v>0</v>
      </c>
      <c r="E110" s="22">
        <f>+E98*E109</f>
        <v>0</v>
      </c>
      <c r="F110" s="22">
        <f>+F98*F109</f>
        <v>0</v>
      </c>
      <c r="G110" s="22">
        <f>+G98*G109</f>
        <v>0</v>
      </c>
      <c r="H110" s="38"/>
      <c r="I110" s="69"/>
      <c r="J110" s="69"/>
      <c r="K110" s="11" t="s">
        <v>107</v>
      </c>
      <c r="L110" s="22">
        <f>+L98*L109</f>
        <v>363000.00000000006</v>
      </c>
      <c r="M110" s="22">
        <f>+M98*M109</f>
        <v>363000.00000000006</v>
      </c>
      <c r="N110" s="22">
        <f>+N98*N109</f>
        <v>363000.00000000006</v>
      </c>
      <c r="O110" s="22">
        <f>+O98*O109</f>
        <v>363000.00000000006</v>
      </c>
      <c r="P110" s="38"/>
      <c r="T110" s="11" t="s">
        <v>107</v>
      </c>
      <c r="U110" s="22">
        <f>+U98*U109</f>
        <v>49500</v>
      </c>
      <c r="V110" s="22">
        <f>+V98*V109</f>
        <v>0</v>
      </c>
      <c r="W110" s="22">
        <f>+W98*W109</f>
        <v>49500</v>
      </c>
      <c r="X110" s="22">
        <f>+X98*X109</f>
        <v>0</v>
      </c>
      <c r="Y110" s="38"/>
      <c r="AB110" s="11" t="s">
        <v>107</v>
      </c>
      <c r="AC110" s="22">
        <f>+AC98*AC109</f>
        <v>154350</v>
      </c>
      <c r="AD110" s="22">
        <f>+AD98*AD109</f>
        <v>154350</v>
      </c>
      <c r="AE110" s="22">
        <f>+AE98*AE109</f>
        <v>154350</v>
      </c>
      <c r="AF110" s="22">
        <f>+AF98*AF109</f>
        <v>154350</v>
      </c>
      <c r="AG110" s="38"/>
    </row>
    <row r="111" spans="3:33" x14ac:dyDescent="0.2">
      <c r="C111" s="12" t="s">
        <v>8</v>
      </c>
      <c r="D111" s="28">
        <f>+D110</f>
        <v>0</v>
      </c>
      <c r="E111" s="28">
        <f>+D111+E110</f>
        <v>0</v>
      </c>
      <c r="F111" s="29">
        <f>+E111+F110</f>
        <v>0</v>
      </c>
      <c r="G111" s="29">
        <f>+F111+G110</f>
        <v>0</v>
      </c>
      <c r="H111" s="14"/>
      <c r="K111" s="12" t="s">
        <v>8</v>
      </c>
      <c r="L111" s="28">
        <f>+L110</f>
        <v>363000.00000000006</v>
      </c>
      <c r="M111" s="28">
        <f>+L111+M110</f>
        <v>726000.00000000012</v>
      </c>
      <c r="N111" s="29">
        <f>+M111+N110</f>
        <v>1089000.0000000002</v>
      </c>
      <c r="O111" s="29">
        <f>+N111+O110</f>
        <v>1452000.0000000002</v>
      </c>
      <c r="P111" s="14"/>
      <c r="T111" s="12" t="s">
        <v>8</v>
      </c>
      <c r="U111" s="28">
        <f>+U110</f>
        <v>49500</v>
      </c>
      <c r="V111" s="28">
        <f>+U111+V110</f>
        <v>49500</v>
      </c>
      <c r="W111" s="29">
        <f>+V111+W110</f>
        <v>99000</v>
      </c>
      <c r="X111" s="29">
        <f>+W111+X110</f>
        <v>99000</v>
      </c>
      <c r="Y111" s="14"/>
      <c r="AB111" s="12" t="s">
        <v>8</v>
      </c>
      <c r="AC111" s="28">
        <f>+AC110</f>
        <v>154350</v>
      </c>
      <c r="AD111" s="28">
        <f>+AC111+AD110</f>
        <v>308700</v>
      </c>
      <c r="AE111" s="29">
        <f>+AD111+AE110</f>
        <v>463050</v>
      </c>
      <c r="AF111" s="29">
        <f>+AE111+AF110</f>
        <v>617400</v>
      </c>
      <c r="AG111" s="14"/>
    </row>
    <row r="112" spans="3:33" ht="16" thickBot="1" x14ac:dyDescent="0.25">
      <c r="C112" s="7"/>
      <c r="D112" s="28"/>
      <c r="E112" s="28"/>
      <c r="F112" s="29"/>
      <c r="G112" s="29"/>
      <c r="H112" s="14"/>
      <c r="K112" s="7"/>
      <c r="L112" s="28"/>
      <c r="M112" s="28"/>
      <c r="N112" s="29"/>
      <c r="O112" s="29"/>
      <c r="P112" s="14"/>
      <c r="T112" s="7"/>
      <c r="U112" s="28"/>
      <c r="V112" s="28"/>
      <c r="W112" s="29"/>
      <c r="X112" s="29"/>
      <c r="Y112" s="14"/>
      <c r="AB112" s="7"/>
      <c r="AC112" s="28"/>
      <c r="AD112" s="28"/>
      <c r="AE112" s="29"/>
      <c r="AF112" s="29"/>
      <c r="AG112" s="14"/>
    </row>
    <row r="113" spans="3:33" ht="16" thickBot="1" x14ac:dyDescent="0.25">
      <c r="C113" s="17"/>
      <c r="D113" s="24"/>
      <c r="E113" s="24"/>
      <c r="F113" s="25"/>
      <c r="G113" s="24"/>
      <c r="H113" s="209" t="s">
        <v>314</v>
      </c>
      <c r="K113" s="17"/>
      <c r="L113" s="24"/>
      <c r="M113" s="24"/>
      <c r="N113" s="25"/>
      <c r="O113" s="24"/>
      <c r="P113" s="318" t="s">
        <v>226</v>
      </c>
      <c r="T113" s="17"/>
      <c r="U113" s="24"/>
      <c r="V113" s="24"/>
      <c r="W113" s="25"/>
      <c r="X113" s="24"/>
      <c r="Y113" s="318" t="s">
        <v>339</v>
      </c>
      <c r="AB113" s="17"/>
      <c r="AC113" s="24"/>
      <c r="AD113" s="24"/>
      <c r="AE113" s="25"/>
      <c r="AF113" s="24"/>
      <c r="AG113" s="318" t="s">
        <v>226</v>
      </c>
    </row>
    <row r="114" spans="3:33" ht="16" thickBot="1" x14ac:dyDescent="0.25">
      <c r="C114" s="8"/>
      <c r="D114" s="34"/>
      <c r="E114" s="34"/>
      <c r="F114" s="35"/>
      <c r="G114" s="34"/>
      <c r="H114" s="210">
        <f>SUM(G116)/H45</f>
        <v>544500</v>
      </c>
      <c r="K114" s="8"/>
      <c r="L114" s="34"/>
      <c r="M114" s="34"/>
      <c r="N114" s="35"/>
      <c r="O114" s="34"/>
      <c r="P114" s="317">
        <f>SUM(O116)/P98</f>
        <v>291912.5</v>
      </c>
      <c r="T114" s="8"/>
      <c r="U114" s="34"/>
      <c r="V114" s="34"/>
      <c r="W114" s="35"/>
      <c r="X114" s="34"/>
      <c r="Y114" s="317">
        <f>SUM(X116)/Y98</f>
        <v>9649.5</v>
      </c>
      <c r="AB114" s="8"/>
      <c r="AC114" s="34"/>
      <c r="AD114" s="34"/>
      <c r="AE114" s="35"/>
      <c r="AF114" s="34"/>
      <c r="AG114" s="317">
        <f>SUM(AF116)/AG98</f>
        <v>2163.0500000000002</v>
      </c>
    </row>
    <row r="115" spans="3:33" x14ac:dyDescent="0.2">
      <c r="C115" s="13" t="s">
        <v>23</v>
      </c>
      <c r="D115" s="36">
        <f>+D100+D106+D110</f>
        <v>4083750</v>
      </c>
      <c r="E115" s="36">
        <f>+E100+E106+E110</f>
        <v>4083750</v>
      </c>
      <c r="F115" s="36">
        <f>+F100+F106+F110</f>
        <v>4083750</v>
      </c>
      <c r="G115" s="36">
        <f>+G100+G106+G110</f>
        <v>4083750</v>
      </c>
      <c r="H115" s="868">
        <f>SUM(H98:H111)</f>
        <v>0</v>
      </c>
      <c r="I115" s="200"/>
      <c r="J115" s="200"/>
      <c r="K115" s="13" t="s">
        <v>23</v>
      </c>
      <c r="L115" s="36">
        <f>+L100+L106+L110</f>
        <v>8757375</v>
      </c>
      <c r="M115" s="36">
        <f>+M100+M106+M110</f>
        <v>8757375</v>
      </c>
      <c r="N115" s="36">
        <f>+N100+N106+N110</f>
        <v>8757375</v>
      </c>
      <c r="O115" s="36">
        <f>+O100+O106+O110</f>
        <v>8757375</v>
      </c>
      <c r="P115" s="868">
        <f>SUM(P98:P111)</f>
        <v>120</v>
      </c>
      <c r="T115" s="13" t="s">
        <v>23</v>
      </c>
      <c r="U115" s="36">
        <f>+U100+U106+U110</f>
        <v>3068100</v>
      </c>
      <c r="V115" s="36">
        <f>+V100+V106+V110</f>
        <v>2721600</v>
      </c>
      <c r="W115" s="36">
        <f>+W100+W106+W110</f>
        <v>3068100</v>
      </c>
      <c r="X115" s="36">
        <f>+X100+X106+X110</f>
        <v>2721600</v>
      </c>
      <c r="Y115" s="868">
        <f>SUM(Y98:Y111)</f>
        <v>1200</v>
      </c>
      <c r="AB115" s="13" t="s">
        <v>23</v>
      </c>
      <c r="AC115" s="36">
        <f>+AC100+AC106+AC110</f>
        <v>4326100</v>
      </c>
      <c r="AD115" s="36">
        <f>+AD100+AD106+AD110</f>
        <v>4326100</v>
      </c>
      <c r="AE115" s="36">
        <f>+AE100+AE106+AE110</f>
        <v>4326100</v>
      </c>
      <c r="AF115" s="36">
        <f>+AF100+AF106+AF110</f>
        <v>4326100</v>
      </c>
      <c r="AG115" s="868">
        <f>SUM(AG98:AG111)</f>
        <v>8000</v>
      </c>
    </row>
    <row r="116" spans="3:33" x14ac:dyDescent="0.2">
      <c r="C116" s="299" t="s">
        <v>29</v>
      </c>
      <c r="D116" s="300">
        <f>+D115</f>
        <v>4083750</v>
      </c>
      <c r="E116" s="300">
        <f>+D116+E115</f>
        <v>8167500</v>
      </c>
      <c r="F116" s="300">
        <f>+E116+F115</f>
        <v>12251250</v>
      </c>
      <c r="G116" s="300">
        <f>+F116+G115</f>
        <v>16335000</v>
      </c>
      <c r="H116" s="854"/>
      <c r="I116" s="200"/>
      <c r="J116" s="200"/>
      <c r="K116" s="299" t="s">
        <v>29</v>
      </c>
      <c r="L116" s="300">
        <f>+L115</f>
        <v>8757375</v>
      </c>
      <c r="M116" s="300">
        <f>+L116+M115</f>
        <v>17514750</v>
      </c>
      <c r="N116" s="300">
        <f>+M116+N115</f>
        <v>26272125</v>
      </c>
      <c r="O116" s="300">
        <f>+N116+O115</f>
        <v>35029500</v>
      </c>
      <c r="P116" s="854"/>
      <c r="T116" s="299" t="s">
        <v>29</v>
      </c>
      <c r="U116" s="300">
        <f>+U115</f>
        <v>3068100</v>
      </c>
      <c r="V116" s="300">
        <f>+U116+V115</f>
        <v>5789700</v>
      </c>
      <c r="W116" s="300">
        <f>+V116+W115</f>
        <v>8857800</v>
      </c>
      <c r="X116" s="300">
        <f>+W116+X115</f>
        <v>11579400</v>
      </c>
      <c r="Y116" s="854"/>
      <c r="AB116" s="299" t="s">
        <v>29</v>
      </c>
      <c r="AC116" s="300">
        <f>+AC115</f>
        <v>4326100</v>
      </c>
      <c r="AD116" s="300">
        <f>+AC116+AD115</f>
        <v>8652200</v>
      </c>
      <c r="AE116" s="300">
        <f>+AD116+AE115</f>
        <v>12978300</v>
      </c>
      <c r="AF116" s="300">
        <f>+AE116+AF115</f>
        <v>17304400</v>
      </c>
      <c r="AG116" s="854"/>
    </row>
    <row r="117" spans="3:33" x14ac:dyDescent="0.2">
      <c r="C117" s="199"/>
      <c r="D117" s="104"/>
      <c r="E117" s="104"/>
      <c r="F117" s="104"/>
      <c r="G117" s="104"/>
      <c r="H117" s="200"/>
      <c r="I117" s="200"/>
      <c r="J117" s="200"/>
      <c r="K117" s="199"/>
      <c r="L117" s="104"/>
      <c r="M117" s="104"/>
      <c r="N117" s="104"/>
      <c r="O117" s="104"/>
      <c r="P117" s="200"/>
      <c r="T117" s="199"/>
      <c r="U117" s="104"/>
      <c r="V117" s="104"/>
      <c r="W117" s="104"/>
      <c r="X117" s="104"/>
      <c r="Y117" s="200"/>
      <c r="AB117" s="199"/>
      <c r="AC117" s="104"/>
      <c r="AD117" s="104"/>
      <c r="AE117" s="104"/>
      <c r="AF117" s="104"/>
      <c r="AG117" s="200"/>
    </row>
    <row r="118" spans="3:33" x14ac:dyDescent="0.2">
      <c r="C118" s="199"/>
      <c r="D118" s="104"/>
      <c r="E118" s="104"/>
      <c r="F118" s="104"/>
      <c r="G118" s="104"/>
      <c r="H118" s="200"/>
      <c r="I118" s="200"/>
      <c r="J118" s="200"/>
      <c r="K118" s="199"/>
      <c r="L118" s="104"/>
      <c r="M118" s="104"/>
      <c r="N118" s="104"/>
      <c r="O118" s="104"/>
      <c r="P118" s="200"/>
      <c r="T118" s="199"/>
      <c r="U118" s="104"/>
      <c r="V118" s="104"/>
      <c r="W118" s="104"/>
      <c r="X118" s="104"/>
      <c r="Y118" s="200"/>
      <c r="AB118" s="199"/>
      <c r="AC118" s="104"/>
      <c r="AD118" s="104"/>
      <c r="AE118" s="104"/>
      <c r="AF118" s="104"/>
      <c r="AG118" s="200"/>
    </row>
    <row r="119" spans="3:33" x14ac:dyDescent="0.2">
      <c r="T119" s="199"/>
      <c r="U119" s="104"/>
      <c r="V119" s="104"/>
      <c r="W119" s="104"/>
      <c r="X119" s="104"/>
      <c r="Y119" s="200"/>
      <c r="AB119" s="199"/>
      <c r="AC119" s="104"/>
      <c r="AD119" s="104"/>
      <c r="AE119" s="104"/>
      <c r="AF119" s="104"/>
      <c r="AG119" s="200"/>
    </row>
    <row r="120" spans="3:33" x14ac:dyDescent="0.2">
      <c r="C120" s="858" t="s">
        <v>319</v>
      </c>
      <c r="D120" s="859"/>
      <c r="E120" s="859"/>
      <c r="F120" s="859"/>
      <c r="G120" s="859"/>
      <c r="H120" s="860"/>
      <c r="I120" s="3"/>
      <c r="J120" s="3"/>
      <c r="K120" s="858" t="s">
        <v>330</v>
      </c>
      <c r="L120" s="859"/>
      <c r="M120" s="859"/>
      <c r="N120" s="859"/>
      <c r="O120" s="859"/>
      <c r="P120" s="860"/>
      <c r="T120" s="858" t="s">
        <v>344</v>
      </c>
      <c r="U120" s="859"/>
      <c r="V120" s="859"/>
      <c r="W120" s="859"/>
      <c r="X120" s="859"/>
      <c r="Y120" s="860" t="s">
        <v>27</v>
      </c>
      <c r="AB120" s="858" t="s">
        <v>349</v>
      </c>
      <c r="AC120" s="859"/>
      <c r="AD120" s="859"/>
      <c r="AE120" s="859"/>
      <c r="AF120" s="859"/>
      <c r="AG120" s="860" t="s">
        <v>27</v>
      </c>
    </row>
    <row r="121" spans="3:33" x14ac:dyDescent="0.2">
      <c r="C121" s="9" t="s">
        <v>25</v>
      </c>
      <c r="D121" s="3" t="s">
        <v>9</v>
      </c>
      <c r="E121" s="10" t="s">
        <v>106</v>
      </c>
      <c r="F121" s="10" t="s">
        <v>10</v>
      </c>
      <c r="G121" s="10" t="s">
        <v>11</v>
      </c>
      <c r="H121" s="39" t="s">
        <v>24</v>
      </c>
      <c r="I121" s="207"/>
      <c r="J121" s="207"/>
      <c r="K121" s="9" t="s">
        <v>25</v>
      </c>
      <c r="L121" s="3" t="s">
        <v>9</v>
      </c>
      <c r="M121" s="10" t="s">
        <v>106</v>
      </c>
      <c r="N121" s="10" t="s">
        <v>10</v>
      </c>
      <c r="O121" s="10" t="s">
        <v>11</v>
      </c>
      <c r="P121" s="39" t="s">
        <v>24</v>
      </c>
      <c r="T121" s="9" t="s">
        <v>28</v>
      </c>
      <c r="U121" s="3" t="s">
        <v>9</v>
      </c>
      <c r="V121" s="10" t="s">
        <v>106</v>
      </c>
      <c r="W121" s="10" t="s">
        <v>10</v>
      </c>
      <c r="X121" s="10" t="s">
        <v>11</v>
      </c>
      <c r="Y121" s="39" t="s">
        <v>27</v>
      </c>
      <c r="AB121" s="9" t="s">
        <v>28</v>
      </c>
      <c r="AC121" s="3" t="s">
        <v>9</v>
      </c>
      <c r="AD121" s="10" t="s">
        <v>106</v>
      </c>
      <c r="AE121" s="10" t="s">
        <v>10</v>
      </c>
      <c r="AF121" s="10" t="s">
        <v>11</v>
      </c>
      <c r="AG121" s="39"/>
    </row>
    <row r="122" spans="3:33" x14ac:dyDescent="0.2">
      <c r="C122" s="18" t="s">
        <v>309</v>
      </c>
      <c r="D122" s="20"/>
      <c r="E122" s="20"/>
      <c r="F122" s="20"/>
      <c r="G122" s="20"/>
      <c r="H122" s="38">
        <f>+SUM(D122:G122)</f>
        <v>0</v>
      </c>
      <c r="I122" s="69"/>
      <c r="J122" s="69"/>
      <c r="K122" s="18" t="s">
        <v>334</v>
      </c>
      <c r="L122" s="20">
        <v>30</v>
      </c>
      <c r="M122" s="20">
        <v>30</v>
      </c>
      <c r="N122" s="20">
        <v>30</v>
      </c>
      <c r="O122" s="20">
        <v>30</v>
      </c>
      <c r="P122" s="38">
        <f>+SUM(L122:O122)</f>
        <v>120</v>
      </c>
      <c r="T122" s="18" t="s">
        <v>337</v>
      </c>
      <c r="U122" s="20">
        <v>600</v>
      </c>
      <c r="V122" s="20"/>
      <c r="W122" s="20">
        <v>600</v>
      </c>
      <c r="X122" s="20"/>
      <c r="Y122" s="38">
        <f>+SUM(U122:X122)</f>
        <v>1200</v>
      </c>
      <c r="AB122" s="18" t="s">
        <v>350</v>
      </c>
      <c r="AC122" s="20">
        <v>2000</v>
      </c>
      <c r="AD122" s="20">
        <v>2000</v>
      </c>
      <c r="AE122" s="20">
        <v>2000</v>
      </c>
      <c r="AF122" s="20">
        <v>2000</v>
      </c>
      <c r="AG122" s="38">
        <f>+SUM(AC122:AF122)</f>
        <v>8000</v>
      </c>
    </row>
    <row r="123" spans="3:33" x14ac:dyDescent="0.2">
      <c r="C123" s="11" t="s">
        <v>0</v>
      </c>
      <c r="D123" s="22">
        <f>SUM(D99)</f>
        <v>220000.00000000003</v>
      </c>
      <c r="E123" s="22">
        <f>+D123</f>
        <v>220000.00000000003</v>
      </c>
      <c r="F123" s="22">
        <f>+E123</f>
        <v>220000.00000000003</v>
      </c>
      <c r="G123" s="22">
        <f>+F123</f>
        <v>220000.00000000003</v>
      </c>
      <c r="H123" s="14"/>
      <c r="K123" s="11" t="s">
        <v>0</v>
      </c>
      <c r="L123" s="22">
        <f>SUM(L99)*1.1</f>
        <v>173030</v>
      </c>
      <c r="M123" s="22">
        <f>+L123</f>
        <v>173030</v>
      </c>
      <c r="N123" s="22">
        <f>+M123</f>
        <v>173030</v>
      </c>
      <c r="O123" s="22">
        <f>+N123</f>
        <v>173030</v>
      </c>
      <c r="P123" s="14"/>
      <c r="T123" s="11" t="s">
        <v>19</v>
      </c>
      <c r="U123" s="22">
        <f>SUM(U99)*1.1</f>
        <v>544.50000000000011</v>
      </c>
      <c r="V123" s="22">
        <f>SUM(V99)*1.1</f>
        <v>544.50000000000011</v>
      </c>
      <c r="W123" s="22">
        <f>SUM(W99)*1.1</f>
        <v>544.50000000000011</v>
      </c>
      <c r="X123" s="22">
        <f>SUM(X99)*1.1</f>
        <v>544.50000000000011</v>
      </c>
      <c r="Y123" s="14"/>
      <c r="AB123" s="11" t="s">
        <v>19</v>
      </c>
      <c r="AC123" s="22">
        <f>SUM(AC99)*1.1</f>
        <v>484.00000000000011</v>
      </c>
      <c r="AD123" s="22">
        <f>SUM(AD99)*1.1</f>
        <v>484.00000000000011</v>
      </c>
      <c r="AE123" s="22">
        <f>SUM(AE99)*1.1</f>
        <v>484.00000000000011</v>
      </c>
      <c r="AF123" s="22">
        <f>SUM(AF99)*1.1</f>
        <v>484.00000000000011</v>
      </c>
      <c r="AG123" s="14"/>
    </row>
    <row r="124" spans="3:33" x14ac:dyDescent="0.2">
      <c r="C124" s="6" t="s">
        <v>7</v>
      </c>
      <c r="D124" s="24">
        <f>+D123*D122</f>
        <v>0</v>
      </c>
      <c r="E124" s="24">
        <f>+E123*E122</f>
        <v>0</v>
      </c>
      <c r="F124" s="25">
        <f>+F123*F122</f>
        <v>0</v>
      </c>
      <c r="G124" s="25">
        <f>+G123*G122</f>
        <v>0</v>
      </c>
      <c r="H124" s="14"/>
      <c r="K124" s="6" t="s">
        <v>7</v>
      </c>
      <c r="L124" s="24">
        <f>+L123*L122</f>
        <v>5190900</v>
      </c>
      <c r="M124" s="24">
        <f>+M123*M122</f>
        <v>5190900</v>
      </c>
      <c r="N124" s="25">
        <f>+N123*N122</f>
        <v>5190900</v>
      </c>
      <c r="O124" s="25">
        <f>+O123*O122</f>
        <v>5190900</v>
      </c>
      <c r="P124" s="14"/>
      <c r="T124" s="6" t="s">
        <v>7</v>
      </c>
      <c r="U124" s="24">
        <f>+U123*U122</f>
        <v>326700.00000000006</v>
      </c>
      <c r="V124" s="24">
        <f>+V123*V122</f>
        <v>0</v>
      </c>
      <c r="W124" s="25">
        <f>+W123*W122</f>
        <v>326700.00000000006</v>
      </c>
      <c r="X124" s="25">
        <f>+X123*X122</f>
        <v>0</v>
      </c>
      <c r="Y124" s="14"/>
      <c r="AB124" s="6" t="s">
        <v>7</v>
      </c>
      <c r="AC124" s="24">
        <f>+AC123*AC122</f>
        <v>968000.00000000023</v>
      </c>
      <c r="AD124" s="24">
        <f>+AD123*AD122</f>
        <v>968000.00000000023</v>
      </c>
      <c r="AE124" s="25">
        <f>+AE123*AE122</f>
        <v>968000.00000000023</v>
      </c>
      <c r="AF124" s="25">
        <f>+AF123*AF122</f>
        <v>968000.00000000023</v>
      </c>
      <c r="AG124" s="14"/>
    </row>
    <row r="125" spans="3:33" x14ac:dyDescent="0.2">
      <c r="C125" s="16" t="s">
        <v>8</v>
      </c>
      <c r="D125" s="22">
        <f>+D124</f>
        <v>0</v>
      </c>
      <c r="E125" s="22">
        <f>+D125+E124</f>
        <v>0</v>
      </c>
      <c r="F125" s="23">
        <f>+E125+F124</f>
        <v>0</v>
      </c>
      <c r="G125" s="23">
        <f>+F125+G124</f>
        <v>0</v>
      </c>
      <c r="H125" s="14"/>
      <c r="K125" s="16" t="s">
        <v>8</v>
      </c>
      <c r="L125" s="22">
        <f>+L124</f>
        <v>5190900</v>
      </c>
      <c r="M125" s="22">
        <f>+L125+M124</f>
        <v>10381800</v>
      </c>
      <c r="N125" s="23">
        <f>+M125+N124</f>
        <v>15572700</v>
      </c>
      <c r="O125" s="23">
        <f>+N125+O124</f>
        <v>20763600</v>
      </c>
      <c r="P125" s="14"/>
      <c r="T125" s="16" t="s">
        <v>8</v>
      </c>
      <c r="U125" s="22">
        <f>+U124</f>
        <v>326700.00000000006</v>
      </c>
      <c r="V125" s="22">
        <f>+U125+V124</f>
        <v>326700.00000000006</v>
      </c>
      <c r="W125" s="23">
        <f>+V125+W124</f>
        <v>653400.00000000012</v>
      </c>
      <c r="X125" s="23">
        <f>+W125+X124</f>
        <v>653400.00000000012</v>
      </c>
      <c r="Y125" s="14"/>
      <c r="AB125" s="16" t="s">
        <v>8</v>
      </c>
      <c r="AC125" s="22">
        <f>+AC124</f>
        <v>968000.00000000023</v>
      </c>
      <c r="AD125" s="22">
        <f>+AC125+AD124</f>
        <v>1936000.0000000005</v>
      </c>
      <c r="AE125" s="23">
        <f>+AD125+AE124</f>
        <v>2904000.0000000009</v>
      </c>
      <c r="AF125" s="23">
        <f>+AE125+AF124</f>
        <v>3872000.0000000009</v>
      </c>
      <c r="AG125" s="14"/>
    </row>
    <row r="126" spans="3:33" x14ac:dyDescent="0.2">
      <c r="C126" s="7"/>
      <c r="D126" s="26"/>
      <c r="E126" s="26"/>
      <c r="F126" s="27"/>
      <c r="G126" s="27"/>
      <c r="H126" s="14"/>
      <c r="K126" s="7"/>
      <c r="L126" s="26"/>
      <c r="M126" s="26"/>
      <c r="N126" s="27"/>
      <c r="O126" s="27"/>
      <c r="P126" s="14"/>
      <c r="T126" s="7"/>
      <c r="U126" s="26"/>
      <c r="V126" s="26"/>
      <c r="W126" s="27"/>
      <c r="X126" s="27"/>
      <c r="Y126" s="14"/>
      <c r="AB126" s="7"/>
      <c r="AC126" s="26"/>
      <c r="AD126" s="26"/>
      <c r="AE126" s="27"/>
      <c r="AF126" s="27"/>
      <c r="AG126" s="14"/>
    </row>
    <row r="127" spans="3:33" x14ac:dyDescent="0.2">
      <c r="C127" s="17" t="s">
        <v>312</v>
      </c>
      <c r="D127" s="26"/>
      <c r="E127" s="26"/>
      <c r="F127" s="27"/>
      <c r="G127" s="27"/>
      <c r="H127" s="14"/>
      <c r="K127" s="17" t="s">
        <v>312</v>
      </c>
      <c r="L127" s="26"/>
      <c r="M127" s="26"/>
      <c r="N127" s="27"/>
      <c r="O127" s="27"/>
      <c r="P127" s="14"/>
      <c r="T127" s="17" t="s">
        <v>338</v>
      </c>
      <c r="U127" s="26"/>
      <c r="V127" s="26"/>
      <c r="W127" s="27"/>
      <c r="X127" s="27"/>
      <c r="Y127" s="14"/>
      <c r="AB127" s="17" t="s">
        <v>336</v>
      </c>
      <c r="AC127" s="26"/>
      <c r="AD127" s="26"/>
      <c r="AE127" s="27"/>
      <c r="AF127" s="27"/>
      <c r="AG127" s="14"/>
    </row>
    <row r="128" spans="3:33" x14ac:dyDescent="0.2">
      <c r="C128" s="11" t="s">
        <v>310</v>
      </c>
      <c r="D128" s="22">
        <f>SUM(H45)*5*90</f>
        <v>13500</v>
      </c>
      <c r="E128" s="22">
        <f>SUM(H45)*5*90</f>
        <v>13500</v>
      </c>
      <c r="F128" s="22">
        <f>SUM(H45)*5*90</f>
        <v>13500</v>
      </c>
      <c r="G128" s="22">
        <f>SUM(H45)*5*90</f>
        <v>13500</v>
      </c>
      <c r="H128" s="38"/>
      <c r="I128" s="69"/>
      <c r="J128" s="69"/>
      <c r="K128" s="11" t="s">
        <v>310</v>
      </c>
      <c r="L128" s="22">
        <f>SUM(L122)*5*90</f>
        <v>13500</v>
      </c>
      <c r="M128" s="22">
        <f>SUM(M122)*5*90</f>
        <v>13500</v>
      </c>
      <c r="N128" s="22">
        <f>SUM(N122)*5*90</f>
        <v>13500</v>
      </c>
      <c r="O128" s="22">
        <f>SUM(O122)*5*90</f>
        <v>13500</v>
      </c>
      <c r="P128" s="38"/>
      <c r="T128" s="11" t="s">
        <v>310</v>
      </c>
      <c r="U128" s="22">
        <f>SUM(X104)</f>
        <v>12960</v>
      </c>
      <c r="V128" s="22">
        <f>SUM(U128)</f>
        <v>12960</v>
      </c>
      <c r="W128" s="22">
        <f>SUM(V128)</f>
        <v>12960</v>
      </c>
      <c r="X128" s="22">
        <f>SUM(W128)</f>
        <v>12960</v>
      </c>
      <c r="Y128" s="38"/>
      <c r="AB128" s="11" t="s">
        <v>310</v>
      </c>
      <c r="AC128" s="22">
        <f>SUM(AF104)</f>
        <v>15000</v>
      </c>
      <c r="AD128" s="22">
        <f>SUM(AC128)</f>
        <v>15000</v>
      </c>
      <c r="AE128" s="22">
        <f>SUM(AD128)</f>
        <v>15000</v>
      </c>
      <c r="AF128" s="22">
        <f>SUM(AE128)</f>
        <v>15000</v>
      </c>
      <c r="AG128" s="38"/>
    </row>
    <row r="129" spans="3:33" x14ac:dyDescent="0.2">
      <c r="C129" s="7" t="s">
        <v>0</v>
      </c>
      <c r="D129" s="201">
        <f>SUM(D105)*1.1</f>
        <v>332.75</v>
      </c>
      <c r="E129" s="201">
        <f>+D129</f>
        <v>332.75</v>
      </c>
      <c r="F129" s="201">
        <f>+E129</f>
        <v>332.75</v>
      </c>
      <c r="G129" s="201">
        <f>+F129</f>
        <v>332.75</v>
      </c>
      <c r="H129" s="14"/>
      <c r="K129" s="7" t="s">
        <v>0</v>
      </c>
      <c r="L129" s="201">
        <f>SUM(L105)*1.1</f>
        <v>299.47500000000008</v>
      </c>
      <c r="M129" s="201">
        <f>+L129</f>
        <v>299.47500000000008</v>
      </c>
      <c r="N129" s="201">
        <f>+M129</f>
        <v>299.47500000000008</v>
      </c>
      <c r="O129" s="201">
        <f>+N129</f>
        <v>299.47500000000008</v>
      </c>
      <c r="P129" s="14"/>
      <c r="T129" s="7" t="s">
        <v>0</v>
      </c>
      <c r="U129" s="201">
        <f>SUM(U105)*1.02</f>
        <v>214.20000000000002</v>
      </c>
      <c r="V129" s="201">
        <f>+U129</f>
        <v>214.20000000000002</v>
      </c>
      <c r="W129" s="201">
        <f>+V129</f>
        <v>214.20000000000002</v>
      </c>
      <c r="X129" s="201">
        <f>+W129</f>
        <v>214.20000000000002</v>
      </c>
      <c r="Y129" s="14"/>
      <c r="AB129" s="7" t="s">
        <v>0</v>
      </c>
      <c r="AC129" s="201">
        <f>SUM(AC105)*1.1</f>
        <v>241.39500000000004</v>
      </c>
      <c r="AD129" s="201">
        <f>+AC129</f>
        <v>241.39500000000004</v>
      </c>
      <c r="AE129" s="201">
        <f>+AD129</f>
        <v>241.39500000000004</v>
      </c>
      <c r="AF129" s="201">
        <f>+AE129</f>
        <v>241.39500000000004</v>
      </c>
      <c r="AG129" s="14"/>
    </row>
    <row r="130" spans="3:33" x14ac:dyDescent="0.2">
      <c r="C130" s="15" t="s">
        <v>7</v>
      </c>
      <c r="D130" s="22">
        <f>+D129*D128</f>
        <v>4492125</v>
      </c>
      <c r="E130" s="22">
        <f>+E129*E128</f>
        <v>4492125</v>
      </c>
      <c r="F130" s="23">
        <f>+F129*F128</f>
        <v>4492125</v>
      </c>
      <c r="G130" s="23">
        <f>+G129*G128</f>
        <v>4492125</v>
      </c>
      <c r="H130" s="14"/>
      <c r="K130" s="15" t="s">
        <v>7</v>
      </c>
      <c r="L130" s="22">
        <f>+L129*L128</f>
        <v>4042912.5000000009</v>
      </c>
      <c r="M130" s="22">
        <f>+M129*M128</f>
        <v>4042912.5000000009</v>
      </c>
      <c r="N130" s="23">
        <f>+N129*N128</f>
        <v>4042912.5000000009</v>
      </c>
      <c r="O130" s="23">
        <f>+O129*O128</f>
        <v>4042912.5000000009</v>
      </c>
      <c r="P130" s="14"/>
      <c r="T130" s="15" t="s">
        <v>7</v>
      </c>
      <c r="U130" s="22">
        <f>+U129*U128</f>
        <v>2776032</v>
      </c>
      <c r="V130" s="22">
        <f>+V129*V128</f>
        <v>2776032</v>
      </c>
      <c r="W130" s="23">
        <f>+W129*W128</f>
        <v>2776032</v>
      </c>
      <c r="X130" s="23">
        <f>+X129*X128</f>
        <v>2776032</v>
      </c>
      <c r="Y130" s="14"/>
      <c r="AB130" s="15" t="s">
        <v>7</v>
      </c>
      <c r="AC130" s="22">
        <f>+AC129*AC128</f>
        <v>3620925.0000000005</v>
      </c>
      <c r="AD130" s="22">
        <f>+AD129*AD128</f>
        <v>3620925.0000000005</v>
      </c>
      <c r="AE130" s="23">
        <f>+AE129*AE128</f>
        <v>3620925.0000000005</v>
      </c>
      <c r="AF130" s="23">
        <f>+AF129*AF128</f>
        <v>3620925.0000000005</v>
      </c>
      <c r="AG130" s="14"/>
    </row>
    <row r="131" spans="3:33" x14ac:dyDescent="0.2">
      <c r="C131" s="12" t="s">
        <v>8</v>
      </c>
      <c r="D131" s="28">
        <f>+D130</f>
        <v>4492125</v>
      </c>
      <c r="E131" s="28">
        <f>+D131+E130</f>
        <v>8984250</v>
      </c>
      <c r="F131" s="29">
        <f>+E131+F130</f>
        <v>13476375</v>
      </c>
      <c r="G131" s="29">
        <f>+F131+G130</f>
        <v>17968500</v>
      </c>
      <c r="H131" s="14"/>
      <c r="K131" s="12" t="s">
        <v>8</v>
      </c>
      <c r="L131" s="28">
        <f>+L130</f>
        <v>4042912.5000000009</v>
      </c>
      <c r="M131" s="28">
        <f>+L131+M130</f>
        <v>8085825.0000000019</v>
      </c>
      <c r="N131" s="29">
        <f>+M131+N130</f>
        <v>12128737.500000004</v>
      </c>
      <c r="O131" s="29">
        <f>+N131+O130</f>
        <v>16171650.000000004</v>
      </c>
      <c r="P131" s="14"/>
      <c r="T131" s="12" t="s">
        <v>8</v>
      </c>
      <c r="U131" s="28">
        <f>+U130</f>
        <v>2776032</v>
      </c>
      <c r="V131" s="28">
        <f>+U131+V130</f>
        <v>5552064</v>
      </c>
      <c r="W131" s="29">
        <f>+V131+W130</f>
        <v>8328096</v>
      </c>
      <c r="X131" s="29">
        <f>+W131+X130</f>
        <v>11104128</v>
      </c>
      <c r="Y131" s="14"/>
      <c r="AB131" s="12" t="s">
        <v>8</v>
      </c>
      <c r="AC131" s="28">
        <f>+AC130</f>
        <v>3620925.0000000005</v>
      </c>
      <c r="AD131" s="28">
        <f>+AC131+AD130</f>
        <v>7241850.0000000009</v>
      </c>
      <c r="AE131" s="29">
        <f>+AD131+AE130</f>
        <v>10862775.000000002</v>
      </c>
      <c r="AF131" s="29">
        <f>+AE131+AF130</f>
        <v>14483700.000000002</v>
      </c>
      <c r="AG131" s="14"/>
    </row>
    <row r="132" spans="3:33" x14ac:dyDescent="0.2">
      <c r="C132" s="7"/>
      <c r="D132" s="26"/>
      <c r="E132" s="26"/>
      <c r="F132" s="27"/>
      <c r="G132" s="27"/>
      <c r="H132" s="14"/>
      <c r="K132" s="7"/>
      <c r="L132" s="26"/>
      <c r="M132" s="26"/>
      <c r="N132" s="27"/>
      <c r="O132" s="27"/>
      <c r="P132" s="14"/>
      <c r="T132" s="7"/>
      <c r="U132" s="26"/>
      <c r="V132" s="26"/>
      <c r="W132" s="27"/>
      <c r="X132" s="27"/>
      <c r="Y132" s="14"/>
      <c r="AB132" s="7"/>
      <c r="AC132" s="26"/>
      <c r="AD132" s="26"/>
      <c r="AE132" s="27"/>
      <c r="AF132" s="27"/>
      <c r="AG132" s="14"/>
    </row>
    <row r="133" spans="3:33" x14ac:dyDescent="0.2">
      <c r="C133" s="17" t="s">
        <v>313</v>
      </c>
      <c r="D133" s="101">
        <f>SUM(D109)*1.1</f>
        <v>0</v>
      </c>
      <c r="E133" s="101">
        <f>+D133</f>
        <v>0</v>
      </c>
      <c r="F133" s="101">
        <f>+E133</f>
        <v>0</v>
      </c>
      <c r="G133" s="101">
        <f>+F133</f>
        <v>0</v>
      </c>
      <c r="H133" s="14"/>
      <c r="K133" s="17" t="s">
        <v>331</v>
      </c>
      <c r="L133" s="101">
        <f>SUM(L109)*1.1</f>
        <v>13310.000000000004</v>
      </c>
      <c r="M133" s="101">
        <f>+L133</f>
        <v>13310.000000000004</v>
      </c>
      <c r="N133" s="101">
        <f>+M133</f>
        <v>13310.000000000004</v>
      </c>
      <c r="O133" s="101">
        <f>+N133</f>
        <v>13310.000000000004</v>
      </c>
      <c r="P133" s="14"/>
      <c r="T133" s="17" t="s">
        <v>331</v>
      </c>
      <c r="U133" s="101">
        <f>SUM(U109)</f>
        <v>82.5</v>
      </c>
      <c r="V133" s="101">
        <f>+U133</f>
        <v>82.5</v>
      </c>
      <c r="W133" s="101">
        <f>+V133</f>
        <v>82.5</v>
      </c>
      <c r="X133" s="101">
        <f>+W133</f>
        <v>82.5</v>
      </c>
      <c r="Y133" s="14"/>
      <c r="AB133" s="17" t="s">
        <v>331</v>
      </c>
      <c r="AC133" s="101">
        <f>SUM(AC109)</f>
        <v>77.174999999999997</v>
      </c>
      <c r="AD133" s="101">
        <f>+AC133</f>
        <v>77.174999999999997</v>
      </c>
      <c r="AE133" s="101">
        <f>+AD133</f>
        <v>77.174999999999997</v>
      </c>
      <c r="AF133" s="101">
        <f>+AE133</f>
        <v>77.174999999999997</v>
      </c>
      <c r="AG133" s="14"/>
    </row>
    <row r="134" spans="3:33" x14ac:dyDescent="0.2">
      <c r="C134" s="11" t="s">
        <v>107</v>
      </c>
      <c r="D134" s="22">
        <f>+D122*D133</f>
        <v>0</v>
      </c>
      <c r="E134" s="22">
        <f>+E122*E133</f>
        <v>0</v>
      </c>
      <c r="F134" s="22">
        <f>+F122*F133</f>
        <v>0</v>
      </c>
      <c r="G134" s="22">
        <f>+G122*G133</f>
        <v>0</v>
      </c>
      <c r="H134" s="38"/>
      <c r="I134" s="69"/>
      <c r="J134" s="69"/>
      <c r="K134" s="11" t="s">
        <v>107</v>
      </c>
      <c r="L134" s="22">
        <f>+L122*L133</f>
        <v>399300.00000000012</v>
      </c>
      <c r="M134" s="22">
        <f>+M122*M133</f>
        <v>399300.00000000012</v>
      </c>
      <c r="N134" s="22">
        <f>+N122*N133</f>
        <v>399300.00000000012</v>
      </c>
      <c r="O134" s="22">
        <f>+O122*O133</f>
        <v>399300.00000000012</v>
      </c>
      <c r="P134" s="38"/>
      <c r="T134" s="11" t="s">
        <v>107</v>
      </c>
      <c r="U134" s="22">
        <f>+U122*U133</f>
        <v>49500</v>
      </c>
      <c r="V134" s="22">
        <f>+V122*V133</f>
        <v>0</v>
      </c>
      <c r="W134" s="22">
        <f>+W122*W133</f>
        <v>49500</v>
      </c>
      <c r="X134" s="22">
        <f>+X122*X133</f>
        <v>0</v>
      </c>
      <c r="Y134" s="38"/>
      <c r="AB134" s="11" t="s">
        <v>107</v>
      </c>
      <c r="AC134" s="22">
        <f>+AC122*AC133</f>
        <v>154350</v>
      </c>
      <c r="AD134" s="22">
        <f>+AD122*AD133</f>
        <v>154350</v>
      </c>
      <c r="AE134" s="22">
        <f>+AE122*AE133</f>
        <v>154350</v>
      </c>
      <c r="AF134" s="22">
        <f>+AF122*AF133</f>
        <v>154350</v>
      </c>
      <c r="AG134" s="38"/>
    </row>
    <row r="135" spans="3:33" x14ac:dyDescent="0.2">
      <c r="C135" s="12" t="s">
        <v>8</v>
      </c>
      <c r="D135" s="28">
        <f>+D134</f>
        <v>0</v>
      </c>
      <c r="E135" s="28">
        <f>+D135+E134</f>
        <v>0</v>
      </c>
      <c r="F135" s="29">
        <f>+E135+F134</f>
        <v>0</v>
      </c>
      <c r="G135" s="29">
        <f>+F135+G134</f>
        <v>0</v>
      </c>
      <c r="H135" s="14"/>
      <c r="K135" s="12" t="s">
        <v>8</v>
      </c>
      <c r="L135" s="28">
        <f>+L134</f>
        <v>399300.00000000012</v>
      </c>
      <c r="M135" s="28">
        <f>+L135+M134</f>
        <v>798600.00000000023</v>
      </c>
      <c r="N135" s="29">
        <f>+M135+N134</f>
        <v>1197900.0000000005</v>
      </c>
      <c r="O135" s="29">
        <f>+N135+O134</f>
        <v>1597200.0000000005</v>
      </c>
      <c r="P135" s="14"/>
      <c r="T135" s="12" t="s">
        <v>8</v>
      </c>
      <c r="U135" s="28">
        <f>+U134</f>
        <v>49500</v>
      </c>
      <c r="V135" s="28">
        <f>+U135+V134</f>
        <v>49500</v>
      </c>
      <c r="W135" s="29">
        <f>+V135+W134</f>
        <v>99000</v>
      </c>
      <c r="X135" s="29">
        <f>+W135+X134</f>
        <v>99000</v>
      </c>
      <c r="Y135" s="14"/>
      <c r="AB135" s="12" t="s">
        <v>8</v>
      </c>
      <c r="AC135" s="28">
        <f>+AC134</f>
        <v>154350</v>
      </c>
      <c r="AD135" s="28">
        <f>+AC135+AD134</f>
        <v>308700</v>
      </c>
      <c r="AE135" s="29">
        <f>+AD135+AE134</f>
        <v>463050</v>
      </c>
      <c r="AF135" s="29">
        <f>+AE135+AF134</f>
        <v>617400</v>
      </c>
      <c r="AG135" s="14"/>
    </row>
    <row r="136" spans="3:33" ht="16" thickBot="1" x14ac:dyDescent="0.25">
      <c r="C136" s="7"/>
      <c r="D136" s="28"/>
      <c r="E136" s="28"/>
      <c r="F136" s="29"/>
      <c r="G136" s="29"/>
      <c r="H136" s="14"/>
      <c r="K136" s="7"/>
      <c r="L136" s="28"/>
      <c r="M136" s="28"/>
      <c r="N136" s="29"/>
      <c r="O136" s="29"/>
      <c r="P136" s="14"/>
      <c r="T136" s="7"/>
      <c r="U136" s="28"/>
      <c r="V136" s="28"/>
      <c r="W136" s="29"/>
      <c r="X136" s="29"/>
      <c r="Y136" s="14"/>
      <c r="AB136" s="7"/>
      <c r="AC136" s="28"/>
      <c r="AD136" s="28"/>
      <c r="AE136" s="29"/>
      <c r="AF136" s="29"/>
      <c r="AG136" s="14"/>
    </row>
    <row r="137" spans="3:33" ht="16" thickBot="1" x14ac:dyDescent="0.25">
      <c r="C137" s="17"/>
      <c r="D137" s="24"/>
      <c r="E137" s="24"/>
      <c r="F137" s="25"/>
      <c r="G137" s="24"/>
      <c r="H137" s="209" t="s">
        <v>314</v>
      </c>
      <c r="K137" s="17"/>
      <c r="L137" s="24"/>
      <c r="M137" s="24"/>
      <c r="N137" s="25"/>
      <c r="O137" s="24"/>
      <c r="P137" s="318" t="s">
        <v>226</v>
      </c>
      <c r="T137" s="17"/>
      <c r="U137" s="24"/>
      <c r="V137" s="24"/>
      <c r="W137" s="25"/>
      <c r="X137" s="24"/>
      <c r="Y137" s="318" t="s">
        <v>339</v>
      </c>
      <c r="AB137" s="17"/>
      <c r="AC137" s="24"/>
      <c r="AD137" s="24"/>
      <c r="AE137" s="25"/>
      <c r="AF137" s="24"/>
      <c r="AG137" s="318" t="s">
        <v>226</v>
      </c>
    </row>
    <row r="138" spans="3:33" ht="16" thickBot="1" x14ac:dyDescent="0.25">
      <c r="C138" s="8"/>
      <c r="D138" s="34"/>
      <c r="E138" s="34"/>
      <c r="F138" s="35"/>
      <c r="G138" s="34"/>
      <c r="H138" s="210">
        <f>SUM(G140)/H45</f>
        <v>598950</v>
      </c>
      <c r="K138" s="8"/>
      <c r="L138" s="34"/>
      <c r="M138" s="34"/>
      <c r="N138" s="35"/>
      <c r="O138" s="34"/>
      <c r="P138" s="317">
        <f>SUM(O140)/P122</f>
        <v>321103.75</v>
      </c>
      <c r="T138" s="8"/>
      <c r="U138" s="34"/>
      <c r="V138" s="34"/>
      <c r="W138" s="35"/>
      <c r="X138" s="34"/>
      <c r="Y138" s="317">
        <f>SUM(X140)/Y122</f>
        <v>9880.44</v>
      </c>
      <c r="AB138" s="8"/>
      <c r="AC138" s="34"/>
      <c r="AD138" s="34"/>
      <c r="AE138" s="35"/>
      <c r="AF138" s="34"/>
      <c r="AG138" s="317">
        <f>SUM(AF140)/AG122</f>
        <v>2371.6375000000003</v>
      </c>
    </row>
    <row r="139" spans="3:33" x14ac:dyDescent="0.2">
      <c r="C139" s="13" t="s">
        <v>23</v>
      </c>
      <c r="D139" s="36">
        <f>+D124+D130+D134</f>
        <v>4492125</v>
      </c>
      <c r="E139" s="36">
        <f>+E124+E130+E134</f>
        <v>4492125</v>
      </c>
      <c r="F139" s="36">
        <f>+F124+F130+F134</f>
        <v>4492125</v>
      </c>
      <c r="G139" s="36">
        <f>+G124+G130+G134</f>
        <v>4492125</v>
      </c>
      <c r="H139" s="868">
        <f>SUM(H122:H135)</f>
        <v>0</v>
      </c>
      <c r="I139" s="200"/>
      <c r="J139" s="200"/>
      <c r="K139" s="13" t="s">
        <v>23</v>
      </c>
      <c r="L139" s="36">
        <f>+L124+L130+L134</f>
        <v>9633112.5</v>
      </c>
      <c r="M139" s="36">
        <f>+M124+M130+M134</f>
        <v>9633112.5</v>
      </c>
      <c r="N139" s="36">
        <f>+N124+N130+N134</f>
        <v>9633112.5</v>
      </c>
      <c r="O139" s="36">
        <f>+O124+O130+O134</f>
        <v>9633112.5</v>
      </c>
      <c r="P139" s="868">
        <f>SUM(P122:P135)</f>
        <v>120</v>
      </c>
      <c r="T139" s="13" t="s">
        <v>23</v>
      </c>
      <c r="U139" s="36">
        <f>SUM(U125)+U131+U135</f>
        <v>3152232</v>
      </c>
      <c r="V139" s="36">
        <f>+V124+V130+V134</f>
        <v>2776032</v>
      </c>
      <c r="W139" s="36">
        <f>+W124+W130+W134</f>
        <v>3152232</v>
      </c>
      <c r="X139" s="36">
        <f>+X124+X130+X134</f>
        <v>2776032</v>
      </c>
      <c r="Y139" s="868">
        <f>SUM(Y122:Y135)</f>
        <v>1200</v>
      </c>
      <c r="AB139" s="13" t="s">
        <v>23</v>
      </c>
      <c r="AC139" s="36">
        <f>SUM(AC125)+AC131+AC135</f>
        <v>4743275.0000000009</v>
      </c>
      <c r="AD139" s="36">
        <f>+AD124+AD130+AD134</f>
        <v>4743275.0000000009</v>
      </c>
      <c r="AE139" s="36">
        <f>+AE124+AE130+AE134</f>
        <v>4743275.0000000009</v>
      </c>
      <c r="AF139" s="36">
        <f>+AF124+AF130+AF134</f>
        <v>4743275.0000000009</v>
      </c>
      <c r="AG139" s="868">
        <f>SUM(AG122:AG135)</f>
        <v>8000</v>
      </c>
    </row>
    <row r="140" spans="3:33" x14ac:dyDescent="0.2">
      <c r="C140" s="299" t="s">
        <v>29</v>
      </c>
      <c r="D140" s="300">
        <f>+D139</f>
        <v>4492125</v>
      </c>
      <c r="E140" s="300">
        <f>+D140+E139</f>
        <v>8984250</v>
      </c>
      <c r="F140" s="300">
        <f>+E140+F139</f>
        <v>13476375</v>
      </c>
      <c r="G140" s="300">
        <f>+F140+G139</f>
        <v>17968500</v>
      </c>
      <c r="H140" s="854"/>
      <c r="I140" s="200"/>
      <c r="J140" s="200"/>
      <c r="K140" s="299" t="s">
        <v>29</v>
      </c>
      <c r="L140" s="300">
        <f>+L139</f>
        <v>9633112.5</v>
      </c>
      <c r="M140" s="300">
        <f>+L140+M139</f>
        <v>19266225</v>
      </c>
      <c r="N140" s="300">
        <f>+M140+N139</f>
        <v>28899337.5</v>
      </c>
      <c r="O140" s="300">
        <f>+N140+O139</f>
        <v>38532450</v>
      </c>
      <c r="P140" s="854"/>
      <c r="T140" s="299" t="s">
        <v>29</v>
      </c>
      <c r="U140" s="300">
        <f>+U139</f>
        <v>3152232</v>
      </c>
      <c r="V140" s="300">
        <f>+U140+V139</f>
        <v>5928264</v>
      </c>
      <c r="W140" s="300">
        <f>+V140+W139</f>
        <v>9080496</v>
      </c>
      <c r="X140" s="300">
        <f>+W140+X139</f>
        <v>11856528</v>
      </c>
      <c r="Y140" s="854"/>
      <c r="AB140" s="299" t="s">
        <v>29</v>
      </c>
      <c r="AC140" s="300">
        <f>+AC139</f>
        <v>4743275.0000000009</v>
      </c>
      <c r="AD140" s="300">
        <f>+AC140+AD139</f>
        <v>9486550.0000000019</v>
      </c>
      <c r="AE140" s="300">
        <f>+AD140+AE139</f>
        <v>14229825.000000004</v>
      </c>
      <c r="AF140" s="300">
        <f>+AE140+AF139</f>
        <v>18973100.000000004</v>
      </c>
      <c r="AG140" s="854"/>
    </row>
    <row r="141" spans="3:33" x14ac:dyDescent="0.2">
      <c r="T141" s="199"/>
      <c r="U141" s="104"/>
      <c r="V141" s="104"/>
      <c r="W141" s="104"/>
      <c r="X141" s="104"/>
      <c r="Y141" s="200"/>
      <c r="AB141" s="199"/>
      <c r="AC141" s="104"/>
      <c r="AD141" s="104"/>
      <c r="AE141" s="104"/>
      <c r="AF141" s="104"/>
      <c r="AG141" s="200"/>
    </row>
    <row r="144" spans="3:33" x14ac:dyDescent="0.2">
      <c r="C144" s="858" t="s">
        <v>333</v>
      </c>
      <c r="D144" s="859"/>
      <c r="E144" s="859"/>
      <c r="F144" s="859"/>
      <c r="G144" s="859"/>
      <c r="H144" s="860"/>
      <c r="I144" s="3"/>
      <c r="J144" s="3"/>
      <c r="K144" s="858" t="s">
        <v>322</v>
      </c>
      <c r="L144" s="859"/>
      <c r="M144" s="859"/>
      <c r="N144" s="859"/>
      <c r="O144" s="859"/>
      <c r="P144" s="860"/>
      <c r="T144" s="858" t="s">
        <v>324</v>
      </c>
      <c r="U144" s="859"/>
      <c r="V144" s="859"/>
      <c r="W144" s="859"/>
      <c r="X144" s="859"/>
      <c r="Y144" s="860"/>
      <c r="AB144" s="858" t="s">
        <v>224</v>
      </c>
      <c r="AC144" s="859"/>
      <c r="AD144" s="859"/>
      <c r="AE144" s="859"/>
      <c r="AF144" s="859"/>
      <c r="AG144" s="860"/>
    </row>
    <row r="145" spans="3:33" x14ac:dyDescent="0.2">
      <c r="C145" s="10" t="s">
        <v>26</v>
      </c>
      <c r="D145" s="42">
        <v>2026</v>
      </c>
      <c r="E145" s="41">
        <v>2027</v>
      </c>
      <c r="F145" s="53">
        <v>2028</v>
      </c>
      <c r="G145" s="41">
        <v>2029</v>
      </c>
      <c r="H145" s="41">
        <v>2030</v>
      </c>
      <c r="I145" s="86"/>
      <c r="J145" s="86"/>
      <c r="K145" s="10" t="s">
        <v>26</v>
      </c>
      <c r="L145" s="42">
        <v>2026</v>
      </c>
      <c r="M145" s="41">
        <v>2027</v>
      </c>
      <c r="N145" s="53">
        <v>2028</v>
      </c>
      <c r="O145" s="41">
        <v>2029</v>
      </c>
      <c r="P145" s="41">
        <v>2030</v>
      </c>
      <c r="T145" s="10" t="s">
        <v>26</v>
      </c>
      <c r="U145" s="42">
        <v>2026</v>
      </c>
      <c r="V145" s="41">
        <v>2027</v>
      </c>
      <c r="W145" s="53">
        <v>2028</v>
      </c>
      <c r="X145" s="41">
        <v>2029</v>
      </c>
      <c r="Y145" s="41">
        <v>2030</v>
      </c>
      <c r="AB145" s="10" t="s">
        <v>26</v>
      </c>
      <c r="AC145" s="42">
        <v>2026</v>
      </c>
      <c r="AD145" s="41">
        <v>2027</v>
      </c>
      <c r="AE145" s="53">
        <v>2028</v>
      </c>
      <c r="AF145" s="41">
        <v>2029</v>
      </c>
      <c r="AG145" s="41">
        <v>2030</v>
      </c>
    </row>
    <row r="146" spans="3:33" x14ac:dyDescent="0.2">
      <c r="C146" s="203" t="s">
        <v>323</v>
      </c>
      <c r="D146" s="204">
        <f>SUM(H45)</f>
        <v>30</v>
      </c>
      <c r="E146" s="205">
        <f>SUM(H69)</f>
        <v>0</v>
      </c>
      <c r="F146" s="206">
        <f>SUM(H92)</f>
        <v>0</v>
      </c>
      <c r="G146" s="205">
        <f>SUM(H115)</f>
        <v>0</v>
      </c>
      <c r="H146" s="205">
        <f>SUM(H139)</f>
        <v>0</v>
      </c>
      <c r="I146" s="208"/>
      <c r="J146" s="208"/>
      <c r="K146" s="203" t="s">
        <v>223</v>
      </c>
      <c r="L146" s="204">
        <f>SUM(P45)</f>
        <v>120</v>
      </c>
      <c r="M146" s="205">
        <f>SUM(P69)</f>
        <v>120</v>
      </c>
      <c r="N146" s="206">
        <f>SUM(P92)</f>
        <v>120</v>
      </c>
      <c r="O146" s="205">
        <f>SUM(P115)</f>
        <v>120</v>
      </c>
      <c r="P146" s="205">
        <f>SUM(P139)</f>
        <v>120</v>
      </c>
      <c r="T146" s="203" t="s">
        <v>223</v>
      </c>
      <c r="U146" s="204">
        <f>SUM(Y45)</f>
        <v>1200</v>
      </c>
      <c r="V146" s="205">
        <f>SUM(Y69)</f>
        <v>1200</v>
      </c>
      <c r="W146" s="206">
        <f>SUM(Y92)</f>
        <v>1200</v>
      </c>
      <c r="X146" s="205">
        <f>SUM(Y115)</f>
        <v>1200</v>
      </c>
      <c r="Y146" s="205">
        <f>SUM(Y139)</f>
        <v>1200</v>
      </c>
      <c r="AB146" s="203" t="s">
        <v>223</v>
      </c>
      <c r="AC146" s="204">
        <f>SUM(AG45)</f>
        <v>8000</v>
      </c>
      <c r="AD146" s="205">
        <f>SUM(AG69)</f>
        <v>8000</v>
      </c>
      <c r="AE146" s="206">
        <f>SUM(AG92)</f>
        <v>8000</v>
      </c>
      <c r="AF146" s="205">
        <f>SUM(AG115)</f>
        <v>8000</v>
      </c>
      <c r="AG146" s="205">
        <f>SUM(AG139)</f>
        <v>8000</v>
      </c>
    </row>
    <row r="147" spans="3:33" x14ac:dyDescent="0.2">
      <c r="C147" s="103" t="str">
        <f>+C98</f>
        <v>Vache laitiere (tete)</v>
      </c>
      <c r="D147" s="45">
        <f>SUM(G31)</f>
        <v>7500000</v>
      </c>
      <c r="E147" s="65">
        <f>SUM(G55)</f>
        <v>0</v>
      </c>
      <c r="F147" s="45">
        <f>SUM(G78)</f>
        <v>0</v>
      </c>
      <c r="G147" s="65">
        <f>SUM(G101)</f>
        <v>0</v>
      </c>
      <c r="H147" s="65">
        <f>SUM(G125)</f>
        <v>0</v>
      </c>
      <c r="I147" s="45"/>
      <c r="J147" s="45"/>
      <c r="K147" s="103" t="str">
        <f>+K98</f>
        <v>Bovin d'ambouche</v>
      </c>
      <c r="L147" s="45">
        <f>SUM(O31)</f>
        <v>15600000</v>
      </c>
      <c r="M147" s="65">
        <f>SUM(O55)</f>
        <v>15600000</v>
      </c>
      <c r="N147" s="45">
        <f>SUM(O78)</f>
        <v>17160000</v>
      </c>
      <c r="O147" s="65">
        <f>SUM(O101)</f>
        <v>18876000</v>
      </c>
      <c r="P147" s="65">
        <f>SUM(O125)</f>
        <v>20763600</v>
      </c>
      <c r="T147" s="7" t="str">
        <f>+T98</f>
        <v>Poule pondeuse (Poussin 1j)</v>
      </c>
      <c r="U147" s="51">
        <f>SUM(X31)</f>
        <v>480000</v>
      </c>
      <c r="V147" s="46">
        <f>SUM(X55)</f>
        <v>540000</v>
      </c>
      <c r="W147" s="51">
        <f>SUM(X78)</f>
        <v>594000.00000000012</v>
      </c>
      <c r="X147" s="46">
        <f>SUM(X101)</f>
        <v>594000.00000000012</v>
      </c>
      <c r="Y147" s="51">
        <f>SUM(X125)</f>
        <v>653400.00000000012</v>
      </c>
      <c r="AB147" s="7" t="str">
        <f>+AB98</f>
        <v>Poulet de CHAIR (poussin 1j)</v>
      </c>
      <c r="AC147" s="51">
        <f>SUM(AF31)</f>
        <v>3200000</v>
      </c>
      <c r="AD147" s="46">
        <f>SUM(AF55)</f>
        <v>3200000</v>
      </c>
      <c r="AE147" s="51">
        <f>SUM(AF78)</f>
        <v>3520000.0000000005</v>
      </c>
      <c r="AF147" s="46">
        <f>SUM(AF101)</f>
        <v>3520000.0000000005</v>
      </c>
      <c r="AG147" s="51">
        <f>SUM(AF125)</f>
        <v>3872000.0000000009</v>
      </c>
    </row>
    <row r="148" spans="3:33" x14ac:dyDescent="0.2">
      <c r="C148" s="14" t="str">
        <f>+C103</f>
        <v>Alimentation 5kg / tete / jour</v>
      </c>
      <c r="D148" s="46">
        <f>SUM(G37)</f>
        <v>3375000</v>
      </c>
      <c r="E148" s="51">
        <f>SUM(G61)</f>
        <v>13500000</v>
      </c>
      <c r="F148" s="46">
        <f>SUM(G84)</f>
        <v>14850000</v>
      </c>
      <c r="G148" s="51">
        <f>SUM(G107)</f>
        <v>16335000</v>
      </c>
      <c r="H148" s="51">
        <f>SUM(G131)</f>
        <v>17968500</v>
      </c>
      <c r="I148" s="46"/>
      <c r="J148" s="46"/>
      <c r="K148" s="14" t="str">
        <f>+K103</f>
        <v>Alimentation 5kg / tete / jour</v>
      </c>
      <c r="L148" s="46">
        <f>SUM(O37)</f>
        <v>12150000</v>
      </c>
      <c r="M148" s="51">
        <f>SUM(O61)</f>
        <v>12150000</v>
      </c>
      <c r="N148" s="46">
        <f>SUM(O84)</f>
        <v>13365000.000000002</v>
      </c>
      <c r="O148" s="51">
        <f>SUM(O107)</f>
        <v>14701500.000000004</v>
      </c>
      <c r="P148" s="51">
        <f>SUM(O131)</f>
        <v>16171650.000000004</v>
      </c>
      <c r="T148" s="12" t="s">
        <v>338</v>
      </c>
      <c r="U148" s="46">
        <f>SUM(X37)</f>
        <v>7776000</v>
      </c>
      <c r="V148" s="51">
        <f>SUM(X61)</f>
        <v>10368000</v>
      </c>
      <c r="W148" s="46">
        <f>SUM(X84)</f>
        <v>10886400</v>
      </c>
      <c r="X148" s="51">
        <f>SUM(X107)</f>
        <v>10886400</v>
      </c>
      <c r="Y148" s="51">
        <f>SUM(X131)</f>
        <v>11104128</v>
      </c>
      <c r="AB148" s="12" t="s">
        <v>336</v>
      </c>
      <c r="AC148" s="46">
        <f>SUM(AF37)</f>
        <v>11400000</v>
      </c>
      <c r="AD148" s="51">
        <f>SUM(AF61)</f>
        <v>11400000</v>
      </c>
      <c r="AE148" s="46">
        <f>SUM(AF84)</f>
        <v>11970000</v>
      </c>
      <c r="AF148" s="51">
        <f>SUM(AF107)</f>
        <v>13167000.000000002</v>
      </c>
      <c r="AG148" s="51">
        <f>SUM(AF131)</f>
        <v>14483700.000000002</v>
      </c>
    </row>
    <row r="149" spans="3:33" x14ac:dyDescent="0.2">
      <c r="C149" s="73" t="str">
        <f>+C109</f>
        <v>Transports par bouvier (coût /tete)</v>
      </c>
      <c r="D149" s="45">
        <f>SUM(G41)</f>
        <v>450000</v>
      </c>
      <c r="E149" s="50">
        <f>SUM(G65)</f>
        <v>0</v>
      </c>
      <c r="F149" s="45">
        <f>SUM(G88)</f>
        <v>0</v>
      </c>
      <c r="G149" s="50">
        <f>SUM(G111)</f>
        <v>0</v>
      </c>
      <c r="H149" s="50">
        <f>SUM(G135)</f>
        <v>0</v>
      </c>
      <c r="I149" s="45"/>
      <c r="J149" s="45"/>
      <c r="K149" s="73" t="str">
        <f>+K109</f>
        <v>Transports par vehicule (coût /tete)</v>
      </c>
      <c r="L149" s="45">
        <f>SUM(O41)</f>
        <v>1200000</v>
      </c>
      <c r="M149" s="50">
        <f>SUM(O65)</f>
        <v>1200000</v>
      </c>
      <c r="N149" s="45">
        <f>SUM(O88)</f>
        <v>1320000</v>
      </c>
      <c r="O149" s="50">
        <f>SUM(O111)</f>
        <v>1452000.0000000002</v>
      </c>
      <c r="P149" s="50">
        <f>SUM(O135)</f>
        <v>1597200.0000000005</v>
      </c>
      <c r="T149" s="73" t="str">
        <f>+T109</f>
        <v>Transports par vehicule (coût /tete)</v>
      </c>
      <c r="U149" s="45">
        <f>SUM(X41)</f>
        <v>90000</v>
      </c>
      <c r="V149" s="50">
        <f>SUM(X65)</f>
        <v>90000</v>
      </c>
      <c r="W149" s="45">
        <f>SUM(X88)</f>
        <v>99000</v>
      </c>
      <c r="X149" s="50">
        <f>SUM(X111)</f>
        <v>99000</v>
      </c>
      <c r="Y149" s="50">
        <f>SUM(X135)</f>
        <v>99000</v>
      </c>
      <c r="AB149" s="12" t="s">
        <v>331</v>
      </c>
      <c r="AC149" s="45">
        <f>SUM(AF41)</f>
        <v>560000</v>
      </c>
      <c r="AD149" s="50">
        <f>SUM(AF65)</f>
        <v>560000</v>
      </c>
      <c r="AE149" s="45">
        <f>SUM(AF88)</f>
        <v>588000</v>
      </c>
      <c r="AF149" s="50">
        <f>SUM(AF111)</f>
        <v>617400</v>
      </c>
      <c r="AG149" s="50">
        <f>SUM(AF135)</f>
        <v>617400</v>
      </c>
    </row>
    <row r="150" spans="3:33" x14ac:dyDescent="0.2">
      <c r="C150" s="72" t="s">
        <v>32</v>
      </c>
      <c r="E150" s="72"/>
      <c r="G150" s="72"/>
      <c r="H150" s="72"/>
      <c r="K150" s="72" t="s">
        <v>32</v>
      </c>
      <c r="M150" s="72"/>
      <c r="O150" s="72"/>
      <c r="P150" s="72"/>
      <c r="T150" s="72" t="s">
        <v>32</v>
      </c>
      <c r="V150" s="72"/>
      <c r="X150" s="72"/>
      <c r="Y150" s="72"/>
      <c r="AB150" s="72" t="s">
        <v>32</v>
      </c>
      <c r="AD150" s="72"/>
      <c r="AF150" s="72"/>
      <c r="AG150" s="72"/>
    </row>
    <row r="151" spans="3:33" x14ac:dyDescent="0.2">
      <c r="C151" s="9" t="s">
        <v>31</v>
      </c>
      <c r="D151" s="55">
        <f>+SUM(D147:D149)</f>
        <v>11325000</v>
      </c>
      <c r="E151" s="55">
        <f>+SUM(E147:E150)</f>
        <v>13500000</v>
      </c>
      <c r="F151" s="55">
        <f>+SUM(F147:F150)</f>
        <v>14850000</v>
      </c>
      <c r="G151" s="55">
        <f>+SUM(G147:G150)</f>
        <v>16335000</v>
      </c>
      <c r="H151" s="55">
        <f>+SUM(H147:H150)</f>
        <v>17968500</v>
      </c>
      <c r="I151" s="87"/>
      <c r="J151" s="87"/>
      <c r="K151" s="9" t="s">
        <v>31</v>
      </c>
      <c r="L151" s="55">
        <f>+SUM(L147:L149)</f>
        <v>28950000</v>
      </c>
      <c r="M151" s="55">
        <f>+SUM(M147:M150)</f>
        <v>28950000</v>
      </c>
      <c r="N151" s="55">
        <f>+SUM(N147:N150)</f>
        <v>31845000</v>
      </c>
      <c r="O151" s="55">
        <f>+SUM(O147:O150)</f>
        <v>35029500</v>
      </c>
      <c r="P151" s="55">
        <f>+SUM(P147:P150)</f>
        <v>38532450</v>
      </c>
      <c r="T151" s="9" t="s">
        <v>31</v>
      </c>
      <c r="U151" s="55">
        <f>+SUM(U147:U149)</f>
        <v>8346000</v>
      </c>
      <c r="V151" s="55">
        <f>+SUM(V147:V149)</f>
        <v>10998000</v>
      </c>
      <c r="W151" s="55">
        <f>+SUM(W147:W149)</f>
        <v>11579400</v>
      </c>
      <c r="X151" s="55">
        <f>+SUM(X147:X149)</f>
        <v>11579400</v>
      </c>
      <c r="Y151" s="55">
        <f>+SUM(Y147:Y149)</f>
        <v>11856528</v>
      </c>
      <c r="AB151" s="9" t="s">
        <v>31</v>
      </c>
      <c r="AC151" s="55">
        <f>+SUM(AC147:AC149)</f>
        <v>15160000</v>
      </c>
      <c r="AD151" s="55">
        <f>+SUM(AD147:AD149)</f>
        <v>15160000</v>
      </c>
      <c r="AE151" s="55">
        <f>+SUM(AE147:AE149)</f>
        <v>16078000</v>
      </c>
      <c r="AF151" s="55">
        <f>+SUM(AF147:AF149)</f>
        <v>17304400</v>
      </c>
      <c r="AG151" s="55">
        <f>+SUM(AG147:AG149)</f>
        <v>18973100.000000004</v>
      </c>
    </row>
    <row r="153" spans="3:33" x14ac:dyDescent="0.2">
      <c r="D153" s="69"/>
    </row>
    <row r="154" spans="3:33" ht="16" thickBot="1" x14ac:dyDescent="0.25"/>
    <row r="155" spans="3:33" x14ac:dyDescent="0.2">
      <c r="C155" s="865" t="s">
        <v>321</v>
      </c>
      <c r="D155" s="866"/>
      <c r="E155" s="866"/>
      <c r="F155" s="866"/>
      <c r="G155" s="866"/>
      <c r="H155" s="867"/>
      <c r="I155" s="3"/>
      <c r="J155" s="3"/>
      <c r="K155" s="3"/>
      <c r="L155" s="3"/>
      <c r="M155" s="3"/>
      <c r="N155" s="3"/>
    </row>
    <row r="156" spans="3:33" x14ac:dyDescent="0.2">
      <c r="C156" s="305" t="s">
        <v>135</v>
      </c>
      <c r="D156" s="42">
        <v>2026</v>
      </c>
      <c r="E156" s="41">
        <v>2027</v>
      </c>
      <c r="F156" s="53">
        <v>2028</v>
      </c>
      <c r="G156" s="41">
        <v>2029</v>
      </c>
      <c r="H156" s="41">
        <v>2030</v>
      </c>
      <c r="I156" s="86"/>
      <c r="J156" s="86"/>
      <c r="K156" s="86"/>
      <c r="L156" s="86"/>
      <c r="M156" s="86"/>
      <c r="N156" s="86"/>
    </row>
    <row r="157" spans="3:33" x14ac:dyDescent="0.2">
      <c r="C157" s="306" t="s">
        <v>320</v>
      </c>
      <c r="D157" s="69">
        <f>SUM(D151)</f>
        <v>11325000</v>
      </c>
      <c r="E157" s="69">
        <f>+E151</f>
        <v>13500000</v>
      </c>
      <c r="F157" s="69">
        <f>+F151</f>
        <v>14850000</v>
      </c>
      <c r="G157" s="69">
        <f>+G151</f>
        <v>16335000</v>
      </c>
      <c r="H157" s="319">
        <f>+H151</f>
        <v>17968500</v>
      </c>
      <c r="I157" s="69"/>
      <c r="J157" s="69"/>
      <c r="K157" s="69"/>
      <c r="L157" s="69"/>
      <c r="M157" s="69"/>
      <c r="N157" s="69"/>
      <c r="T157" s="869" t="s">
        <v>204</v>
      </c>
      <c r="U157" s="870"/>
      <c r="V157" s="870"/>
      <c r="W157" s="870"/>
      <c r="X157" s="870"/>
      <c r="Y157" s="871"/>
    </row>
    <row r="158" spans="3:33" x14ac:dyDescent="0.2">
      <c r="C158" s="306" t="s">
        <v>322</v>
      </c>
      <c r="D158" s="69">
        <f>SUM(L151)</f>
        <v>28950000</v>
      </c>
      <c r="E158" s="69">
        <f>SUM(M151)</f>
        <v>28950000</v>
      </c>
      <c r="F158" s="69">
        <f>SUM(N151)</f>
        <v>31845000</v>
      </c>
      <c r="G158" s="69">
        <f>SUM(O151)</f>
        <v>35029500</v>
      </c>
      <c r="H158" s="319">
        <f>SUM(P151)</f>
        <v>38532450</v>
      </c>
      <c r="I158" s="69"/>
      <c r="J158" s="69"/>
      <c r="K158" s="69"/>
      <c r="L158" s="69"/>
      <c r="M158" s="69"/>
      <c r="N158" s="69"/>
      <c r="T158" s="10" t="s">
        <v>2</v>
      </c>
      <c r="U158" s="42">
        <v>2026</v>
      </c>
      <c r="V158" s="41">
        <v>2027</v>
      </c>
      <c r="W158" s="53">
        <v>2028</v>
      </c>
      <c r="X158" s="41">
        <v>2029</v>
      </c>
      <c r="Y158" s="41">
        <v>2030</v>
      </c>
    </row>
    <row r="159" spans="3:33" x14ac:dyDescent="0.2">
      <c r="C159" s="320" t="s">
        <v>324</v>
      </c>
      <c r="D159" s="191">
        <f>+U151</f>
        <v>8346000</v>
      </c>
      <c r="E159" s="191">
        <f>+V151</f>
        <v>10998000</v>
      </c>
      <c r="F159" s="191">
        <f>+W151</f>
        <v>11579400</v>
      </c>
      <c r="G159" s="191">
        <f>+X151</f>
        <v>11579400</v>
      </c>
      <c r="H159" s="321">
        <f>+Y151</f>
        <v>11856528</v>
      </c>
      <c r="I159" s="191"/>
      <c r="J159" s="191"/>
      <c r="K159" s="191"/>
      <c r="L159" s="191"/>
      <c r="M159" s="191"/>
      <c r="N159" s="191"/>
      <c r="T159" s="43" t="s">
        <v>30</v>
      </c>
      <c r="U159" s="49"/>
      <c r="V159" s="44">
        <f>+Y54</f>
        <v>0</v>
      </c>
      <c r="W159" s="49">
        <f>+Y78</f>
        <v>0</v>
      </c>
      <c r="X159" s="44">
        <f>+Y101</f>
        <v>0</v>
      </c>
      <c r="Y159" s="49">
        <f>+Y124</f>
        <v>0</v>
      </c>
    </row>
    <row r="160" spans="3:33" ht="16" thickBot="1" x14ac:dyDescent="0.25">
      <c r="C160" s="322" t="s">
        <v>325</v>
      </c>
      <c r="D160" s="323">
        <f>SUM(AC151)</f>
        <v>15160000</v>
      </c>
      <c r="E160" s="323">
        <f>SUM(AD151)</f>
        <v>15160000</v>
      </c>
      <c r="F160" s="323">
        <f>SUM(AE151)</f>
        <v>16078000</v>
      </c>
      <c r="G160" s="323">
        <f>SUM(AF151)</f>
        <v>17304400</v>
      </c>
      <c r="H160" s="324">
        <f>SUM(AG151)</f>
        <v>18973100.000000004</v>
      </c>
      <c r="T160" s="64" t="s">
        <v>20</v>
      </c>
      <c r="U160" s="65"/>
      <c r="V160" s="66" t="str">
        <f>+Y43</f>
        <v>Px Rv / poule / an</v>
      </c>
      <c r="W160" s="65" t="str">
        <f>+Y67</f>
        <v>Px Rv / poule / an</v>
      </c>
      <c r="X160" s="66" t="str">
        <f>+Y90</f>
        <v>Px Rv / poule / an</v>
      </c>
      <c r="Y160" s="65" t="str">
        <f>+Y113</f>
        <v>Px Rv / poule / an</v>
      </c>
    </row>
    <row r="161" spans="3:25" x14ac:dyDescent="0.2">
      <c r="I161" s="87"/>
      <c r="J161" s="87"/>
      <c r="K161" s="87"/>
      <c r="L161" s="87"/>
      <c r="M161" s="87"/>
      <c r="N161" s="87"/>
      <c r="T161" s="8" t="s">
        <v>21</v>
      </c>
      <c r="U161" s="67"/>
      <c r="V161" s="68">
        <f>+Y49</f>
        <v>0</v>
      </c>
      <c r="W161" s="67" t="str">
        <f>+Y73</f>
        <v xml:space="preserve">Total acheté </v>
      </c>
      <c r="X161" s="68" t="str">
        <f>+Y96</f>
        <v xml:space="preserve">Total acheté </v>
      </c>
      <c r="Y161" s="67">
        <f>+Y119</f>
        <v>0</v>
      </c>
    </row>
    <row r="162" spans="3:25" x14ac:dyDescent="0.2">
      <c r="C162" s="9" t="s">
        <v>31</v>
      </c>
      <c r="D162" s="55">
        <f>SUM(D157:D160)</f>
        <v>63781000</v>
      </c>
      <c r="E162" s="55">
        <f>SUM(E157:E160)</f>
        <v>68608000</v>
      </c>
      <c r="F162" s="55">
        <f>SUM(F157:F160)</f>
        <v>74352400</v>
      </c>
      <c r="G162" s="55">
        <f>SUM(G157:G160)</f>
        <v>80248300</v>
      </c>
      <c r="H162" s="55">
        <f>SUM(H157:H160)</f>
        <v>87330578</v>
      </c>
    </row>
    <row r="163" spans="3:25" x14ac:dyDescent="0.2">
      <c r="I163" s="81"/>
      <c r="J163" s="81"/>
      <c r="K163" s="81"/>
      <c r="L163" s="81"/>
      <c r="M163" s="81"/>
      <c r="N163" s="81"/>
    </row>
    <row r="164" spans="3:25" x14ac:dyDescent="0.2"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</row>
    <row r="165" spans="3:25" x14ac:dyDescent="0.2"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</row>
    <row r="166" spans="3:25" x14ac:dyDescent="0.2"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</row>
    <row r="167" spans="3:25" x14ac:dyDescent="0.2"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</row>
    <row r="168" spans="3:25" x14ac:dyDescent="0.2">
      <c r="D168" s="81"/>
      <c r="E168" s="81"/>
      <c r="F168" s="81"/>
      <c r="G168" s="81"/>
      <c r="H168" s="81"/>
      <c r="I168" s="100"/>
      <c r="J168" s="100"/>
      <c r="K168" s="100"/>
      <c r="L168" s="100"/>
      <c r="M168" s="100"/>
      <c r="N168" s="100"/>
    </row>
    <row r="169" spans="3:25" x14ac:dyDescent="0.2">
      <c r="D169" s="100"/>
      <c r="E169" s="100"/>
      <c r="F169" s="100"/>
      <c r="G169" s="100"/>
      <c r="H169" s="100"/>
      <c r="I169" s="81"/>
      <c r="J169" s="81"/>
      <c r="K169" s="81"/>
      <c r="L169" s="81"/>
      <c r="M169" s="81"/>
      <c r="N169" s="81"/>
    </row>
    <row r="170" spans="3:25" x14ac:dyDescent="0.2">
      <c r="D170" s="81"/>
      <c r="E170" s="81"/>
      <c r="F170" s="81"/>
      <c r="G170" s="81"/>
      <c r="H170" s="81"/>
      <c r="I170" s="142"/>
      <c r="J170" s="142"/>
      <c r="K170" s="142"/>
      <c r="L170" s="142"/>
      <c r="M170" s="142"/>
      <c r="N170" s="142"/>
    </row>
    <row r="171" spans="3:25" x14ac:dyDescent="0.2">
      <c r="D171" s="81"/>
      <c r="E171" s="142"/>
      <c r="F171" s="142"/>
      <c r="G171" s="142"/>
      <c r="H171" s="142"/>
    </row>
    <row r="172" spans="3:25" x14ac:dyDescent="0.2">
      <c r="I172" s="69"/>
      <c r="J172" s="69"/>
      <c r="K172" s="69"/>
      <c r="L172" s="69"/>
      <c r="M172" s="69"/>
      <c r="N172" s="69"/>
    </row>
    <row r="173" spans="3:25" x14ac:dyDescent="0.2">
      <c r="D173" s="69"/>
      <c r="E173" s="69"/>
      <c r="F173" s="69"/>
      <c r="G173" s="69"/>
      <c r="H173" s="69"/>
    </row>
    <row r="176" spans="3:25" x14ac:dyDescent="0.2">
      <c r="F176" s="59"/>
    </row>
  </sheetData>
  <mergeCells count="54">
    <mergeCell ref="T3:X3"/>
    <mergeCell ref="AB26:AG26"/>
    <mergeCell ref="AB50:AG50"/>
    <mergeCell ref="AB73:AG73"/>
    <mergeCell ref="AB3:AF3"/>
    <mergeCell ref="C3:G3"/>
    <mergeCell ref="K3:O3"/>
    <mergeCell ref="T26:Y26"/>
    <mergeCell ref="T50:Y50"/>
    <mergeCell ref="AG139:AG140"/>
    <mergeCell ref="P139:P140"/>
    <mergeCell ref="O22:O23"/>
    <mergeCell ref="K26:P26"/>
    <mergeCell ref="P45:P46"/>
    <mergeCell ref="K50:P50"/>
    <mergeCell ref="P69:P70"/>
    <mergeCell ref="G22:G23"/>
    <mergeCell ref="C26:H26"/>
    <mergeCell ref="H45:H46"/>
    <mergeCell ref="C50:H50"/>
    <mergeCell ref="H69:H70"/>
    <mergeCell ref="T157:Y157"/>
    <mergeCell ref="AB144:AG144"/>
    <mergeCell ref="AF22:AF23"/>
    <mergeCell ref="AG45:AG46"/>
    <mergeCell ref="AG69:AG70"/>
    <mergeCell ref="AG92:AG93"/>
    <mergeCell ref="AG115:AG116"/>
    <mergeCell ref="X22:X23"/>
    <mergeCell ref="Y45:Y46"/>
    <mergeCell ref="Y69:Y70"/>
    <mergeCell ref="AB96:AG96"/>
    <mergeCell ref="AB120:AG120"/>
    <mergeCell ref="T120:Y120"/>
    <mergeCell ref="K144:P144"/>
    <mergeCell ref="Y139:Y140"/>
    <mergeCell ref="K73:P73"/>
    <mergeCell ref="P92:P93"/>
    <mergeCell ref="K96:P96"/>
    <mergeCell ref="P115:P116"/>
    <mergeCell ref="K120:P120"/>
    <mergeCell ref="T144:Y144"/>
    <mergeCell ref="Y92:Y93"/>
    <mergeCell ref="Y115:Y116"/>
    <mergeCell ref="T73:Y73"/>
    <mergeCell ref="T96:Y96"/>
    <mergeCell ref="C155:H155"/>
    <mergeCell ref="C144:H144"/>
    <mergeCell ref="C73:H73"/>
    <mergeCell ref="H92:H93"/>
    <mergeCell ref="C96:H96"/>
    <mergeCell ref="H115:H116"/>
    <mergeCell ref="C120:H120"/>
    <mergeCell ref="H139:H140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C204"/>
  <sheetViews>
    <sheetView showGridLines="0" topLeftCell="A187" zoomScale="129" zoomScaleNormal="125" zoomScalePageLayoutView="105" workbookViewId="0">
      <selection activeCell="B204" sqref="B204"/>
    </sheetView>
  </sheetViews>
  <sheetFormatPr baseColWidth="10" defaultRowHeight="15" x14ac:dyDescent="0.2"/>
  <cols>
    <col min="1" max="1" width="1.5" customWidth="1"/>
    <col min="2" max="2" width="40.83203125" customWidth="1"/>
    <col min="3" max="7" width="17.83203125" customWidth="1"/>
    <col min="8" max="8" width="10" customWidth="1"/>
    <col min="9" max="9" width="1.5" customWidth="1"/>
    <col min="10" max="10" width="40.83203125" customWidth="1"/>
    <col min="11" max="15" width="17.83203125" customWidth="1"/>
    <col min="16" max="16" width="12.1640625" customWidth="1"/>
    <col min="17" max="17" width="40.83203125" customWidth="1"/>
    <col min="18" max="22" width="17.83203125" customWidth="1"/>
    <col min="23" max="23" width="10.6640625" customWidth="1"/>
    <col min="24" max="24" width="38.6640625" customWidth="1"/>
    <col min="25" max="25" width="18" customWidth="1"/>
    <col min="26" max="26" width="18.1640625" customWidth="1"/>
    <col min="27" max="31" width="17.83203125" customWidth="1"/>
    <col min="32" max="32" width="2.5" customWidth="1"/>
    <col min="33" max="33" width="2.33203125" customWidth="1"/>
    <col min="34" max="34" width="40.83203125" customWidth="1"/>
    <col min="35" max="39" width="17.83203125" customWidth="1"/>
    <col min="40" max="40" width="2.83203125" customWidth="1"/>
  </cols>
  <sheetData>
    <row r="1" spans="2:28" ht="48" thickBot="1" x14ac:dyDescent="0.6">
      <c r="B1" s="861" t="s">
        <v>320</v>
      </c>
      <c r="C1" s="862"/>
      <c r="D1" s="862"/>
      <c r="E1" s="862"/>
      <c r="F1" s="863"/>
      <c r="J1" s="861" t="s">
        <v>322</v>
      </c>
      <c r="K1" s="862"/>
      <c r="L1" s="862"/>
      <c r="M1" s="862"/>
      <c r="N1" s="863"/>
      <c r="Q1" s="861" t="s">
        <v>324</v>
      </c>
      <c r="R1" s="862"/>
      <c r="S1" s="862"/>
      <c r="T1" s="862"/>
      <c r="U1" s="863"/>
      <c r="X1" s="861" t="s">
        <v>325</v>
      </c>
      <c r="Y1" s="862"/>
      <c r="Z1" s="862"/>
      <c r="AA1" s="862"/>
      <c r="AB1" s="863"/>
    </row>
    <row r="4" spans="2:28" x14ac:dyDescent="0.2">
      <c r="B4" s="858" t="s">
        <v>315</v>
      </c>
      <c r="C4" s="859"/>
      <c r="D4" s="859"/>
      <c r="E4" s="859"/>
      <c r="F4" s="860"/>
      <c r="J4" s="858" t="s">
        <v>326</v>
      </c>
      <c r="K4" s="859"/>
      <c r="L4" s="859"/>
      <c r="M4" s="859"/>
      <c r="N4" s="860"/>
      <c r="Q4" s="858" t="s">
        <v>363</v>
      </c>
      <c r="R4" s="859"/>
      <c r="S4" s="859"/>
      <c r="T4" s="860"/>
      <c r="U4" s="872" t="s">
        <v>16</v>
      </c>
      <c r="X4" s="858" t="s">
        <v>345</v>
      </c>
      <c r="Y4" s="859"/>
      <c r="Z4" s="859"/>
      <c r="AA4" s="860"/>
      <c r="AB4" s="872" t="s">
        <v>16</v>
      </c>
    </row>
    <row r="5" spans="2:28" x14ac:dyDescent="0.2">
      <c r="B5" s="9" t="s">
        <v>6</v>
      </c>
      <c r="C5" s="5" t="s">
        <v>3</v>
      </c>
      <c r="D5" s="5" t="s">
        <v>4</v>
      </c>
      <c r="E5" s="10" t="s">
        <v>5</v>
      </c>
      <c r="F5" s="39" t="s">
        <v>16</v>
      </c>
      <c r="J5" s="9" t="s">
        <v>6</v>
      </c>
      <c r="K5" s="5" t="s">
        <v>3</v>
      </c>
      <c r="L5" s="5" t="s">
        <v>4</v>
      </c>
      <c r="M5" s="10" t="s">
        <v>5</v>
      </c>
      <c r="N5" s="39" t="s">
        <v>16</v>
      </c>
      <c r="Q5" s="9" t="s">
        <v>6</v>
      </c>
      <c r="R5" s="5" t="s">
        <v>3</v>
      </c>
      <c r="S5" s="5" t="s">
        <v>4</v>
      </c>
      <c r="T5" s="10" t="s">
        <v>5</v>
      </c>
      <c r="U5" s="873"/>
      <c r="X5" s="9" t="s">
        <v>6</v>
      </c>
      <c r="Y5" s="5" t="s">
        <v>3</v>
      </c>
      <c r="Z5" s="5" t="s">
        <v>4</v>
      </c>
      <c r="AA5" s="10" t="s">
        <v>5</v>
      </c>
      <c r="AB5" s="873"/>
    </row>
    <row r="6" spans="2:28" x14ac:dyDescent="0.2">
      <c r="B6" s="18" t="s">
        <v>354</v>
      </c>
      <c r="C6" s="20">
        <v>3000</v>
      </c>
      <c r="D6" s="20">
        <v>3000</v>
      </c>
      <c r="E6" s="20">
        <v>3000</v>
      </c>
      <c r="F6" s="38">
        <f>+SUM(B6:E6)</f>
        <v>9000</v>
      </c>
      <c r="J6" s="18" t="s">
        <v>332</v>
      </c>
      <c r="K6" s="20">
        <v>10</v>
      </c>
      <c r="L6" s="20">
        <v>10</v>
      </c>
      <c r="M6" s="21">
        <v>10</v>
      </c>
      <c r="N6" s="38">
        <f>+SUM(J6:M6)</f>
        <v>30</v>
      </c>
      <c r="Q6" s="18" t="s">
        <v>368</v>
      </c>
      <c r="R6" s="20">
        <v>30000</v>
      </c>
      <c r="S6" s="20">
        <v>30000</v>
      </c>
      <c r="T6" s="21">
        <v>30000</v>
      </c>
      <c r="U6" s="38">
        <f>+SUM(Q6:T6)</f>
        <v>90000</v>
      </c>
      <c r="X6" s="18" t="s">
        <v>382</v>
      </c>
      <c r="Y6" s="20">
        <v>650</v>
      </c>
      <c r="Z6" s="20">
        <v>650</v>
      </c>
      <c r="AA6" s="21">
        <v>650</v>
      </c>
      <c r="AB6" s="38">
        <f>+SUM(X6:AA6)</f>
        <v>1950</v>
      </c>
    </row>
    <row r="7" spans="2:28" x14ac:dyDescent="0.2">
      <c r="B7" s="11" t="s">
        <v>19</v>
      </c>
      <c r="C7" s="22">
        <v>350</v>
      </c>
      <c r="D7" s="22">
        <v>350</v>
      </c>
      <c r="E7" s="23">
        <f>SUM(D7)</f>
        <v>350</v>
      </c>
      <c r="F7" s="14"/>
      <c r="J7" s="11" t="s">
        <v>19</v>
      </c>
      <c r="K7" s="22">
        <f>SUM('Matière 1é &amp; fourni Elevage'!P44)*1.6</f>
        <v>386000</v>
      </c>
      <c r="L7" s="22">
        <f>SUM(K7)</f>
        <v>386000</v>
      </c>
      <c r="M7" s="23">
        <f>SUM(L7)</f>
        <v>386000</v>
      </c>
      <c r="N7" s="14"/>
      <c r="Q7" s="11" t="s">
        <v>19</v>
      </c>
      <c r="R7" s="22">
        <v>75</v>
      </c>
      <c r="S7" s="22">
        <f>SUM(R7)</f>
        <v>75</v>
      </c>
      <c r="T7" s="23">
        <f>SUM(S7)</f>
        <v>75</v>
      </c>
      <c r="U7" s="14"/>
      <c r="X7" s="11" t="s">
        <v>383</v>
      </c>
      <c r="Y7" s="22">
        <v>4000</v>
      </c>
      <c r="Z7" s="22">
        <v>4000</v>
      </c>
      <c r="AA7" s="23">
        <f>SUM('Matière 1é &amp; fourni Elevage'!AG44)*1.2</f>
        <v>2274</v>
      </c>
      <c r="AB7" s="14"/>
    </row>
    <row r="8" spans="2:28" x14ac:dyDescent="0.2">
      <c r="B8" s="6" t="s">
        <v>7</v>
      </c>
      <c r="C8" s="24">
        <f>+C7*C6</f>
        <v>1050000</v>
      </c>
      <c r="D8" s="24">
        <f>+D7*D6</f>
        <v>1050000</v>
      </c>
      <c r="E8" s="25">
        <f>+E7*E6</f>
        <v>1050000</v>
      </c>
      <c r="F8" s="14"/>
      <c r="J8" s="6" t="s">
        <v>7</v>
      </c>
      <c r="K8" s="24">
        <f>+K7*K6</f>
        <v>3860000</v>
      </c>
      <c r="L8" s="24">
        <f>+L7*L6</f>
        <v>3860000</v>
      </c>
      <c r="M8" s="25">
        <f>+M7*M6</f>
        <v>3860000</v>
      </c>
      <c r="N8" s="14"/>
      <c r="Q8" s="6" t="s">
        <v>7</v>
      </c>
      <c r="R8" s="24">
        <f>+R7*R6</f>
        <v>2250000</v>
      </c>
      <c r="S8" s="24">
        <f>+S7*S6</f>
        <v>2250000</v>
      </c>
      <c r="T8" s="25">
        <f>+T7*T6</f>
        <v>2250000</v>
      </c>
      <c r="U8" s="14"/>
      <c r="X8" s="6" t="s">
        <v>7</v>
      </c>
      <c r="Y8" s="24">
        <f>+Y7*Y6</f>
        <v>2600000</v>
      </c>
      <c r="Z8" s="24">
        <f>+Z7*Z6</f>
        <v>2600000</v>
      </c>
      <c r="AA8" s="25">
        <f>+AA7*AA6</f>
        <v>1478100</v>
      </c>
      <c r="AB8" s="14"/>
    </row>
    <row r="9" spans="2:28" x14ac:dyDescent="0.2">
      <c r="B9" s="16" t="s">
        <v>8</v>
      </c>
      <c r="C9" s="22">
        <f>+C8</f>
        <v>1050000</v>
      </c>
      <c r="D9" s="22">
        <f>+C9+D8</f>
        <v>2100000</v>
      </c>
      <c r="E9" s="23">
        <f>+D9+E8</f>
        <v>3150000</v>
      </c>
      <c r="F9" s="14"/>
      <c r="J9" s="16" t="s">
        <v>8</v>
      </c>
      <c r="K9" s="22">
        <f>+K8</f>
        <v>3860000</v>
      </c>
      <c r="L9" s="22">
        <f>+K9+L8</f>
        <v>7720000</v>
      </c>
      <c r="M9" s="23">
        <f>+L9+M8</f>
        <v>11580000</v>
      </c>
      <c r="N9" s="14"/>
      <c r="Q9" s="16" t="s">
        <v>8</v>
      </c>
      <c r="R9" s="22">
        <f>+R8</f>
        <v>2250000</v>
      </c>
      <c r="S9" s="22">
        <f>+R9+S8</f>
        <v>4500000</v>
      </c>
      <c r="T9" s="23">
        <f>+S9+T8</f>
        <v>6750000</v>
      </c>
      <c r="U9" s="14"/>
      <c r="X9" s="16" t="s">
        <v>8</v>
      </c>
      <c r="Y9" s="22">
        <f>+Y8</f>
        <v>2600000</v>
      </c>
      <c r="Z9" s="22">
        <f>+Y9+Z8</f>
        <v>5200000</v>
      </c>
      <c r="AA9" s="23">
        <f>+Z9+AA8</f>
        <v>6678100</v>
      </c>
      <c r="AB9" s="14"/>
    </row>
    <row r="10" spans="2:28" x14ac:dyDescent="0.2">
      <c r="B10" s="7"/>
      <c r="C10" s="26"/>
      <c r="D10" s="26"/>
      <c r="E10" s="27"/>
      <c r="F10" s="14"/>
      <c r="J10" s="7"/>
      <c r="K10" s="26"/>
      <c r="L10" s="26"/>
      <c r="M10" s="27"/>
      <c r="N10" s="14"/>
      <c r="Q10" s="7"/>
      <c r="R10" s="26"/>
      <c r="S10" s="26"/>
      <c r="T10" s="27"/>
      <c r="U10" s="14"/>
      <c r="X10" s="7"/>
      <c r="Y10" s="26"/>
      <c r="Z10" s="26"/>
      <c r="AA10" s="27"/>
      <c r="AB10" s="14"/>
    </row>
    <row r="11" spans="2:28" x14ac:dyDescent="0.2">
      <c r="B11" s="17" t="s">
        <v>819</v>
      </c>
      <c r="C11" s="26"/>
      <c r="D11" s="26"/>
      <c r="E11" s="27"/>
      <c r="F11" s="14"/>
      <c r="J11" s="17" t="s">
        <v>360</v>
      </c>
      <c r="K11" s="26"/>
      <c r="L11" s="26"/>
      <c r="M11" s="27"/>
      <c r="N11" s="14"/>
      <c r="Q11" s="56" t="s">
        <v>15</v>
      </c>
      <c r="R11" s="57">
        <f>+R8</f>
        <v>2250000</v>
      </c>
      <c r="S11" s="57">
        <f>+S8</f>
        <v>2250000</v>
      </c>
      <c r="T11" s="57">
        <f>+T8</f>
        <v>2250000</v>
      </c>
      <c r="U11" s="62">
        <f>+SUM(U6:U10)</f>
        <v>90000</v>
      </c>
      <c r="X11" s="56" t="s">
        <v>15</v>
      </c>
      <c r="Y11" s="57">
        <f>+Y8</f>
        <v>2600000</v>
      </c>
      <c r="Z11" s="57">
        <f>+Z8</f>
        <v>2600000</v>
      </c>
      <c r="AA11" s="57">
        <f>+AA8</f>
        <v>1478100</v>
      </c>
      <c r="AB11" s="62">
        <f>+SUM(AB6:AB10)</f>
        <v>1950</v>
      </c>
    </row>
    <row r="12" spans="2:28" x14ac:dyDescent="0.2">
      <c r="B12" s="11" t="s">
        <v>355</v>
      </c>
      <c r="C12" s="22"/>
      <c r="D12" s="22"/>
      <c r="E12" s="23"/>
      <c r="F12" s="38">
        <f>+SUM(B12:E12)</f>
        <v>0</v>
      </c>
      <c r="J12" s="11" t="s">
        <v>1</v>
      </c>
      <c r="K12" s="22"/>
      <c r="L12" s="22"/>
      <c r="M12" s="23"/>
      <c r="N12" s="38">
        <f>+SUM(J12:M12)</f>
        <v>0</v>
      </c>
      <c r="Q12" s="299" t="s">
        <v>733</v>
      </c>
      <c r="R12" s="300">
        <f>+R11</f>
        <v>2250000</v>
      </c>
      <c r="S12" s="300">
        <f>+R12+S11</f>
        <v>4500000</v>
      </c>
      <c r="T12" s="300">
        <f>+S12+T11</f>
        <v>6750000</v>
      </c>
      <c r="U12" s="63"/>
      <c r="X12" s="299" t="s">
        <v>733</v>
      </c>
      <c r="Y12" s="300">
        <f>+Y11</f>
        <v>2600000</v>
      </c>
      <c r="Z12" s="300">
        <f>+Y12+Z11</f>
        <v>5200000</v>
      </c>
      <c r="AA12" s="300">
        <f>+Z12+AA11</f>
        <v>6678100</v>
      </c>
      <c r="AB12" s="63"/>
    </row>
    <row r="13" spans="2:28" x14ac:dyDescent="0.2">
      <c r="B13" s="7" t="s">
        <v>19</v>
      </c>
      <c r="C13" s="24">
        <v>1200000</v>
      </c>
      <c r="D13" s="24"/>
      <c r="E13" s="25"/>
      <c r="F13" s="14"/>
      <c r="J13" s="7" t="s">
        <v>19</v>
      </c>
      <c r="K13" s="24"/>
      <c r="L13" s="24"/>
      <c r="M13" s="25"/>
      <c r="N13" s="14"/>
      <c r="R13" s="58"/>
      <c r="S13" s="58"/>
      <c r="T13" s="58"/>
      <c r="Y13" s="58"/>
      <c r="Z13" s="58"/>
      <c r="AA13" s="58"/>
    </row>
    <row r="14" spans="2:28" x14ac:dyDescent="0.2">
      <c r="B14" s="15" t="s">
        <v>7</v>
      </c>
      <c r="C14" s="22">
        <f>+C13*C12</f>
        <v>0</v>
      </c>
      <c r="D14" s="22">
        <f>+D13*D12</f>
        <v>0</v>
      </c>
      <c r="E14" s="23">
        <f>+E13*E12</f>
        <v>0</v>
      </c>
      <c r="F14" s="14"/>
      <c r="J14" s="15" t="s">
        <v>7</v>
      </c>
      <c r="K14" s="22">
        <f>+K13*K12</f>
        <v>0</v>
      </c>
      <c r="L14" s="22">
        <f>+L13*L12</f>
        <v>0</v>
      </c>
      <c r="M14" s="23">
        <f>+M13*M12</f>
        <v>0</v>
      </c>
      <c r="N14" s="14"/>
      <c r="R14" s="58"/>
      <c r="S14" s="58"/>
      <c r="T14" s="58"/>
      <c r="Y14" s="58"/>
      <c r="Z14" s="58"/>
      <c r="AA14" s="58"/>
    </row>
    <row r="15" spans="2:28" x14ac:dyDescent="0.2">
      <c r="B15" s="12" t="s">
        <v>8</v>
      </c>
      <c r="C15" s="28">
        <f>+C14</f>
        <v>0</v>
      </c>
      <c r="D15" s="28">
        <f>+C15+D14</f>
        <v>0</v>
      </c>
      <c r="E15" s="29">
        <f>+D15+E14</f>
        <v>0</v>
      </c>
      <c r="F15" s="14"/>
      <c r="J15" s="12" t="s">
        <v>8</v>
      </c>
      <c r="K15" s="28">
        <f>+K14</f>
        <v>0</v>
      </c>
      <c r="L15" s="28">
        <f>+K15+L14</f>
        <v>0</v>
      </c>
      <c r="M15" s="29">
        <f>+L15+M14</f>
        <v>0</v>
      </c>
      <c r="N15" s="14"/>
      <c r="R15" s="58"/>
      <c r="S15" s="58"/>
      <c r="T15" s="58"/>
      <c r="Y15" s="58"/>
      <c r="Z15" s="58"/>
      <c r="AA15" s="58"/>
    </row>
    <row r="16" spans="2:28" x14ac:dyDescent="0.2">
      <c r="B16" s="7"/>
      <c r="C16" s="26"/>
      <c r="D16" s="26"/>
      <c r="E16" s="27"/>
      <c r="F16" s="14"/>
      <c r="J16" s="7"/>
      <c r="K16" s="26"/>
      <c r="L16" s="26"/>
      <c r="M16" s="27"/>
      <c r="N16" s="14"/>
      <c r="R16" s="58"/>
      <c r="S16" s="58"/>
      <c r="T16" s="58"/>
      <c r="Y16" s="58"/>
      <c r="Z16" s="58"/>
      <c r="AA16" s="58"/>
    </row>
    <row r="17" spans="2:29" x14ac:dyDescent="0.2">
      <c r="B17" s="17" t="s">
        <v>820</v>
      </c>
      <c r="C17" s="26"/>
      <c r="D17" s="26"/>
      <c r="E17" s="27"/>
      <c r="F17" s="14"/>
      <c r="J17" s="17" t="s">
        <v>360</v>
      </c>
      <c r="K17" s="26"/>
      <c r="L17" s="26"/>
      <c r="M17" s="27"/>
      <c r="N17" s="14"/>
      <c r="R17" s="58"/>
      <c r="S17" s="58"/>
      <c r="T17" s="58"/>
      <c r="Y17" s="58"/>
      <c r="Z17" s="58"/>
      <c r="AA17" s="58"/>
    </row>
    <row r="18" spans="2:29" x14ac:dyDescent="0.2">
      <c r="B18" s="11" t="s">
        <v>355</v>
      </c>
      <c r="C18" s="22"/>
      <c r="D18" s="22"/>
      <c r="E18" s="23">
        <v>0</v>
      </c>
      <c r="F18" s="38">
        <f>+SUM(B18:E18)</f>
        <v>0</v>
      </c>
      <c r="J18" s="11" t="s">
        <v>1</v>
      </c>
      <c r="K18" s="22"/>
      <c r="L18" s="22"/>
      <c r="M18" s="23">
        <v>0</v>
      </c>
      <c r="N18" s="38">
        <f>+SUM(J18:M18)</f>
        <v>0</v>
      </c>
      <c r="R18" s="58"/>
      <c r="S18" s="58"/>
      <c r="T18" s="58"/>
      <c r="Y18" s="58"/>
      <c r="Z18" s="58"/>
      <c r="AA18" s="58"/>
    </row>
    <row r="19" spans="2:29" x14ac:dyDescent="0.2">
      <c r="B19" s="7" t="s">
        <v>19</v>
      </c>
      <c r="C19" s="24">
        <v>800000</v>
      </c>
      <c r="D19" s="24"/>
      <c r="E19" s="25">
        <v>0</v>
      </c>
      <c r="F19" s="14"/>
      <c r="J19" s="7" t="s">
        <v>19</v>
      </c>
      <c r="K19" s="24"/>
      <c r="L19" s="24"/>
      <c r="M19" s="25">
        <v>0</v>
      </c>
      <c r="N19" s="14"/>
      <c r="R19" s="58"/>
      <c r="S19" s="58"/>
      <c r="T19" s="58"/>
      <c r="Y19" s="58"/>
      <c r="Z19" s="58"/>
      <c r="AA19" s="58"/>
    </row>
    <row r="20" spans="2:29" x14ac:dyDescent="0.2">
      <c r="B20" s="15" t="s">
        <v>7</v>
      </c>
      <c r="C20" s="30">
        <f>+C19*C18</f>
        <v>0</v>
      </c>
      <c r="D20" s="30"/>
      <c r="E20" s="31">
        <f>+E19*E18</f>
        <v>0</v>
      </c>
      <c r="F20" s="14"/>
      <c r="J20" s="15" t="s">
        <v>7</v>
      </c>
      <c r="K20" s="30">
        <f>+K19*K18</f>
        <v>0</v>
      </c>
      <c r="L20" s="30"/>
      <c r="M20" s="31">
        <f>+M19*M18</f>
        <v>0</v>
      </c>
      <c r="N20" s="14"/>
      <c r="R20" s="58"/>
      <c r="S20" s="58"/>
      <c r="T20" s="58"/>
      <c r="Y20" s="58"/>
      <c r="Z20" s="58"/>
      <c r="AA20" s="58"/>
    </row>
    <row r="21" spans="2:29" x14ac:dyDescent="0.2">
      <c r="B21" s="12" t="s">
        <v>8</v>
      </c>
      <c r="C21" s="32">
        <f>+C20</f>
        <v>0</v>
      </c>
      <c r="D21" s="32">
        <f>+C21+D20</f>
        <v>0</v>
      </c>
      <c r="E21" s="33">
        <f>+D21+E20</f>
        <v>0</v>
      </c>
      <c r="F21" s="14"/>
      <c r="J21" s="12" t="s">
        <v>8</v>
      </c>
      <c r="K21" s="32">
        <f>+K20</f>
        <v>0</v>
      </c>
      <c r="L21" s="32">
        <f>+K21+L20</f>
        <v>0</v>
      </c>
      <c r="M21" s="33">
        <f>+L21+M20</f>
        <v>0</v>
      </c>
      <c r="N21" s="14"/>
      <c r="R21" s="58"/>
      <c r="S21" s="58"/>
      <c r="T21" s="58"/>
      <c r="Y21" s="58"/>
      <c r="Z21" s="58"/>
      <c r="AA21" s="58"/>
    </row>
    <row r="22" spans="2:29" x14ac:dyDescent="0.2">
      <c r="B22" s="8"/>
      <c r="C22" s="34"/>
      <c r="D22" s="34"/>
      <c r="E22" s="35"/>
      <c r="F22" s="14"/>
      <c r="J22" s="8"/>
      <c r="K22" s="34"/>
      <c r="L22" s="34"/>
      <c r="M22" s="35"/>
      <c r="N22" s="14"/>
      <c r="R22" s="58"/>
      <c r="S22" s="58"/>
      <c r="T22" s="58"/>
      <c r="Y22" s="58"/>
      <c r="Z22" s="58"/>
      <c r="AA22" s="58"/>
    </row>
    <row r="23" spans="2:29" x14ac:dyDescent="0.2">
      <c r="B23" s="13" t="s">
        <v>15</v>
      </c>
      <c r="C23" s="36">
        <f>+C8+C14+C20</f>
        <v>1050000</v>
      </c>
      <c r="D23" s="36">
        <f>+D20+D14+D8</f>
        <v>1050000</v>
      </c>
      <c r="E23" s="36">
        <f>+E20+E14+E8</f>
        <v>1050000</v>
      </c>
      <c r="F23" s="853">
        <f>+SUM(F6:F22)</f>
        <v>9000</v>
      </c>
      <c r="J23" s="13" t="s">
        <v>15</v>
      </c>
      <c r="K23" s="36">
        <f>+K8+K14+K20</f>
        <v>3860000</v>
      </c>
      <c r="L23" s="36">
        <f>+L20+L14+L8</f>
        <v>3860000</v>
      </c>
      <c r="M23" s="36">
        <f>+M20+M14+M8</f>
        <v>3860000</v>
      </c>
      <c r="N23" s="853">
        <f>+SUM(N6:N22)</f>
        <v>30</v>
      </c>
      <c r="R23" s="58"/>
      <c r="S23" s="58"/>
      <c r="T23" s="58"/>
      <c r="Y23" s="58"/>
      <c r="Z23" s="58"/>
      <c r="AA23" s="58"/>
    </row>
    <row r="24" spans="2:29" x14ac:dyDescent="0.2">
      <c r="B24" s="299" t="s">
        <v>733</v>
      </c>
      <c r="C24" s="300">
        <f>+C23</f>
        <v>1050000</v>
      </c>
      <c r="D24" s="300">
        <f>+C24+D23</f>
        <v>2100000</v>
      </c>
      <c r="E24" s="300">
        <f>+D24+E23</f>
        <v>3150000</v>
      </c>
      <c r="F24" s="854"/>
      <c r="H24" s="1"/>
      <c r="J24" s="299" t="s">
        <v>733</v>
      </c>
      <c r="K24" s="300">
        <f>+K23</f>
        <v>3860000</v>
      </c>
      <c r="L24" s="300">
        <f>+K24+L23</f>
        <v>7720000</v>
      </c>
      <c r="M24" s="300">
        <f>+L24+M23</f>
        <v>11580000</v>
      </c>
      <c r="N24" s="854"/>
      <c r="R24" s="58"/>
      <c r="S24" s="58"/>
      <c r="T24" s="58"/>
      <c r="Y24" s="58"/>
      <c r="Z24" s="58"/>
      <c r="AA24" s="58"/>
    </row>
    <row r="25" spans="2:29" x14ac:dyDescent="0.2">
      <c r="C25" s="2"/>
      <c r="D25" s="2"/>
      <c r="E25" s="4"/>
      <c r="K25" s="2"/>
      <c r="L25" s="2"/>
      <c r="M25" s="4"/>
      <c r="R25" s="58"/>
      <c r="S25" s="58"/>
      <c r="T25" s="58"/>
      <c r="Y25" s="58"/>
      <c r="Z25" s="58"/>
      <c r="AA25" s="58"/>
    </row>
    <row r="26" spans="2:29" x14ac:dyDescent="0.2">
      <c r="C26" s="1"/>
      <c r="D26" s="1"/>
      <c r="E26" s="1"/>
      <c r="K26" s="1"/>
      <c r="L26" s="1"/>
      <c r="M26" s="1"/>
      <c r="Q26" s="59"/>
      <c r="R26" s="58"/>
      <c r="S26" s="58"/>
      <c r="T26" s="58"/>
      <c r="X26" s="59"/>
      <c r="Y26" s="58"/>
      <c r="Z26" s="58"/>
      <c r="AA26" s="58"/>
    </row>
    <row r="27" spans="2:29" x14ac:dyDescent="0.2">
      <c r="B27" s="858" t="s">
        <v>316</v>
      </c>
      <c r="C27" s="859"/>
      <c r="D27" s="859"/>
      <c r="E27" s="859"/>
      <c r="F27" s="859"/>
      <c r="G27" s="860"/>
      <c r="J27" s="858" t="s">
        <v>327</v>
      </c>
      <c r="K27" s="859"/>
      <c r="L27" s="859"/>
      <c r="M27" s="859"/>
      <c r="N27" s="859"/>
      <c r="O27" s="860"/>
      <c r="Q27" s="858" t="s">
        <v>364</v>
      </c>
      <c r="R27" s="859"/>
      <c r="S27" s="859"/>
      <c r="T27" s="859"/>
      <c r="U27" s="860"/>
      <c r="V27" s="872" t="s">
        <v>16</v>
      </c>
      <c r="X27" s="858" t="s">
        <v>345</v>
      </c>
      <c r="Y27" s="859"/>
      <c r="Z27" s="859"/>
      <c r="AA27" s="859"/>
      <c r="AB27" s="860"/>
      <c r="AC27" s="872" t="s">
        <v>16</v>
      </c>
    </row>
    <row r="28" spans="2:29" x14ac:dyDescent="0.2">
      <c r="B28" s="9" t="s">
        <v>6</v>
      </c>
      <c r="C28" s="3" t="s">
        <v>9</v>
      </c>
      <c r="D28" s="10" t="s">
        <v>106</v>
      </c>
      <c r="E28" s="10" t="s">
        <v>10</v>
      </c>
      <c r="F28" s="10" t="s">
        <v>11</v>
      </c>
      <c r="G28" s="39" t="s">
        <v>16</v>
      </c>
      <c r="J28" s="9" t="s">
        <v>6</v>
      </c>
      <c r="K28" s="3" t="s">
        <v>9</v>
      </c>
      <c r="L28" s="10" t="s">
        <v>106</v>
      </c>
      <c r="M28" s="10" t="s">
        <v>10</v>
      </c>
      <c r="N28" s="10" t="s">
        <v>11</v>
      </c>
      <c r="O28" s="39" t="s">
        <v>16</v>
      </c>
      <c r="Q28" s="9" t="s">
        <v>6</v>
      </c>
      <c r="R28" s="3" t="s">
        <v>9</v>
      </c>
      <c r="S28" s="10" t="s">
        <v>106</v>
      </c>
      <c r="T28" s="10" t="s">
        <v>10</v>
      </c>
      <c r="U28" s="10" t="s">
        <v>11</v>
      </c>
      <c r="V28" s="873"/>
      <c r="X28" s="9" t="s">
        <v>6</v>
      </c>
      <c r="Y28" s="3" t="s">
        <v>9</v>
      </c>
      <c r="Z28" s="10" t="s">
        <v>106</v>
      </c>
      <c r="AA28" s="10" t="s">
        <v>10</v>
      </c>
      <c r="AB28" s="10" t="s">
        <v>11</v>
      </c>
      <c r="AC28" s="873"/>
    </row>
    <row r="29" spans="2:29" x14ac:dyDescent="0.2">
      <c r="B29" s="18" t="s">
        <v>354</v>
      </c>
      <c r="C29" s="20">
        <v>9000</v>
      </c>
      <c r="D29" s="20">
        <v>9000</v>
      </c>
      <c r="E29" s="21">
        <v>9000</v>
      </c>
      <c r="F29" s="21">
        <v>9000</v>
      </c>
      <c r="G29" s="38">
        <f>+SUM(C29:F29)</f>
        <v>36000</v>
      </c>
      <c r="H29" s="1"/>
      <c r="J29" s="18" t="s">
        <v>332</v>
      </c>
      <c r="K29" s="20">
        <f>SUM('Matière 1é &amp; fourni Elevage'!L52)</f>
        <v>30</v>
      </c>
      <c r="L29" s="20">
        <f>SUM('Matière 1é &amp; fourni Elevage'!M52)</f>
        <v>30</v>
      </c>
      <c r="M29" s="21">
        <v>30</v>
      </c>
      <c r="N29" s="21">
        <f>SUM('Matière 1é &amp; fourni Elevage'!O52)</f>
        <v>30</v>
      </c>
      <c r="O29" s="38">
        <f>+SUM(K29:N29)</f>
        <v>120</v>
      </c>
      <c r="Q29" s="18" t="s">
        <v>368</v>
      </c>
      <c r="R29" s="20">
        <v>90000</v>
      </c>
      <c r="S29" s="20">
        <v>90000</v>
      </c>
      <c r="T29" s="20">
        <v>90000</v>
      </c>
      <c r="U29" s="20">
        <v>90000</v>
      </c>
      <c r="V29" s="38">
        <f>+SUM(R29:U29)</f>
        <v>360000</v>
      </c>
      <c r="X29" s="18" t="s">
        <v>382</v>
      </c>
      <c r="Y29" s="20">
        <v>1500</v>
      </c>
      <c r="Z29" s="20">
        <v>1500</v>
      </c>
      <c r="AA29" s="20">
        <v>1500</v>
      </c>
      <c r="AB29" s="20">
        <v>1500</v>
      </c>
      <c r="AC29" s="38">
        <f>+SUM(Y29:AB29)</f>
        <v>6000</v>
      </c>
    </row>
    <row r="30" spans="2:29" x14ac:dyDescent="0.2">
      <c r="B30" s="11" t="s">
        <v>19</v>
      </c>
      <c r="C30" s="22">
        <v>350</v>
      </c>
      <c r="D30" s="22">
        <f>SUM(C30)</f>
        <v>350</v>
      </c>
      <c r="E30" s="22">
        <f>SUM(C30)</f>
        <v>350</v>
      </c>
      <c r="F30" s="22">
        <f>SUM(C30)</f>
        <v>350</v>
      </c>
      <c r="G30" s="14"/>
      <c r="J30" s="11" t="s">
        <v>19</v>
      </c>
      <c r="K30" s="22">
        <f>SUM('Matière 1é &amp; fourni Elevage'!P68)*1.7</f>
        <v>410125</v>
      </c>
      <c r="L30" s="22">
        <f>SUM(K30)</f>
        <v>410125</v>
      </c>
      <c r="M30" s="22">
        <f>SUM(L30)</f>
        <v>410125</v>
      </c>
      <c r="N30" s="22">
        <f>SUM(M30)</f>
        <v>410125</v>
      </c>
      <c r="O30" s="14"/>
      <c r="Q30" s="11" t="s">
        <v>202</v>
      </c>
      <c r="R30" s="22">
        <v>75</v>
      </c>
      <c r="S30" s="22">
        <f>SUM(R30)</f>
        <v>75</v>
      </c>
      <c r="T30" s="22">
        <f>SUM(R30)</f>
        <v>75</v>
      </c>
      <c r="U30" s="22">
        <f>SUM(R30)</f>
        <v>75</v>
      </c>
      <c r="V30" s="14"/>
      <c r="X30" s="11" t="s">
        <v>383</v>
      </c>
      <c r="Y30" s="22">
        <v>4000</v>
      </c>
      <c r="Z30" s="22">
        <f>SUM(Y30)</f>
        <v>4000</v>
      </c>
      <c r="AA30" s="22">
        <f>SUM(Z30)</f>
        <v>4000</v>
      </c>
      <c r="AB30" s="22">
        <f>SUM(Y30)</f>
        <v>4000</v>
      </c>
      <c r="AC30" s="14"/>
    </row>
    <row r="31" spans="2:29" x14ac:dyDescent="0.2">
      <c r="B31" s="6" t="s">
        <v>7</v>
      </c>
      <c r="C31" s="24">
        <f>+C30*C29</f>
        <v>3150000</v>
      </c>
      <c r="D31" s="24">
        <f>+D30*D29</f>
        <v>3150000</v>
      </c>
      <c r="E31" s="25">
        <f>+E30*E29</f>
        <v>3150000</v>
      </c>
      <c r="F31" s="25">
        <f>+F30*F29</f>
        <v>3150000</v>
      </c>
      <c r="G31" s="14"/>
      <c r="J31" s="6" t="s">
        <v>7</v>
      </c>
      <c r="K31" s="24">
        <f>+K30*K29</f>
        <v>12303750</v>
      </c>
      <c r="L31" s="24">
        <f>+L30*L29</f>
        <v>12303750</v>
      </c>
      <c r="M31" s="25">
        <f>+M30*M29</f>
        <v>12303750</v>
      </c>
      <c r="N31" s="25">
        <f>+N30*N29</f>
        <v>12303750</v>
      </c>
      <c r="O31" s="14"/>
      <c r="Q31" s="6" t="s">
        <v>7</v>
      </c>
      <c r="R31" s="24">
        <f>+R30*R29</f>
        <v>6750000</v>
      </c>
      <c r="S31" s="24">
        <f>+S30*S29</f>
        <v>6750000</v>
      </c>
      <c r="T31" s="25">
        <f>+T30*T29</f>
        <v>6750000</v>
      </c>
      <c r="U31" s="25">
        <f>+U30*U29</f>
        <v>6750000</v>
      </c>
      <c r="V31" s="14"/>
      <c r="X31" s="6" t="s">
        <v>7</v>
      </c>
      <c r="Y31" s="24">
        <f>+Y30*Y29</f>
        <v>6000000</v>
      </c>
      <c r="Z31" s="24">
        <f>+Z30*Z29</f>
        <v>6000000</v>
      </c>
      <c r="AA31" s="25">
        <f>+AA30*AA29</f>
        <v>6000000</v>
      </c>
      <c r="AB31" s="25">
        <f>+AB30*AB29</f>
        <v>6000000</v>
      </c>
      <c r="AC31" s="14"/>
    </row>
    <row r="32" spans="2:29" x14ac:dyDescent="0.2">
      <c r="B32" s="16" t="s">
        <v>8</v>
      </c>
      <c r="C32" s="22">
        <f>+C31</f>
        <v>3150000</v>
      </c>
      <c r="D32" s="22">
        <f>+C32+D31</f>
        <v>6300000</v>
      </c>
      <c r="E32" s="23">
        <f>+D32+E31</f>
        <v>9450000</v>
      </c>
      <c r="F32" s="23">
        <f>+E32+F31</f>
        <v>12600000</v>
      </c>
      <c r="G32" s="14"/>
      <c r="J32" s="16" t="s">
        <v>8</v>
      </c>
      <c r="K32" s="22">
        <f>+K31</f>
        <v>12303750</v>
      </c>
      <c r="L32" s="22">
        <f>+K32+L31</f>
        <v>24607500</v>
      </c>
      <c r="M32" s="23">
        <f>+L32+M31</f>
        <v>36911250</v>
      </c>
      <c r="N32" s="23">
        <f>+M32+N31</f>
        <v>49215000</v>
      </c>
      <c r="O32" s="14"/>
      <c r="Q32" s="16" t="s">
        <v>8</v>
      </c>
      <c r="R32" s="22">
        <f>+R31</f>
        <v>6750000</v>
      </c>
      <c r="S32" s="22">
        <f>+R32+S31</f>
        <v>13500000</v>
      </c>
      <c r="T32" s="23">
        <f>+S32+T31</f>
        <v>20250000</v>
      </c>
      <c r="U32" s="23">
        <f>+T32+U31</f>
        <v>27000000</v>
      </c>
      <c r="V32" s="14"/>
      <c r="X32" s="16" t="s">
        <v>8</v>
      </c>
      <c r="Y32" s="22">
        <f>+Y31</f>
        <v>6000000</v>
      </c>
      <c r="Z32" s="22">
        <f>+Y32+Z31</f>
        <v>12000000</v>
      </c>
      <c r="AA32" s="23">
        <f>+Z32+AA31</f>
        <v>18000000</v>
      </c>
      <c r="AB32" s="23">
        <f>+AA32+AB31</f>
        <v>24000000</v>
      </c>
      <c r="AC32" s="14"/>
    </row>
    <row r="33" spans="2:29" x14ac:dyDescent="0.2">
      <c r="B33" s="7"/>
      <c r="C33" s="26"/>
      <c r="D33" s="26"/>
      <c r="E33" s="27"/>
      <c r="F33" s="27"/>
      <c r="G33" s="14"/>
      <c r="J33" s="7"/>
      <c r="K33" s="26"/>
      <c r="L33" s="26"/>
      <c r="M33" s="27"/>
      <c r="N33" s="27"/>
      <c r="O33" s="14"/>
      <c r="Q33" s="7"/>
      <c r="R33" s="26"/>
      <c r="S33" s="26"/>
      <c r="T33" s="27"/>
      <c r="U33" s="27"/>
      <c r="V33" s="14"/>
      <c r="X33" s="7"/>
      <c r="Y33" s="26"/>
      <c r="Z33" s="26"/>
      <c r="AA33" s="27"/>
      <c r="AB33" s="27"/>
      <c r="AC33" s="14"/>
    </row>
    <row r="34" spans="2:29" x14ac:dyDescent="0.2">
      <c r="B34" s="17" t="s">
        <v>819</v>
      </c>
      <c r="C34" s="26"/>
      <c r="D34" s="26"/>
      <c r="E34" s="27"/>
      <c r="F34" s="27"/>
      <c r="G34" s="14"/>
      <c r="J34" s="17" t="s">
        <v>360</v>
      </c>
      <c r="K34" s="26"/>
      <c r="L34" s="26"/>
      <c r="M34" s="27"/>
      <c r="N34" s="27"/>
      <c r="O34" s="14"/>
      <c r="Q34" s="17" t="s">
        <v>821</v>
      </c>
      <c r="R34" s="26"/>
      <c r="S34" s="26"/>
      <c r="T34" s="27"/>
      <c r="U34" s="27"/>
      <c r="V34" s="14"/>
      <c r="X34" s="17" t="s">
        <v>381</v>
      </c>
      <c r="Y34" s="26"/>
      <c r="Z34" s="26"/>
      <c r="AA34" s="27"/>
      <c r="AB34" s="27"/>
      <c r="AC34" s="14"/>
    </row>
    <row r="35" spans="2:29" x14ac:dyDescent="0.2">
      <c r="B35" s="11" t="s">
        <v>1</v>
      </c>
      <c r="C35" s="22"/>
      <c r="D35" s="22"/>
      <c r="E35" s="23">
        <v>0</v>
      </c>
      <c r="F35" s="23">
        <v>0</v>
      </c>
      <c r="G35" s="38">
        <f>+SUM(C35:F35)</f>
        <v>0</v>
      </c>
      <c r="J35" s="11" t="s">
        <v>1</v>
      </c>
      <c r="K35" s="22"/>
      <c r="L35" s="22"/>
      <c r="M35" s="23">
        <v>0</v>
      </c>
      <c r="N35" s="23">
        <v>0</v>
      </c>
      <c r="O35" s="38">
        <f>+SUM(K35:N35)</f>
        <v>0</v>
      </c>
      <c r="Q35" s="11" t="s">
        <v>372</v>
      </c>
      <c r="R35" s="22"/>
      <c r="S35" s="22">
        <v>0</v>
      </c>
      <c r="T35" s="23"/>
      <c r="U35" s="23">
        <v>0</v>
      </c>
      <c r="V35" s="38">
        <f>+SUM(R35:U35)</f>
        <v>0</v>
      </c>
      <c r="X35" s="11" t="s">
        <v>385</v>
      </c>
      <c r="Y35" s="22">
        <v>500</v>
      </c>
      <c r="Z35" s="22">
        <v>500</v>
      </c>
      <c r="AA35" s="23">
        <v>500</v>
      </c>
      <c r="AB35" s="23">
        <v>500</v>
      </c>
      <c r="AC35" s="38">
        <f>+SUM(Y35:AB35)</f>
        <v>2000</v>
      </c>
    </row>
    <row r="36" spans="2:29" x14ac:dyDescent="0.2">
      <c r="B36" s="7" t="s">
        <v>19</v>
      </c>
      <c r="C36" s="24">
        <f>SUM(C13)</f>
        <v>1200000</v>
      </c>
      <c r="D36" s="24">
        <f>+C36</f>
        <v>1200000</v>
      </c>
      <c r="E36" s="24">
        <f>+D36</f>
        <v>1200000</v>
      </c>
      <c r="F36" s="24">
        <f>+E36</f>
        <v>1200000</v>
      </c>
      <c r="G36" s="14"/>
      <c r="J36" s="7" t="s">
        <v>19</v>
      </c>
      <c r="K36" s="24"/>
      <c r="L36" s="24"/>
      <c r="M36" s="24"/>
      <c r="N36" s="24"/>
      <c r="O36" s="14"/>
      <c r="Q36" s="7" t="s">
        <v>383</v>
      </c>
      <c r="R36" s="24"/>
      <c r="S36" s="24">
        <v>0</v>
      </c>
      <c r="T36" s="25"/>
      <c r="U36" s="25">
        <v>0</v>
      </c>
      <c r="V36" s="14"/>
      <c r="X36" s="7" t="s">
        <v>817</v>
      </c>
      <c r="Y36" s="24">
        <v>5000</v>
      </c>
      <c r="Z36" s="24">
        <v>5000</v>
      </c>
      <c r="AA36" s="24">
        <v>5000</v>
      </c>
      <c r="AB36" s="24">
        <v>5000</v>
      </c>
      <c r="AC36" s="14"/>
    </row>
    <row r="37" spans="2:29" x14ac:dyDescent="0.2">
      <c r="B37" s="15" t="s">
        <v>7</v>
      </c>
      <c r="C37" s="22">
        <f>+C36*C35</f>
        <v>0</v>
      </c>
      <c r="D37" s="22">
        <f>+D36*D35</f>
        <v>0</v>
      </c>
      <c r="E37" s="23">
        <f>+E36*E35</f>
        <v>0</v>
      </c>
      <c r="F37" s="23">
        <f>+F36*F35</f>
        <v>0</v>
      </c>
      <c r="G37" s="14"/>
      <c r="J37" s="15" t="s">
        <v>7</v>
      </c>
      <c r="K37" s="22"/>
      <c r="L37" s="22"/>
      <c r="M37" s="23"/>
      <c r="N37" s="23"/>
      <c r="O37" s="14"/>
      <c r="Q37" s="15" t="s">
        <v>7</v>
      </c>
      <c r="R37" s="22"/>
      <c r="S37" s="22">
        <f>+S36*S35</f>
        <v>0</v>
      </c>
      <c r="T37" s="23">
        <f>+T36*T35</f>
        <v>0</v>
      </c>
      <c r="U37" s="23">
        <f>+U36*U35</f>
        <v>0</v>
      </c>
      <c r="V37" s="14"/>
      <c r="X37" s="15" t="s">
        <v>7</v>
      </c>
      <c r="Y37" s="22">
        <f>SUM(Y35*Y36)</f>
        <v>2500000</v>
      </c>
      <c r="Z37" s="22">
        <f>+Z36*Z35</f>
        <v>2500000</v>
      </c>
      <c r="AA37" s="23">
        <f>+AA36*AA35</f>
        <v>2500000</v>
      </c>
      <c r="AB37" s="23">
        <f>+AB36*AB35</f>
        <v>2500000</v>
      </c>
      <c r="AC37" s="14"/>
    </row>
    <row r="38" spans="2:29" x14ac:dyDescent="0.2">
      <c r="B38" s="12" t="s">
        <v>8</v>
      </c>
      <c r="C38" s="28">
        <f>+C37</f>
        <v>0</v>
      </c>
      <c r="D38" s="28">
        <f>+C38+D37</f>
        <v>0</v>
      </c>
      <c r="E38" s="29">
        <f>+D38+E37</f>
        <v>0</v>
      </c>
      <c r="F38" s="29">
        <f>+E38+F37</f>
        <v>0</v>
      </c>
      <c r="G38" s="14"/>
      <c r="J38" s="12" t="s">
        <v>8</v>
      </c>
      <c r="K38" s="28"/>
      <c r="L38" s="28"/>
      <c r="M38" s="29"/>
      <c r="N38" s="29"/>
      <c r="O38" s="14"/>
      <c r="Q38" s="12" t="s">
        <v>8</v>
      </c>
      <c r="R38" s="28">
        <f>+R37</f>
        <v>0</v>
      </c>
      <c r="S38" s="28">
        <f>+R38+S37</f>
        <v>0</v>
      </c>
      <c r="T38" s="29">
        <f>+S38+T37</f>
        <v>0</v>
      </c>
      <c r="U38" s="29">
        <f>+T38+U37</f>
        <v>0</v>
      </c>
      <c r="V38" s="14"/>
      <c r="X38" s="12" t="s">
        <v>8</v>
      </c>
      <c r="Y38" s="28">
        <f>+Y37</f>
        <v>2500000</v>
      </c>
      <c r="Z38" s="28">
        <f>+Y38+Z37</f>
        <v>5000000</v>
      </c>
      <c r="AA38" s="29">
        <f>+Z38+AA37</f>
        <v>7500000</v>
      </c>
      <c r="AB38" s="29">
        <f>+AA38+AB37</f>
        <v>10000000</v>
      </c>
      <c r="AC38" s="14"/>
    </row>
    <row r="39" spans="2:29" x14ac:dyDescent="0.2">
      <c r="B39" s="7"/>
      <c r="C39" s="26"/>
      <c r="D39" s="26"/>
      <c r="E39" s="27"/>
      <c r="F39" s="27"/>
      <c r="G39" s="14"/>
      <c r="J39" s="7"/>
      <c r="K39" s="26"/>
      <c r="L39" s="26"/>
      <c r="M39" s="27"/>
      <c r="N39" s="27"/>
      <c r="O39" s="14"/>
      <c r="Q39" s="8"/>
      <c r="R39" s="34"/>
      <c r="S39" s="34"/>
      <c r="T39" s="35"/>
      <c r="U39" s="35"/>
      <c r="V39" s="14"/>
      <c r="X39" s="8"/>
      <c r="Y39" s="34"/>
      <c r="Z39" s="34"/>
      <c r="AA39" s="35"/>
      <c r="AB39" s="35"/>
      <c r="AC39" s="14"/>
    </row>
    <row r="40" spans="2:29" x14ac:dyDescent="0.2">
      <c r="B40" s="17" t="s">
        <v>820</v>
      </c>
      <c r="C40" s="26"/>
      <c r="D40" s="26"/>
      <c r="E40" s="27"/>
      <c r="F40" s="27"/>
      <c r="G40" s="14"/>
      <c r="J40" s="17" t="s">
        <v>360</v>
      </c>
      <c r="K40" s="26"/>
      <c r="L40" s="26"/>
      <c r="M40" s="27"/>
      <c r="N40" s="27"/>
      <c r="O40" s="14"/>
      <c r="Q40" s="13" t="s">
        <v>15</v>
      </c>
      <c r="R40" s="36">
        <f>SUM(R31)+R37</f>
        <v>6750000</v>
      </c>
      <c r="S40" s="36">
        <f>+S37+S31</f>
        <v>6750000</v>
      </c>
      <c r="T40" s="36">
        <f>+T37+T31</f>
        <v>6750000</v>
      </c>
      <c r="U40" s="36">
        <f>+U37+U31</f>
        <v>6750000</v>
      </c>
      <c r="V40" s="62">
        <f>+SUM(V29:V39)</f>
        <v>360000</v>
      </c>
      <c r="X40" s="13" t="s">
        <v>15</v>
      </c>
      <c r="Y40" s="36">
        <f>SUM(Y31)+Y37</f>
        <v>8500000</v>
      </c>
      <c r="Z40" s="36">
        <f>+Z37+Z31</f>
        <v>8500000</v>
      </c>
      <c r="AA40" s="36">
        <f>+AA37+AA31</f>
        <v>8500000</v>
      </c>
      <c r="AB40" s="36">
        <f>+AB37+AB31</f>
        <v>8500000</v>
      </c>
      <c r="AC40" s="62">
        <f>+SUM(AC29:AC39)</f>
        <v>8000</v>
      </c>
    </row>
    <row r="41" spans="2:29" x14ac:dyDescent="0.2">
      <c r="B41" s="11" t="s">
        <v>1</v>
      </c>
      <c r="C41" s="22"/>
      <c r="D41" s="22"/>
      <c r="E41" s="23">
        <v>0</v>
      </c>
      <c r="F41" s="23">
        <v>0</v>
      </c>
      <c r="G41" s="38">
        <f>+SUM(C41:F41)</f>
        <v>0</v>
      </c>
      <c r="J41" s="11" t="s">
        <v>1</v>
      </c>
      <c r="K41" s="22"/>
      <c r="L41" s="22"/>
      <c r="M41" s="23"/>
      <c r="N41" s="23"/>
      <c r="O41" s="38">
        <f>+SUM(K41:N41)</f>
        <v>0</v>
      </c>
      <c r="Q41" s="299" t="s">
        <v>733</v>
      </c>
      <c r="R41" s="300">
        <f>+R40</f>
        <v>6750000</v>
      </c>
      <c r="S41" s="300">
        <f>+R41+S40</f>
        <v>13500000</v>
      </c>
      <c r="T41" s="300">
        <f>+S41+T40</f>
        <v>20250000</v>
      </c>
      <c r="U41" s="300">
        <f>+T41+U40</f>
        <v>27000000</v>
      </c>
      <c r="V41" s="311"/>
      <c r="W41" s="301"/>
      <c r="X41" s="299" t="s">
        <v>733</v>
      </c>
      <c r="Y41" s="300">
        <f>+Y40</f>
        <v>8500000</v>
      </c>
      <c r="Z41" s="300">
        <f>+Y41+Z40</f>
        <v>17000000</v>
      </c>
      <c r="AA41" s="300">
        <f>+Z41+AA40</f>
        <v>25500000</v>
      </c>
      <c r="AB41" s="300">
        <f>+AA41+AB40</f>
        <v>34000000</v>
      </c>
      <c r="AC41" s="63"/>
    </row>
    <row r="42" spans="2:29" x14ac:dyDescent="0.2">
      <c r="B42" s="7" t="s">
        <v>19</v>
      </c>
      <c r="C42" s="24">
        <f>SUM(C19)</f>
        <v>800000</v>
      </c>
      <c r="D42" s="24">
        <f>SUM(C42)</f>
        <v>800000</v>
      </c>
      <c r="E42" s="25">
        <f>SUM(D42)</f>
        <v>800000</v>
      </c>
      <c r="F42" s="25">
        <f>SUM(E42)</f>
        <v>800000</v>
      </c>
      <c r="G42" s="14"/>
      <c r="J42" s="7" t="s">
        <v>19</v>
      </c>
      <c r="K42" s="24"/>
      <c r="L42" s="24"/>
      <c r="M42" s="25"/>
      <c r="N42" s="25"/>
      <c r="O42" s="14"/>
      <c r="Q42" s="199"/>
      <c r="R42" s="104"/>
      <c r="S42" s="104"/>
      <c r="T42" s="104"/>
      <c r="U42" s="104"/>
      <c r="V42" s="211"/>
      <c r="X42" s="199"/>
      <c r="Y42" s="104"/>
      <c r="Z42" s="104"/>
      <c r="AA42" s="104"/>
      <c r="AB42" s="104"/>
      <c r="AC42" s="211"/>
    </row>
    <row r="43" spans="2:29" x14ac:dyDescent="0.2">
      <c r="B43" s="15" t="s">
        <v>7</v>
      </c>
      <c r="C43" s="22">
        <f>+C42*C41</f>
        <v>0</v>
      </c>
      <c r="D43" s="22">
        <f>+D42*D41</f>
        <v>0</v>
      </c>
      <c r="E43" s="23">
        <f>+E42*E41</f>
        <v>0</v>
      </c>
      <c r="F43" s="23">
        <f>+F42*F41</f>
        <v>0</v>
      </c>
      <c r="G43" s="14"/>
      <c r="J43" s="15" t="s">
        <v>7</v>
      </c>
      <c r="K43" s="22"/>
      <c r="L43" s="22"/>
      <c r="M43" s="23"/>
      <c r="N43" s="23"/>
      <c r="O43" s="14"/>
      <c r="Q43" s="199"/>
      <c r="R43" s="104"/>
      <c r="S43" s="104"/>
      <c r="T43" s="104"/>
      <c r="U43" s="104"/>
      <c r="V43" s="211"/>
      <c r="X43" s="199"/>
      <c r="Y43" s="104"/>
      <c r="Z43" s="104"/>
      <c r="AA43" s="104"/>
      <c r="AB43" s="104"/>
      <c r="AC43" s="211"/>
    </row>
    <row r="44" spans="2:29" x14ac:dyDescent="0.2">
      <c r="B44" s="12" t="s">
        <v>8</v>
      </c>
      <c r="C44" s="24">
        <f>+C43</f>
        <v>0</v>
      </c>
      <c r="D44" s="24">
        <f>+C44+D43</f>
        <v>0</v>
      </c>
      <c r="E44" s="25">
        <f>+D44+E43</f>
        <v>0</v>
      </c>
      <c r="F44" s="25">
        <f>+E44+F43</f>
        <v>0</v>
      </c>
      <c r="G44" s="14"/>
      <c r="J44" s="12" t="s">
        <v>8</v>
      </c>
      <c r="K44" s="24"/>
      <c r="L44" s="24"/>
      <c r="M44" s="25"/>
      <c r="N44" s="25"/>
      <c r="O44" s="14"/>
      <c r="Q44" s="199"/>
      <c r="R44" s="104"/>
      <c r="S44" s="104"/>
      <c r="T44" s="104"/>
      <c r="U44" s="104"/>
      <c r="V44" s="211"/>
      <c r="X44" s="199"/>
      <c r="Y44" s="104"/>
      <c r="Z44" s="104"/>
      <c r="AA44" s="104"/>
      <c r="AB44" s="104"/>
      <c r="AC44" s="211"/>
    </row>
    <row r="45" spans="2:29" x14ac:dyDescent="0.2">
      <c r="B45" s="8"/>
      <c r="C45" s="34"/>
      <c r="D45" s="34"/>
      <c r="E45" s="35"/>
      <c r="F45" s="35"/>
      <c r="G45" s="14"/>
      <c r="J45" s="8"/>
      <c r="K45" s="34"/>
      <c r="L45" s="34"/>
      <c r="M45" s="35"/>
      <c r="N45" s="35"/>
      <c r="O45" s="14"/>
      <c r="Q45" s="199"/>
      <c r="R45" s="104"/>
      <c r="S45" s="104"/>
      <c r="T45" s="104"/>
      <c r="U45" s="104"/>
      <c r="V45" s="211"/>
      <c r="X45" s="199"/>
      <c r="Y45" s="104"/>
      <c r="Z45" s="104"/>
      <c r="AA45" s="104"/>
      <c r="AB45" s="104"/>
      <c r="AC45" s="211"/>
    </row>
    <row r="46" spans="2:29" x14ac:dyDescent="0.2">
      <c r="B46" s="13" t="s">
        <v>15</v>
      </c>
      <c r="C46" s="36">
        <f>+C31+C37+C43</f>
        <v>3150000</v>
      </c>
      <c r="D46" s="36">
        <f>+D43+D37+D31</f>
        <v>3150000</v>
      </c>
      <c r="E46" s="36">
        <f>+E43+E37+E31</f>
        <v>3150000</v>
      </c>
      <c r="F46" s="36">
        <f>+F43+F37+F31</f>
        <v>3150000</v>
      </c>
      <c r="G46" s="853">
        <f>+SUM(G29:G45)</f>
        <v>36000</v>
      </c>
      <c r="J46" s="13" t="s">
        <v>15</v>
      </c>
      <c r="K46" s="36">
        <f>+K31+K37+K43</f>
        <v>12303750</v>
      </c>
      <c r="L46" s="36">
        <f>+L43+L37+L31</f>
        <v>12303750</v>
      </c>
      <c r="M46" s="36">
        <f>+M43+M37+M31</f>
        <v>12303750</v>
      </c>
      <c r="N46" s="36">
        <f>+N43+N37+N31</f>
        <v>12303750</v>
      </c>
      <c r="O46" s="853">
        <f>+SUM(O29:O45)</f>
        <v>120</v>
      </c>
      <c r="Q46" s="199"/>
      <c r="R46" s="104"/>
      <c r="S46" s="104"/>
      <c r="T46" s="104"/>
      <c r="U46" s="104"/>
      <c r="V46" s="211"/>
      <c r="X46" s="199"/>
      <c r="Y46" s="104"/>
      <c r="Z46" s="104"/>
      <c r="AA46" s="104"/>
      <c r="AB46" s="104"/>
      <c r="AC46" s="211"/>
    </row>
    <row r="47" spans="2:29" x14ac:dyDescent="0.2">
      <c r="B47" s="299" t="s">
        <v>733</v>
      </c>
      <c r="C47" s="300">
        <f>+C46</f>
        <v>3150000</v>
      </c>
      <c r="D47" s="300">
        <f>+C47+D46</f>
        <v>6300000</v>
      </c>
      <c r="E47" s="300">
        <f>+D47+E46</f>
        <v>9450000</v>
      </c>
      <c r="F47" s="300">
        <f>+E47+F46</f>
        <v>12600000</v>
      </c>
      <c r="G47" s="854"/>
      <c r="J47" s="299" t="s">
        <v>733</v>
      </c>
      <c r="K47" s="300">
        <f>+K46</f>
        <v>12303750</v>
      </c>
      <c r="L47" s="300">
        <f>+K47+L46</f>
        <v>24607500</v>
      </c>
      <c r="M47" s="300">
        <f>+L47+M46</f>
        <v>36911250</v>
      </c>
      <c r="N47" s="300">
        <f>+M47+N46</f>
        <v>49215000</v>
      </c>
      <c r="O47" s="854"/>
      <c r="Q47" s="199"/>
      <c r="R47" s="104"/>
      <c r="S47" s="104"/>
      <c r="T47" s="104"/>
      <c r="U47" s="104"/>
      <c r="V47" s="211"/>
      <c r="X47" s="199"/>
      <c r="Y47" s="104"/>
      <c r="Z47" s="104"/>
      <c r="AA47" s="104"/>
      <c r="AB47" s="104"/>
      <c r="AC47" s="211"/>
    </row>
    <row r="50" spans="2:29" x14ac:dyDescent="0.2">
      <c r="C50" s="1"/>
      <c r="D50" s="1"/>
      <c r="E50" s="1"/>
      <c r="K50" s="1"/>
      <c r="L50" s="1"/>
      <c r="M50" s="1"/>
      <c r="Q50" s="59"/>
      <c r="R50" s="58"/>
      <c r="S50" s="58"/>
      <c r="T50" s="61"/>
      <c r="U50" s="61"/>
      <c r="X50" s="59"/>
      <c r="Y50" s="58"/>
      <c r="Z50" s="58"/>
      <c r="AA50" s="61"/>
      <c r="AB50" s="61"/>
    </row>
    <row r="51" spans="2:29" x14ac:dyDescent="0.2">
      <c r="B51" s="858" t="s">
        <v>317</v>
      </c>
      <c r="C51" s="859"/>
      <c r="D51" s="859"/>
      <c r="E51" s="859"/>
      <c r="F51" s="859"/>
      <c r="G51" s="860"/>
      <c r="J51" s="858" t="s">
        <v>328</v>
      </c>
      <c r="K51" s="859"/>
      <c r="L51" s="859"/>
      <c r="M51" s="859"/>
      <c r="N51" s="859"/>
      <c r="O51" s="860"/>
      <c r="Q51" s="858" t="s">
        <v>365</v>
      </c>
      <c r="R51" s="859"/>
      <c r="S51" s="859"/>
      <c r="T51" s="859"/>
      <c r="U51" s="860"/>
      <c r="V51" s="872" t="s">
        <v>16</v>
      </c>
      <c r="X51" s="858" t="s">
        <v>345</v>
      </c>
      <c r="Y51" s="859"/>
      <c r="Z51" s="859"/>
      <c r="AA51" s="859"/>
      <c r="AB51" s="860"/>
      <c r="AC51" s="872" t="s">
        <v>16</v>
      </c>
    </row>
    <row r="52" spans="2:29" x14ac:dyDescent="0.2">
      <c r="B52" s="9" t="s">
        <v>6</v>
      </c>
      <c r="C52" s="3" t="s">
        <v>9</v>
      </c>
      <c r="D52" s="10" t="s">
        <v>106</v>
      </c>
      <c r="E52" s="10" t="s">
        <v>10</v>
      </c>
      <c r="F52" s="10" t="s">
        <v>11</v>
      </c>
      <c r="G52" s="39" t="s">
        <v>16</v>
      </c>
      <c r="J52" s="9" t="s">
        <v>6</v>
      </c>
      <c r="K52" s="3" t="s">
        <v>9</v>
      </c>
      <c r="L52" s="10" t="s">
        <v>106</v>
      </c>
      <c r="M52" s="10" t="s">
        <v>10</v>
      </c>
      <c r="N52" s="10" t="s">
        <v>11</v>
      </c>
      <c r="O52" s="39" t="s">
        <v>16</v>
      </c>
      <c r="Q52" s="9" t="s">
        <v>6</v>
      </c>
      <c r="R52" s="3" t="s">
        <v>9</v>
      </c>
      <c r="S52" s="10" t="s">
        <v>106</v>
      </c>
      <c r="T52" s="10" t="s">
        <v>10</v>
      </c>
      <c r="U52" s="10" t="s">
        <v>11</v>
      </c>
      <c r="V52" s="873"/>
      <c r="X52" s="9" t="s">
        <v>6</v>
      </c>
      <c r="Y52" s="3" t="s">
        <v>9</v>
      </c>
      <c r="Z52" s="10" t="s">
        <v>106</v>
      </c>
      <c r="AA52" s="10" t="s">
        <v>10</v>
      </c>
      <c r="AB52" s="10" t="s">
        <v>11</v>
      </c>
      <c r="AC52" s="873"/>
    </row>
    <row r="53" spans="2:29" x14ac:dyDescent="0.2">
      <c r="B53" s="18" t="s">
        <v>354</v>
      </c>
      <c r="C53" s="20">
        <v>9000</v>
      </c>
      <c r="D53" s="20">
        <v>9000</v>
      </c>
      <c r="E53" s="21">
        <v>9000</v>
      </c>
      <c r="F53" s="21">
        <v>9000</v>
      </c>
      <c r="G53" s="38">
        <f>+SUM(C53:F53)</f>
        <v>36000</v>
      </c>
      <c r="J53" s="18" t="s">
        <v>12</v>
      </c>
      <c r="K53" s="20">
        <f>SUM('Matière 1é &amp; fourni Elevage'!L75)</f>
        <v>30</v>
      </c>
      <c r="L53" s="20">
        <f>SUM('Matière 1é &amp; fourni Elevage'!M75)</f>
        <v>30</v>
      </c>
      <c r="M53" s="21">
        <v>30</v>
      </c>
      <c r="N53" s="21">
        <f>SUM('Matière 1é &amp; fourni Elevage'!O75)</f>
        <v>30</v>
      </c>
      <c r="O53" s="38">
        <f>+SUM(K53:N53)</f>
        <v>120</v>
      </c>
      <c r="Q53" s="18" t="s">
        <v>368</v>
      </c>
      <c r="R53" s="20">
        <v>90000</v>
      </c>
      <c r="S53" s="20">
        <v>90000</v>
      </c>
      <c r="T53" s="20">
        <v>90000</v>
      </c>
      <c r="U53" s="20">
        <v>90000</v>
      </c>
      <c r="V53" s="38">
        <f>+SUM(R53:U53)</f>
        <v>360000</v>
      </c>
      <c r="X53" s="18" t="s">
        <v>382</v>
      </c>
      <c r="Y53" s="20">
        <v>1500</v>
      </c>
      <c r="Z53" s="20">
        <v>1500</v>
      </c>
      <c r="AA53" s="20">
        <v>1500</v>
      </c>
      <c r="AB53" s="20">
        <v>1500</v>
      </c>
      <c r="AC53" s="38">
        <f>+SUM(Y53:AB53)</f>
        <v>6000</v>
      </c>
    </row>
    <row r="54" spans="2:29" x14ac:dyDescent="0.2">
      <c r="B54" s="11" t="s">
        <v>19</v>
      </c>
      <c r="C54" s="22">
        <f>SUM(C30)*1.05</f>
        <v>367.5</v>
      </c>
      <c r="D54" s="22">
        <f>SUM(C54)</f>
        <v>367.5</v>
      </c>
      <c r="E54" s="22">
        <f>SUM(D54)</f>
        <v>367.5</v>
      </c>
      <c r="F54" s="22">
        <f>SUM(E54)</f>
        <v>367.5</v>
      </c>
      <c r="G54" s="14"/>
      <c r="J54" s="11" t="s">
        <v>19</v>
      </c>
      <c r="K54" s="22">
        <f>SUM('Matière 1é &amp; fourni Elevage'!P91)*1.7</f>
        <v>451137.5</v>
      </c>
      <c r="L54" s="22">
        <f>SUM(K54)</f>
        <v>451137.5</v>
      </c>
      <c r="M54" s="22">
        <f>SUM(L54)</f>
        <v>451137.5</v>
      </c>
      <c r="N54" s="22">
        <f>SUM(M54)</f>
        <v>451137.5</v>
      </c>
      <c r="O54" s="14"/>
      <c r="Q54" s="11" t="s">
        <v>19</v>
      </c>
      <c r="R54" s="22">
        <v>75</v>
      </c>
      <c r="S54" s="22">
        <f>SUM(R54)</f>
        <v>75</v>
      </c>
      <c r="T54" s="23">
        <f>SUM(S54)</f>
        <v>75</v>
      </c>
      <c r="U54" s="23">
        <f>SUM(R54)</f>
        <v>75</v>
      </c>
      <c r="V54" s="14"/>
      <c r="X54" s="11" t="s">
        <v>383</v>
      </c>
      <c r="Y54" s="22">
        <v>4000</v>
      </c>
      <c r="Z54" s="22">
        <f>SUM(Y54)</f>
        <v>4000</v>
      </c>
      <c r="AA54" s="22">
        <f>SUM(Z54)</f>
        <v>4000</v>
      </c>
      <c r="AB54" s="22">
        <f>SUM(Y54)</f>
        <v>4000</v>
      </c>
      <c r="AC54" s="14"/>
    </row>
    <row r="55" spans="2:29" x14ac:dyDescent="0.2">
      <c r="B55" s="6" t="s">
        <v>7</v>
      </c>
      <c r="C55" s="24">
        <f>+C54*C53</f>
        <v>3307500</v>
      </c>
      <c r="D55" s="24">
        <f>+D54*D53</f>
        <v>3307500</v>
      </c>
      <c r="E55" s="25">
        <f>+E54*E53</f>
        <v>3307500</v>
      </c>
      <c r="F55" s="25">
        <f>+F54*F53</f>
        <v>3307500</v>
      </c>
      <c r="G55" s="14"/>
      <c r="J55" s="6" t="s">
        <v>7</v>
      </c>
      <c r="K55" s="24">
        <f>+K54*K53</f>
        <v>13534125</v>
      </c>
      <c r="L55" s="24">
        <f>+L54*L53</f>
        <v>13534125</v>
      </c>
      <c r="M55" s="25">
        <f>+M54*M53</f>
        <v>13534125</v>
      </c>
      <c r="N55" s="25">
        <f>+N54*N53</f>
        <v>13534125</v>
      </c>
      <c r="O55" s="14"/>
      <c r="Q55" s="6" t="s">
        <v>7</v>
      </c>
      <c r="R55" s="24">
        <f>+R54*R53</f>
        <v>6750000</v>
      </c>
      <c r="S55" s="24">
        <f>+S54*S53</f>
        <v>6750000</v>
      </c>
      <c r="T55" s="25">
        <f>+T54*T53</f>
        <v>6750000</v>
      </c>
      <c r="U55" s="25">
        <f>+U54*U53</f>
        <v>6750000</v>
      </c>
      <c r="V55" s="14"/>
      <c r="X55" s="6" t="s">
        <v>7</v>
      </c>
      <c r="Y55" s="24">
        <f>+Y54*Y53</f>
        <v>6000000</v>
      </c>
      <c r="Z55" s="24">
        <f>+Z54*Z53</f>
        <v>6000000</v>
      </c>
      <c r="AA55" s="25">
        <f>+AA54*AA53</f>
        <v>6000000</v>
      </c>
      <c r="AB55" s="25">
        <f>+AB54*AB53</f>
        <v>6000000</v>
      </c>
      <c r="AC55" s="14"/>
    </row>
    <row r="56" spans="2:29" x14ac:dyDescent="0.2">
      <c r="B56" s="16" t="s">
        <v>8</v>
      </c>
      <c r="C56" s="22">
        <f>+C55</f>
        <v>3307500</v>
      </c>
      <c r="D56" s="22">
        <f>+C56+D55</f>
        <v>6615000</v>
      </c>
      <c r="E56" s="23">
        <f>+D56+E55</f>
        <v>9922500</v>
      </c>
      <c r="F56" s="23">
        <f>+E56+F55</f>
        <v>13230000</v>
      </c>
      <c r="G56" s="14"/>
      <c r="J56" s="16" t="s">
        <v>8</v>
      </c>
      <c r="K56" s="22">
        <f>+K55</f>
        <v>13534125</v>
      </c>
      <c r="L56" s="22">
        <f>+K56+L55</f>
        <v>27068250</v>
      </c>
      <c r="M56" s="23">
        <f>+L56+M55</f>
        <v>40602375</v>
      </c>
      <c r="N56" s="23">
        <f>+M56+N55</f>
        <v>54136500</v>
      </c>
      <c r="O56" s="14"/>
      <c r="Q56" s="16" t="s">
        <v>8</v>
      </c>
      <c r="R56" s="22">
        <f>+R55</f>
        <v>6750000</v>
      </c>
      <c r="S56" s="22">
        <f>+R56+S55</f>
        <v>13500000</v>
      </c>
      <c r="T56" s="23">
        <f>+S56+T55</f>
        <v>20250000</v>
      </c>
      <c r="U56" s="23">
        <f>+T56+U55</f>
        <v>27000000</v>
      </c>
      <c r="V56" s="14"/>
      <c r="X56" s="16" t="s">
        <v>8</v>
      </c>
      <c r="Y56" s="22">
        <f>+Y55</f>
        <v>6000000</v>
      </c>
      <c r="Z56" s="22">
        <f>+Y56+Z55</f>
        <v>12000000</v>
      </c>
      <c r="AA56" s="23">
        <f>+Z56+AA55</f>
        <v>18000000</v>
      </c>
      <c r="AB56" s="23">
        <f>+AA56+AB55</f>
        <v>24000000</v>
      </c>
      <c r="AC56" s="14"/>
    </row>
    <row r="57" spans="2:29" x14ac:dyDescent="0.2">
      <c r="B57" s="7"/>
      <c r="C57" s="26"/>
      <c r="D57" s="26"/>
      <c r="E57" s="27"/>
      <c r="F57" s="27"/>
      <c r="G57" s="14"/>
      <c r="J57" s="7"/>
      <c r="K57" s="26"/>
      <c r="L57" s="26"/>
      <c r="M57" s="27"/>
      <c r="N57" s="27"/>
      <c r="O57" s="14"/>
      <c r="Q57" s="7"/>
      <c r="R57" s="26"/>
      <c r="S57" s="26"/>
      <c r="T57" s="27"/>
      <c r="U57" s="27"/>
      <c r="V57" s="14"/>
      <c r="X57" s="7"/>
      <c r="Y57" s="26"/>
      <c r="Z57" s="26"/>
      <c r="AA57" s="27"/>
      <c r="AB57" s="27"/>
      <c r="AC57" s="14"/>
    </row>
    <row r="58" spans="2:29" x14ac:dyDescent="0.2">
      <c r="B58" s="17" t="s">
        <v>818</v>
      </c>
      <c r="C58" s="26"/>
      <c r="D58" s="26"/>
      <c r="E58" s="27"/>
      <c r="F58" s="27"/>
      <c r="G58" s="14"/>
      <c r="J58" s="17" t="s">
        <v>13</v>
      </c>
      <c r="K58" s="26"/>
      <c r="L58" s="26"/>
      <c r="M58" s="27"/>
      <c r="N58" s="27"/>
      <c r="O58" s="14"/>
      <c r="Q58" s="17" t="s">
        <v>821</v>
      </c>
      <c r="R58" s="26"/>
      <c r="S58" s="26"/>
      <c r="T58" s="27"/>
      <c r="U58" s="27"/>
      <c r="V58" s="14"/>
      <c r="X58" s="17" t="s">
        <v>381</v>
      </c>
      <c r="Y58" s="26"/>
      <c r="Z58" s="26"/>
      <c r="AA58" s="27"/>
      <c r="AB58" s="27"/>
      <c r="AC58" s="14"/>
    </row>
    <row r="59" spans="2:29" x14ac:dyDescent="0.2">
      <c r="B59" s="11" t="s">
        <v>1</v>
      </c>
      <c r="C59" s="22">
        <v>5</v>
      </c>
      <c r="D59" s="22">
        <v>5</v>
      </c>
      <c r="E59" s="23">
        <v>5</v>
      </c>
      <c r="F59" s="22"/>
      <c r="G59" s="38">
        <f>+SUM(C59:F59)</f>
        <v>15</v>
      </c>
      <c r="J59" s="11" t="s">
        <v>1</v>
      </c>
      <c r="K59" s="22"/>
      <c r="L59" s="22"/>
      <c r="M59" s="23">
        <v>0</v>
      </c>
      <c r="N59" s="22"/>
      <c r="O59" s="38">
        <f>+SUM(K59:N59)</f>
        <v>0</v>
      </c>
      <c r="Q59" s="11" t="s">
        <v>372</v>
      </c>
      <c r="R59" s="22">
        <v>500</v>
      </c>
      <c r="S59" s="22"/>
      <c r="T59" s="23">
        <v>500</v>
      </c>
      <c r="U59" s="23">
        <v>0</v>
      </c>
      <c r="V59" s="38">
        <f>+SUM(R59:U59)</f>
        <v>1000</v>
      </c>
      <c r="X59" s="11" t="s">
        <v>385</v>
      </c>
      <c r="Y59" s="22">
        <v>500</v>
      </c>
      <c r="Z59" s="22">
        <v>500</v>
      </c>
      <c r="AA59" s="23">
        <v>500</v>
      </c>
      <c r="AB59" s="23">
        <v>500</v>
      </c>
      <c r="AC59" s="38">
        <f>+SUM(Y59:AB59)</f>
        <v>2000</v>
      </c>
    </row>
    <row r="60" spans="2:29" x14ac:dyDescent="0.2">
      <c r="B60" s="7" t="s">
        <v>19</v>
      </c>
      <c r="C60" s="24">
        <f>SUM(C36)</f>
        <v>1200000</v>
      </c>
      <c r="D60" s="24">
        <f>+C60</f>
        <v>1200000</v>
      </c>
      <c r="E60" s="24">
        <f>+D60</f>
        <v>1200000</v>
      </c>
      <c r="F60" s="24">
        <f>+E60</f>
        <v>1200000</v>
      </c>
      <c r="G60" s="14"/>
      <c r="J60" s="7" t="s">
        <v>19</v>
      </c>
      <c r="K60" s="24"/>
      <c r="L60" s="24"/>
      <c r="M60" s="24"/>
      <c r="N60" s="24"/>
      <c r="O60" s="14"/>
      <c r="Q60" s="7" t="s">
        <v>383</v>
      </c>
      <c r="R60" s="24">
        <v>3000</v>
      </c>
      <c r="S60" s="24">
        <v>3000</v>
      </c>
      <c r="T60" s="24">
        <v>3000</v>
      </c>
      <c r="U60" s="24">
        <v>3000</v>
      </c>
      <c r="V60" s="14"/>
      <c r="X60" s="7" t="s">
        <v>817</v>
      </c>
      <c r="Y60" s="24">
        <v>5000</v>
      </c>
      <c r="Z60" s="24">
        <v>5000</v>
      </c>
      <c r="AA60" s="24">
        <v>5000</v>
      </c>
      <c r="AB60" s="24">
        <v>5000</v>
      </c>
      <c r="AC60" s="14"/>
    </row>
    <row r="61" spans="2:29" x14ac:dyDescent="0.2">
      <c r="B61" s="15" t="s">
        <v>7</v>
      </c>
      <c r="C61" s="22">
        <f>+C60*C59</f>
        <v>6000000</v>
      </c>
      <c r="D61" s="22">
        <f>+D60*D59</f>
        <v>6000000</v>
      </c>
      <c r="E61" s="23">
        <f>+E60*E59</f>
        <v>6000000</v>
      </c>
      <c r="F61" s="22">
        <f>+F60*F59</f>
        <v>0</v>
      </c>
      <c r="G61" s="14"/>
      <c r="J61" s="15" t="s">
        <v>7</v>
      </c>
      <c r="K61" s="22"/>
      <c r="L61" s="22"/>
      <c r="M61" s="23"/>
      <c r="N61" s="22"/>
      <c r="O61" s="14"/>
      <c r="Q61" s="15" t="s">
        <v>7</v>
      </c>
      <c r="R61" s="22">
        <f>+R60*R59</f>
        <v>1500000</v>
      </c>
      <c r="S61" s="22">
        <f>+S60*S59</f>
        <v>0</v>
      </c>
      <c r="T61" s="23">
        <f>+T60*T59</f>
        <v>1500000</v>
      </c>
      <c r="U61" s="23">
        <f>+U60*U59</f>
        <v>0</v>
      </c>
      <c r="V61" s="14"/>
      <c r="X61" s="15" t="s">
        <v>7</v>
      </c>
      <c r="Y61" s="22">
        <f>+Y60*Y59</f>
        <v>2500000</v>
      </c>
      <c r="Z61" s="22">
        <f>+Z60*Z59</f>
        <v>2500000</v>
      </c>
      <c r="AA61" s="23">
        <f>+AA60*AA59</f>
        <v>2500000</v>
      </c>
      <c r="AB61" s="23">
        <f>+AB60*AB59</f>
        <v>2500000</v>
      </c>
      <c r="AC61" s="14"/>
    </row>
    <row r="62" spans="2:29" x14ac:dyDescent="0.2">
      <c r="B62" s="12" t="s">
        <v>8</v>
      </c>
      <c r="C62" s="28">
        <f>+C61</f>
        <v>6000000</v>
      </c>
      <c r="D62" s="28">
        <f>+C62+D61</f>
        <v>12000000</v>
      </c>
      <c r="E62" s="29">
        <f>+D62+E61</f>
        <v>18000000</v>
      </c>
      <c r="F62" s="28">
        <f>+E62+F61</f>
        <v>18000000</v>
      </c>
      <c r="G62" s="14"/>
      <c r="J62" s="12" t="s">
        <v>8</v>
      </c>
      <c r="K62" s="28"/>
      <c r="L62" s="28"/>
      <c r="M62" s="29"/>
      <c r="N62" s="28"/>
      <c r="O62" s="14"/>
      <c r="Q62" s="12" t="s">
        <v>8</v>
      </c>
      <c r="R62" s="28">
        <f>+R61</f>
        <v>1500000</v>
      </c>
      <c r="S62" s="28">
        <f>+R62+S61</f>
        <v>1500000</v>
      </c>
      <c r="T62" s="29">
        <f>+S62+T61</f>
        <v>3000000</v>
      </c>
      <c r="U62" s="29">
        <f>+T62+U61</f>
        <v>3000000</v>
      </c>
      <c r="V62" s="14"/>
      <c r="X62" s="12" t="s">
        <v>8</v>
      </c>
      <c r="Y62" s="28">
        <f>+Y61</f>
        <v>2500000</v>
      </c>
      <c r="Z62" s="28">
        <f>+Y62+Z61</f>
        <v>5000000</v>
      </c>
      <c r="AA62" s="29">
        <f>+Z62+AA61</f>
        <v>7500000</v>
      </c>
      <c r="AB62" s="29">
        <f>+AA62+AB61</f>
        <v>10000000</v>
      </c>
      <c r="AC62" s="14"/>
    </row>
    <row r="63" spans="2:29" x14ac:dyDescent="0.2">
      <c r="B63" s="7"/>
      <c r="C63" s="26"/>
      <c r="D63" s="26"/>
      <c r="E63" s="27"/>
      <c r="F63" s="27"/>
      <c r="G63" s="14"/>
      <c r="J63" s="7"/>
      <c r="K63" s="26"/>
      <c r="L63" s="26"/>
      <c r="M63" s="27"/>
      <c r="N63" s="27"/>
      <c r="O63" s="14"/>
      <c r="Q63" s="8"/>
      <c r="R63" s="34"/>
      <c r="S63" s="34"/>
      <c r="T63" s="35"/>
      <c r="U63" s="35"/>
      <c r="V63" s="14"/>
      <c r="X63" s="8"/>
      <c r="Y63" s="34"/>
      <c r="Z63" s="34"/>
      <c r="AA63" s="35"/>
      <c r="AB63" s="35"/>
      <c r="AC63" s="14"/>
    </row>
    <row r="64" spans="2:29" x14ac:dyDescent="0.2">
      <c r="B64" s="17" t="s">
        <v>820</v>
      </c>
      <c r="C64" s="26"/>
      <c r="D64" s="26"/>
      <c r="E64" s="27"/>
      <c r="F64" s="27"/>
      <c r="G64" s="14"/>
      <c r="J64" s="17" t="s">
        <v>14</v>
      </c>
      <c r="K64" s="26"/>
      <c r="L64" s="26"/>
      <c r="M64" s="27"/>
      <c r="N64" s="27"/>
      <c r="O64" s="14"/>
      <c r="Q64" s="13" t="s">
        <v>15</v>
      </c>
      <c r="R64" s="36">
        <f>+R61+R55</f>
        <v>8250000</v>
      </c>
      <c r="S64" s="36">
        <f>+S61+S55</f>
        <v>6750000</v>
      </c>
      <c r="T64" s="36">
        <f>+T61+T55</f>
        <v>8250000</v>
      </c>
      <c r="U64" s="36">
        <f>+U61+U55</f>
        <v>6750000</v>
      </c>
      <c r="V64" s="62">
        <f>+SUM(V53:V63)</f>
        <v>361000</v>
      </c>
      <c r="X64" s="13" t="s">
        <v>15</v>
      </c>
      <c r="Y64" s="36">
        <f>+Y61+Y55</f>
        <v>8500000</v>
      </c>
      <c r="Z64" s="36">
        <f>+Z61+Z55</f>
        <v>8500000</v>
      </c>
      <c r="AA64" s="36">
        <f>+AA61+AA55</f>
        <v>8500000</v>
      </c>
      <c r="AB64" s="36">
        <f>+AB61+AB55</f>
        <v>8500000</v>
      </c>
      <c r="AC64" s="62">
        <f>+SUM(AC53:AC63)</f>
        <v>8000</v>
      </c>
    </row>
    <row r="65" spans="2:29" x14ac:dyDescent="0.2">
      <c r="B65" s="11" t="s">
        <v>1</v>
      </c>
      <c r="C65" s="22">
        <v>5</v>
      </c>
      <c r="D65" s="22">
        <v>5</v>
      </c>
      <c r="E65" s="23">
        <v>5</v>
      </c>
      <c r="F65" s="23">
        <v>0</v>
      </c>
      <c r="G65" s="38">
        <f>+SUM(C65:F65)</f>
        <v>15</v>
      </c>
      <c r="J65" s="11" t="s">
        <v>1</v>
      </c>
      <c r="K65" s="22"/>
      <c r="L65" s="22"/>
      <c r="M65" s="22"/>
      <c r="N65" s="22"/>
      <c r="O65" s="38">
        <f>+SUM(K65:N65)</f>
        <v>0</v>
      </c>
      <c r="Q65" s="299" t="s">
        <v>733</v>
      </c>
      <c r="R65" s="300">
        <f>+R64</f>
        <v>8250000</v>
      </c>
      <c r="S65" s="300">
        <f>+R65+S64</f>
        <v>15000000</v>
      </c>
      <c r="T65" s="300">
        <f>+S65+T64</f>
        <v>23250000</v>
      </c>
      <c r="U65" s="300">
        <f>+T65+U64</f>
        <v>30000000</v>
      </c>
      <c r="V65" s="311"/>
      <c r="W65" s="301"/>
      <c r="X65" s="299" t="s">
        <v>733</v>
      </c>
      <c r="Y65" s="300">
        <f>+Y64</f>
        <v>8500000</v>
      </c>
      <c r="Z65" s="300">
        <f>+Y65+Z64</f>
        <v>17000000</v>
      </c>
      <c r="AA65" s="300">
        <f>+Z65+AA64</f>
        <v>25500000</v>
      </c>
      <c r="AB65" s="300">
        <f>+AA65+AB64</f>
        <v>34000000</v>
      </c>
      <c r="AC65" s="63"/>
    </row>
    <row r="66" spans="2:29" x14ac:dyDescent="0.2">
      <c r="B66" s="7" t="s">
        <v>19</v>
      </c>
      <c r="C66" s="24">
        <f>SUM(C42)</f>
        <v>800000</v>
      </c>
      <c r="D66" s="24">
        <f>+C66</f>
        <v>800000</v>
      </c>
      <c r="E66" s="24">
        <f>+D66</f>
        <v>800000</v>
      </c>
      <c r="F66" s="24">
        <f>+E66</f>
        <v>800000</v>
      </c>
      <c r="G66" s="14"/>
      <c r="J66" s="7" t="s">
        <v>19</v>
      </c>
      <c r="K66" s="24"/>
      <c r="L66" s="24"/>
      <c r="M66" s="24"/>
      <c r="N66" s="24"/>
      <c r="O66" s="14"/>
    </row>
    <row r="67" spans="2:29" x14ac:dyDescent="0.2">
      <c r="B67" s="15" t="s">
        <v>7</v>
      </c>
      <c r="C67" s="22">
        <f>+C66*C65</f>
        <v>4000000</v>
      </c>
      <c r="D67" s="22">
        <f>+D66*D65</f>
        <v>4000000</v>
      </c>
      <c r="E67" s="23">
        <f>+E66*E65</f>
        <v>4000000</v>
      </c>
      <c r="F67" s="23">
        <f>+F66*F65</f>
        <v>0</v>
      </c>
      <c r="G67" s="14"/>
      <c r="J67" s="15" t="s">
        <v>7</v>
      </c>
      <c r="K67" s="22"/>
      <c r="L67" s="22"/>
      <c r="M67" s="23"/>
      <c r="N67" s="23"/>
      <c r="O67" s="14"/>
      <c r="Q67" s="199"/>
      <c r="R67" s="104"/>
      <c r="S67" s="104"/>
      <c r="T67" s="104"/>
      <c r="U67" s="104"/>
      <c r="V67" s="211"/>
      <c r="X67" s="199"/>
      <c r="Y67" s="104"/>
      <c r="Z67" s="104"/>
      <c r="AA67" s="104"/>
      <c r="AB67" s="104"/>
      <c r="AC67" s="211"/>
    </row>
    <row r="68" spans="2:29" x14ac:dyDescent="0.2">
      <c r="B68" s="12" t="s">
        <v>8</v>
      </c>
      <c r="C68" s="24">
        <f>+C67</f>
        <v>4000000</v>
      </c>
      <c r="D68" s="24">
        <f>+C68+D67</f>
        <v>8000000</v>
      </c>
      <c r="E68" s="25">
        <f>+D68+E67</f>
        <v>12000000</v>
      </c>
      <c r="F68" s="25">
        <f>+E68+F67</f>
        <v>12000000</v>
      </c>
      <c r="G68" s="14"/>
      <c r="J68" s="12" t="s">
        <v>8</v>
      </c>
      <c r="K68" s="24"/>
      <c r="L68" s="24"/>
      <c r="M68" s="25"/>
      <c r="N68" s="25"/>
      <c r="O68" s="14"/>
      <c r="Q68" s="199"/>
      <c r="R68" s="104"/>
      <c r="S68" s="104"/>
      <c r="T68" s="104"/>
      <c r="U68" s="104"/>
      <c r="V68" s="211"/>
      <c r="X68" s="199"/>
      <c r="Y68" s="104"/>
      <c r="Z68" s="104"/>
      <c r="AA68" s="104"/>
      <c r="AB68" s="104"/>
      <c r="AC68" s="211"/>
    </row>
    <row r="69" spans="2:29" x14ac:dyDescent="0.2">
      <c r="B69" s="8"/>
      <c r="C69" s="34"/>
      <c r="D69" s="34"/>
      <c r="E69" s="35"/>
      <c r="F69" s="35"/>
      <c r="G69" s="14"/>
      <c r="J69" s="8"/>
      <c r="K69" s="34"/>
      <c r="L69" s="34"/>
      <c r="M69" s="35"/>
      <c r="N69" s="35"/>
      <c r="O69" s="14"/>
      <c r="Q69" s="199"/>
      <c r="R69" s="104"/>
      <c r="S69" s="104"/>
      <c r="T69" s="104"/>
      <c r="U69" s="104"/>
      <c r="V69" s="211"/>
      <c r="X69" s="199"/>
      <c r="Y69" s="104"/>
      <c r="Z69" s="104"/>
      <c r="AA69" s="104"/>
      <c r="AB69" s="104"/>
      <c r="AC69" s="211"/>
    </row>
    <row r="70" spans="2:29" x14ac:dyDescent="0.2">
      <c r="B70" s="13" t="s">
        <v>15</v>
      </c>
      <c r="C70" s="36">
        <f>+C55+C61+C67</f>
        <v>13307500</v>
      </c>
      <c r="D70" s="36">
        <f>+D67+D61+D55</f>
        <v>13307500</v>
      </c>
      <c r="E70" s="36">
        <f>+E67+E61+E55</f>
        <v>13307500</v>
      </c>
      <c r="F70" s="36">
        <f>+F67+F61+F55</f>
        <v>3307500</v>
      </c>
      <c r="G70" s="853">
        <f>+SUM(G53:G69)</f>
        <v>36030</v>
      </c>
      <c r="J70" s="13" t="s">
        <v>15</v>
      </c>
      <c r="K70" s="36">
        <f>+K55+K61+K67</f>
        <v>13534125</v>
      </c>
      <c r="L70" s="36">
        <f>+L67+L61+L55</f>
        <v>13534125</v>
      </c>
      <c r="M70" s="36">
        <f>+M67+M61+M55</f>
        <v>13534125</v>
      </c>
      <c r="N70" s="36">
        <f>+N67+N61+N55</f>
        <v>13534125</v>
      </c>
      <c r="O70" s="853">
        <f>+SUM(O53:O69)</f>
        <v>120</v>
      </c>
      <c r="Q70" s="199"/>
      <c r="R70" s="104"/>
      <c r="S70" s="104"/>
      <c r="T70" s="104"/>
      <c r="U70" s="104"/>
      <c r="V70" s="211"/>
      <c r="X70" s="199"/>
      <c r="Y70" s="104"/>
      <c r="Z70" s="104"/>
      <c r="AA70" s="104"/>
      <c r="AB70" s="104"/>
      <c r="AC70" s="211"/>
    </row>
    <row r="71" spans="2:29" x14ac:dyDescent="0.2">
      <c r="B71" s="299" t="s">
        <v>733</v>
      </c>
      <c r="C71" s="300">
        <f>+C70</f>
        <v>13307500</v>
      </c>
      <c r="D71" s="300">
        <f>+C71+D70</f>
        <v>26615000</v>
      </c>
      <c r="E71" s="300">
        <f>+D71+E70</f>
        <v>39922500</v>
      </c>
      <c r="F71" s="300">
        <f>+E71+F70</f>
        <v>43230000</v>
      </c>
      <c r="G71" s="854"/>
      <c r="J71" s="299" t="s">
        <v>733</v>
      </c>
      <c r="K71" s="300">
        <f>+K70</f>
        <v>13534125</v>
      </c>
      <c r="L71" s="300">
        <f>+K71+L70</f>
        <v>27068250</v>
      </c>
      <c r="M71" s="300">
        <f>+L71+M70</f>
        <v>40602375</v>
      </c>
      <c r="N71" s="300">
        <f>+M71+N70</f>
        <v>54136500</v>
      </c>
      <c r="O71" s="854"/>
      <c r="Q71" s="199"/>
      <c r="R71" s="104"/>
      <c r="S71" s="104"/>
      <c r="T71" s="104"/>
      <c r="U71" s="104"/>
      <c r="V71" s="211"/>
      <c r="X71" s="199"/>
      <c r="Y71" s="104"/>
      <c r="Z71" s="104"/>
      <c r="AA71" s="104"/>
      <c r="AB71" s="104"/>
      <c r="AC71" s="211"/>
    </row>
    <row r="72" spans="2:29" x14ac:dyDescent="0.2">
      <c r="Q72" s="199"/>
      <c r="R72" s="104"/>
      <c r="S72" s="104"/>
      <c r="T72" s="104"/>
      <c r="U72" s="104"/>
      <c r="V72" s="211"/>
      <c r="X72" s="199"/>
      <c r="Y72" s="104"/>
      <c r="Z72" s="104"/>
      <c r="AA72" s="104"/>
      <c r="AB72" s="104"/>
      <c r="AC72" s="211"/>
    </row>
    <row r="73" spans="2:29" x14ac:dyDescent="0.2">
      <c r="C73" s="1"/>
      <c r="D73" s="1"/>
      <c r="E73" s="1"/>
      <c r="K73" s="1"/>
      <c r="L73" s="1"/>
      <c r="M73" s="1"/>
    </row>
    <row r="74" spans="2:29" x14ac:dyDescent="0.2">
      <c r="B74" s="858" t="s">
        <v>318</v>
      </c>
      <c r="C74" s="859"/>
      <c r="D74" s="859"/>
      <c r="E74" s="859"/>
      <c r="F74" s="859"/>
      <c r="G74" s="860"/>
      <c r="J74" s="858" t="s">
        <v>329</v>
      </c>
      <c r="K74" s="859"/>
      <c r="L74" s="859"/>
      <c r="M74" s="859"/>
      <c r="N74" s="859"/>
      <c r="O74" s="860"/>
      <c r="Q74" s="858" t="s">
        <v>366</v>
      </c>
      <c r="R74" s="859"/>
      <c r="S74" s="859"/>
      <c r="T74" s="859"/>
      <c r="U74" s="860"/>
      <c r="V74" s="872" t="s">
        <v>16</v>
      </c>
      <c r="X74" s="858" t="s">
        <v>345</v>
      </c>
      <c r="Y74" s="859"/>
      <c r="Z74" s="859"/>
      <c r="AA74" s="859"/>
      <c r="AB74" s="860"/>
      <c r="AC74" s="872" t="s">
        <v>16</v>
      </c>
    </row>
    <row r="75" spans="2:29" x14ac:dyDescent="0.2">
      <c r="B75" s="9" t="s">
        <v>6</v>
      </c>
      <c r="C75" s="3" t="s">
        <v>9</v>
      </c>
      <c r="D75" s="10" t="s">
        <v>106</v>
      </c>
      <c r="E75" s="10" t="s">
        <v>10</v>
      </c>
      <c r="F75" s="10" t="s">
        <v>11</v>
      </c>
      <c r="G75" s="39" t="s">
        <v>16</v>
      </c>
      <c r="J75" s="9" t="s">
        <v>6</v>
      </c>
      <c r="K75" s="3" t="s">
        <v>9</v>
      </c>
      <c r="L75" s="10" t="s">
        <v>106</v>
      </c>
      <c r="M75" s="10" t="s">
        <v>10</v>
      </c>
      <c r="N75" s="10" t="s">
        <v>11</v>
      </c>
      <c r="O75" s="39" t="s">
        <v>16</v>
      </c>
      <c r="Q75" s="9" t="s">
        <v>6</v>
      </c>
      <c r="R75" s="3" t="s">
        <v>9</v>
      </c>
      <c r="S75" s="10" t="s">
        <v>106</v>
      </c>
      <c r="T75" s="10" t="s">
        <v>10</v>
      </c>
      <c r="U75" s="10" t="s">
        <v>11</v>
      </c>
      <c r="V75" s="873"/>
      <c r="X75" s="9" t="s">
        <v>6</v>
      </c>
      <c r="Y75" s="3" t="s">
        <v>9</v>
      </c>
      <c r="Z75" s="10" t="s">
        <v>106</v>
      </c>
      <c r="AA75" s="10" t="s">
        <v>10</v>
      </c>
      <c r="AB75" s="10" t="s">
        <v>11</v>
      </c>
      <c r="AC75" s="873"/>
    </row>
    <row r="76" spans="2:29" x14ac:dyDescent="0.2">
      <c r="B76" s="18" t="s">
        <v>354</v>
      </c>
      <c r="C76" s="20">
        <v>21600</v>
      </c>
      <c r="D76" s="20">
        <v>21600</v>
      </c>
      <c r="E76" s="21">
        <v>21600</v>
      </c>
      <c r="F76" s="21">
        <v>21600</v>
      </c>
      <c r="G76" s="38">
        <f>SUM(C76:F76)</f>
        <v>86400</v>
      </c>
      <c r="J76" s="18" t="s">
        <v>12</v>
      </c>
      <c r="K76" s="20">
        <v>30</v>
      </c>
      <c r="L76" s="20">
        <v>30</v>
      </c>
      <c r="M76" s="21">
        <v>30</v>
      </c>
      <c r="N76" s="21">
        <v>30</v>
      </c>
      <c r="O76" s="38">
        <f>+SUM(K76:N76)</f>
        <v>120</v>
      </c>
      <c r="Q76" s="18" t="s">
        <v>368</v>
      </c>
      <c r="R76" s="20">
        <v>90000</v>
      </c>
      <c r="S76" s="20">
        <v>90000</v>
      </c>
      <c r="T76" s="20">
        <v>90000</v>
      </c>
      <c r="U76" s="20">
        <v>90000</v>
      </c>
      <c r="V76" s="38">
        <f>+SUM(R76:U76)</f>
        <v>360000</v>
      </c>
      <c r="X76" s="18" t="s">
        <v>382</v>
      </c>
      <c r="Y76" s="20">
        <v>1500</v>
      </c>
      <c r="Z76" s="20">
        <v>1500</v>
      </c>
      <c r="AA76" s="20">
        <v>1500</v>
      </c>
      <c r="AB76" s="20">
        <v>1500</v>
      </c>
      <c r="AC76" s="38">
        <f>+SUM(Y76:AB76)</f>
        <v>6000</v>
      </c>
    </row>
    <row r="77" spans="2:29" x14ac:dyDescent="0.2">
      <c r="B77" s="11" t="s">
        <v>19</v>
      </c>
      <c r="C77" s="22">
        <f>SUM(C54)*1.05</f>
        <v>385.875</v>
      </c>
      <c r="D77" s="22">
        <f>SUM(C77)</f>
        <v>385.875</v>
      </c>
      <c r="E77" s="22">
        <f>SUM(D77)</f>
        <v>385.875</v>
      </c>
      <c r="F77" s="22">
        <f>SUM(E77)</f>
        <v>385.875</v>
      </c>
      <c r="G77" s="14"/>
      <c r="J77" s="11" t="s">
        <v>19</v>
      </c>
      <c r="K77" s="22">
        <f>SUM('Matière 1é &amp; fourni Elevage'!P114)*1.7</f>
        <v>496251.25</v>
      </c>
      <c r="L77" s="22">
        <f>SUM(K77)</f>
        <v>496251.25</v>
      </c>
      <c r="M77" s="22">
        <f>SUM(L77)</f>
        <v>496251.25</v>
      </c>
      <c r="N77" s="22">
        <f>SUM(M77)</f>
        <v>496251.25</v>
      </c>
      <c r="O77" s="14"/>
      <c r="Q77" s="11" t="s">
        <v>19</v>
      </c>
      <c r="R77" s="22">
        <v>75</v>
      </c>
      <c r="S77" s="22">
        <f>SUM(R77)</f>
        <v>75</v>
      </c>
      <c r="T77" s="23">
        <f>SUM(S77)</f>
        <v>75</v>
      </c>
      <c r="U77" s="23">
        <f>SUM(R77)</f>
        <v>75</v>
      </c>
      <c r="V77" s="14"/>
      <c r="X77" s="11" t="s">
        <v>383</v>
      </c>
      <c r="Y77" s="22">
        <v>4000</v>
      </c>
      <c r="Z77" s="22">
        <f>SUM(Y77)</f>
        <v>4000</v>
      </c>
      <c r="AA77" s="22">
        <f>SUM(Z77)</f>
        <v>4000</v>
      </c>
      <c r="AB77" s="22">
        <f>SUM(Y77)</f>
        <v>4000</v>
      </c>
      <c r="AC77" s="14"/>
    </row>
    <row r="78" spans="2:29" x14ac:dyDescent="0.2">
      <c r="B78" s="6" t="s">
        <v>7</v>
      </c>
      <c r="C78" s="24">
        <f>+C77*C76</f>
        <v>8334900</v>
      </c>
      <c r="D78" s="24">
        <f>+D77*D76</f>
        <v>8334900</v>
      </c>
      <c r="E78" s="25">
        <f>+E77*E76</f>
        <v>8334900</v>
      </c>
      <c r="F78" s="25">
        <f>+F77*F76</f>
        <v>8334900</v>
      </c>
      <c r="G78" s="14"/>
      <c r="J78" s="6" t="s">
        <v>7</v>
      </c>
      <c r="K78" s="24">
        <f>+K77*K76</f>
        <v>14887537.5</v>
      </c>
      <c r="L78" s="24">
        <f>+L77*L76</f>
        <v>14887537.5</v>
      </c>
      <c r="M78" s="25">
        <f>+M77*M76</f>
        <v>14887537.5</v>
      </c>
      <c r="N78" s="25">
        <f>+N77*N76</f>
        <v>14887537.5</v>
      </c>
      <c r="O78" s="14"/>
      <c r="Q78" s="6" t="s">
        <v>7</v>
      </c>
      <c r="R78" s="24">
        <f>+R77*R76</f>
        <v>6750000</v>
      </c>
      <c r="S78" s="24">
        <f>+S77*S76</f>
        <v>6750000</v>
      </c>
      <c r="T78" s="25">
        <f>+T77*T76</f>
        <v>6750000</v>
      </c>
      <c r="U78" s="25">
        <f>+U77*U76</f>
        <v>6750000</v>
      </c>
      <c r="V78" s="14"/>
      <c r="X78" s="6" t="s">
        <v>7</v>
      </c>
      <c r="Y78" s="24">
        <f>+Y77*Y76</f>
        <v>6000000</v>
      </c>
      <c r="Z78" s="24">
        <f>+Z77*Z76</f>
        <v>6000000</v>
      </c>
      <c r="AA78" s="25">
        <f>+AA77*AA76</f>
        <v>6000000</v>
      </c>
      <c r="AB78" s="25">
        <f>+AB77*AB76</f>
        <v>6000000</v>
      </c>
      <c r="AC78" s="14"/>
    </row>
    <row r="79" spans="2:29" x14ac:dyDescent="0.2">
      <c r="B79" s="16" t="s">
        <v>8</v>
      </c>
      <c r="C79" s="22">
        <f>+C78</f>
        <v>8334900</v>
      </c>
      <c r="D79" s="22">
        <f>+C79+D78</f>
        <v>16669800</v>
      </c>
      <c r="E79" s="23">
        <f>+D79+E78</f>
        <v>25004700</v>
      </c>
      <c r="F79" s="23">
        <f>+E79+F78</f>
        <v>33339600</v>
      </c>
      <c r="G79" s="14"/>
      <c r="J79" s="16" t="s">
        <v>8</v>
      </c>
      <c r="K79" s="22">
        <f>+K78</f>
        <v>14887537.5</v>
      </c>
      <c r="L79" s="22">
        <f>+K79+L78</f>
        <v>29775075</v>
      </c>
      <c r="M79" s="23">
        <f>+L79+M78</f>
        <v>44662612.5</v>
      </c>
      <c r="N79" s="23">
        <f>+M79+N78</f>
        <v>59550150</v>
      </c>
      <c r="O79" s="14"/>
      <c r="Q79" s="16" t="s">
        <v>8</v>
      </c>
      <c r="R79" s="22">
        <f>+R78</f>
        <v>6750000</v>
      </c>
      <c r="S79" s="22">
        <f>+R79+S78</f>
        <v>13500000</v>
      </c>
      <c r="T79" s="23">
        <f>+S79+T78</f>
        <v>20250000</v>
      </c>
      <c r="U79" s="23">
        <f>+T79+U78</f>
        <v>27000000</v>
      </c>
      <c r="V79" s="14"/>
      <c r="X79" s="16" t="s">
        <v>8</v>
      </c>
      <c r="Y79" s="22">
        <f>+Y78</f>
        <v>6000000</v>
      </c>
      <c r="Z79" s="22">
        <f>+Y79+Z78</f>
        <v>12000000</v>
      </c>
      <c r="AA79" s="23">
        <f>+Z79+AA78</f>
        <v>18000000</v>
      </c>
      <c r="AB79" s="23">
        <f>+AA79+AB78</f>
        <v>24000000</v>
      </c>
      <c r="AC79" s="14"/>
    </row>
    <row r="80" spans="2:29" x14ac:dyDescent="0.2">
      <c r="B80" s="7"/>
      <c r="C80" s="26"/>
      <c r="D80" s="26"/>
      <c r="E80" s="27"/>
      <c r="F80" s="27"/>
      <c r="G80" s="14"/>
      <c r="J80" s="7"/>
      <c r="K80" s="26"/>
      <c r="L80" s="26"/>
      <c r="M80" s="27"/>
      <c r="N80" s="27"/>
      <c r="O80" s="14"/>
      <c r="Q80" s="7"/>
      <c r="R80" s="26"/>
      <c r="S80" s="26"/>
      <c r="T80" s="27"/>
      <c r="U80" s="27"/>
      <c r="V80" s="14"/>
      <c r="X80" s="7"/>
      <c r="Y80" s="26"/>
      <c r="Z80" s="26"/>
      <c r="AA80" s="27"/>
      <c r="AB80" s="27"/>
      <c r="AC80" s="14"/>
    </row>
    <row r="81" spans="2:29" x14ac:dyDescent="0.2">
      <c r="B81" s="17" t="s">
        <v>819</v>
      </c>
      <c r="C81" s="26"/>
      <c r="D81" s="26"/>
      <c r="E81" s="27"/>
      <c r="F81" s="27"/>
      <c r="G81" s="14"/>
      <c r="J81" s="17" t="s">
        <v>13</v>
      </c>
      <c r="K81" s="26"/>
      <c r="L81" s="26"/>
      <c r="M81" s="27"/>
      <c r="N81" s="27"/>
      <c r="O81" s="14"/>
      <c r="Q81" s="17" t="s">
        <v>821</v>
      </c>
      <c r="R81" s="26"/>
      <c r="S81" s="26"/>
      <c r="T81" s="27"/>
      <c r="U81" s="27"/>
      <c r="V81" s="14"/>
      <c r="X81" s="17" t="s">
        <v>381</v>
      </c>
      <c r="Y81" s="26"/>
      <c r="Z81" s="26"/>
      <c r="AA81" s="27"/>
      <c r="AB81" s="27"/>
      <c r="AC81" s="14"/>
    </row>
    <row r="82" spans="2:29" x14ac:dyDescent="0.2">
      <c r="B82" s="11" t="s">
        <v>1</v>
      </c>
      <c r="C82" s="22">
        <v>5</v>
      </c>
      <c r="D82" s="22">
        <v>5</v>
      </c>
      <c r="E82" s="23">
        <v>5</v>
      </c>
      <c r="F82" s="22"/>
      <c r="G82" s="38">
        <f>SUM(C82:F82)</f>
        <v>15</v>
      </c>
      <c r="J82" s="11" t="s">
        <v>1</v>
      </c>
      <c r="K82" s="22"/>
      <c r="L82" s="22"/>
      <c r="M82" s="22"/>
      <c r="N82" s="22"/>
      <c r="O82" s="38">
        <f>+SUM(K82:N82)</f>
        <v>0</v>
      </c>
      <c r="Q82" s="11" t="s">
        <v>372</v>
      </c>
      <c r="R82" s="22">
        <v>500</v>
      </c>
      <c r="S82" s="22"/>
      <c r="T82" s="23">
        <v>500</v>
      </c>
      <c r="U82" s="23"/>
      <c r="V82" s="38">
        <f>+SUM(R82:U82)</f>
        <v>1000</v>
      </c>
      <c r="X82" s="11" t="s">
        <v>385</v>
      </c>
      <c r="Y82" s="22">
        <v>500</v>
      </c>
      <c r="Z82" s="22">
        <v>500</v>
      </c>
      <c r="AA82" s="23">
        <v>500</v>
      </c>
      <c r="AB82" s="23">
        <v>500</v>
      </c>
      <c r="AC82" s="38">
        <f>+SUM(Y82:AB82)</f>
        <v>2000</v>
      </c>
    </row>
    <row r="83" spans="2:29" x14ac:dyDescent="0.2">
      <c r="B83" s="7" t="s">
        <v>19</v>
      </c>
      <c r="C83" s="24">
        <f>SUM(C60)</f>
        <v>1200000</v>
      </c>
      <c r="D83" s="24">
        <f>SUM(C83)</f>
        <v>1200000</v>
      </c>
      <c r="E83" s="24">
        <f>SUM(D83)</f>
        <v>1200000</v>
      </c>
      <c r="F83" s="24">
        <f>SUM(E83)</f>
        <v>1200000</v>
      </c>
      <c r="G83" s="14"/>
      <c r="J83" s="7" t="s">
        <v>19</v>
      </c>
      <c r="K83" s="24"/>
      <c r="L83" s="24"/>
      <c r="M83" s="25"/>
      <c r="N83" s="25"/>
      <c r="O83" s="14"/>
      <c r="Q83" s="7" t="s">
        <v>383</v>
      </c>
      <c r="R83" s="24">
        <v>3000</v>
      </c>
      <c r="S83" s="24">
        <v>3000</v>
      </c>
      <c r="T83" s="24">
        <v>3000</v>
      </c>
      <c r="U83" s="24">
        <v>3000</v>
      </c>
      <c r="V83" s="14"/>
      <c r="X83" s="7" t="s">
        <v>817</v>
      </c>
      <c r="Y83" s="24">
        <v>5000</v>
      </c>
      <c r="Z83" s="24">
        <v>5000</v>
      </c>
      <c r="AA83" s="24">
        <v>5000</v>
      </c>
      <c r="AB83" s="24">
        <v>5000</v>
      </c>
      <c r="AC83" s="14"/>
    </row>
    <row r="84" spans="2:29" x14ac:dyDescent="0.2">
      <c r="B84" s="15" t="s">
        <v>7</v>
      </c>
      <c r="C84" s="22">
        <f>+C83*C82</f>
        <v>6000000</v>
      </c>
      <c r="D84" s="22">
        <f>+D83*D82</f>
        <v>6000000</v>
      </c>
      <c r="E84" s="23">
        <f>+E83*E82</f>
        <v>6000000</v>
      </c>
      <c r="F84" s="22">
        <f>+F83*F82</f>
        <v>0</v>
      </c>
      <c r="G84" s="14"/>
      <c r="J84" s="15" t="s">
        <v>7</v>
      </c>
      <c r="K84" s="22"/>
      <c r="L84" s="22"/>
      <c r="M84" s="23"/>
      <c r="N84" s="22"/>
      <c r="O84" s="14"/>
      <c r="Q84" s="15" t="s">
        <v>7</v>
      </c>
      <c r="R84" s="22">
        <f>+R83*R82</f>
        <v>1500000</v>
      </c>
      <c r="S84" s="22">
        <f>+S83*S82</f>
        <v>0</v>
      </c>
      <c r="T84" s="23">
        <f>+T83*T82</f>
        <v>1500000</v>
      </c>
      <c r="U84" s="23">
        <f>+U83*U82</f>
        <v>0</v>
      </c>
      <c r="V84" s="14"/>
      <c r="X84" s="15" t="s">
        <v>7</v>
      </c>
      <c r="Y84" s="22">
        <f>+Y83*Y82</f>
        <v>2500000</v>
      </c>
      <c r="Z84" s="22">
        <f>+Z83*Z82</f>
        <v>2500000</v>
      </c>
      <c r="AA84" s="23">
        <f>+AA83*AA82</f>
        <v>2500000</v>
      </c>
      <c r="AB84" s="23">
        <f>+AB83*AB82</f>
        <v>2500000</v>
      </c>
      <c r="AC84" s="14"/>
    </row>
    <row r="85" spans="2:29" x14ac:dyDescent="0.2">
      <c r="B85" s="12" t="s">
        <v>8</v>
      </c>
      <c r="C85" s="28">
        <f>+C84</f>
        <v>6000000</v>
      </c>
      <c r="D85" s="28">
        <f>+C85+D84</f>
        <v>12000000</v>
      </c>
      <c r="E85" s="29">
        <f>+D85+E84</f>
        <v>18000000</v>
      </c>
      <c r="F85" s="28">
        <f>+E85+F84</f>
        <v>18000000</v>
      </c>
      <c r="G85" s="14"/>
      <c r="J85" s="12" t="s">
        <v>8</v>
      </c>
      <c r="K85" s="28"/>
      <c r="L85" s="28"/>
      <c r="M85" s="29"/>
      <c r="N85" s="28"/>
      <c r="O85" s="14"/>
      <c r="Q85" s="12" t="s">
        <v>8</v>
      </c>
      <c r="R85" s="28">
        <f>+R84</f>
        <v>1500000</v>
      </c>
      <c r="S85" s="28">
        <f>+R85+S84</f>
        <v>1500000</v>
      </c>
      <c r="T85" s="29">
        <f>+S85+T84</f>
        <v>3000000</v>
      </c>
      <c r="U85" s="29">
        <f>+T85+U84</f>
        <v>3000000</v>
      </c>
      <c r="V85" s="14"/>
      <c r="X85" s="12" t="s">
        <v>8</v>
      </c>
      <c r="Y85" s="28">
        <f>+Y84</f>
        <v>2500000</v>
      </c>
      <c r="Z85" s="28">
        <f>+Y85+Z84</f>
        <v>5000000</v>
      </c>
      <c r="AA85" s="29">
        <f>+Z85+AA84</f>
        <v>7500000</v>
      </c>
      <c r="AB85" s="29">
        <f>+AA85+AB84</f>
        <v>10000000</v>
      </c>
      <c r="AC85" s="14"/>
    </row>
    <row r="86" spans="2:29" x14ac:dyDescent="0.2">
      <c r="B86" s="7"/>
      <c r="C86" s="26"/>
      <c r="D86" s="26"/>
      <c r="E86" s="27"/>
      <c r="F86" s="27"/>
      <c r="G86" s="14"/>
      <c r="J86" s="7"/>
      <c r="K86" s="26"/>
      <c r="L86" s="26"/>
      <c r="M86" s="27"/>
      <c r="N86" s="27"/>
      <c r="O86" s="14"/>
      <c r="Q86" s="8"/>
      <c r="R86" s="34"/>
      <c r="S86" s="34"/>
      <c r="T86" s="35"/>
      <c r="U86" s="35"/>
      <c r="V86" s="14"/>
      <c r="X86" s="8"/>
      <c r="Y86" s="34"/>
      <c r="Z86" s="34"/>
      <c r="AA86" s="35"/>
      <c r="AB86" s="35"/>
      <c r="AC86" s="14"/>
    </row>
    <row r="87" spans="2:29" x14ac:dyDescent="0.2">
      <c r="B87" s="17" t="s">
        <v>820</v>
      </c>
      <c r="C87" s="26"/>
      <c r="D87" s="26"/>
      <c r="E87" s="27"/>
      <c r="F87" s="27"/>
      <c r="G87" s="14"/>
      <c r="J87" s="17" t="s">
        <v>14</v>
      </c>
      <c r="K87" s="26"/>
      <c r="L87" s="26"/>
      <c r="M87" s="27"/>
      <c r="N87" s="27"/>
      <c r="O87" s="14"/>
      <c r="Q87" s="13" t="s">
        <v>15</v>
      </c>
      <c r="R87" s="36">
        <f>SUM(R78)+R84</f>
        <v>8250000</v>
      </c>
      <c r="S87" s="36">
        <f>SUM(S78)+S84</f>
        <v>6750000</v>
      </c>
      <c r="T87" s="36">
        <f>+T84+T78</f>
        <v>8250000</v>
      </c>
      <c r="U87" s="36">
        <f>SUM(U78)+U84</f>
        <v>6750000</v>
      </c>
      <c r="V87" s="62">
        <f>+SUM(V76:V86)</f>
        <v>361000</v>
      </c>
      <c r="X87" s="13" t="s">
        <v>15</v>
      </c>
      <c r="Y87" s="36">
        <f>SUM(Y78)+Y84</f>
        <v>8500000</v>
      </c>
      <c r="Z87" s="36">
        <f>SUM(Z78)+Z84</f>
        <v>8500000</v>
      </c>
      <c r="AA87" s="36">
        <f>+AA84+AA78</f>
        <v>8500000</v>
      </c>
      <c r="AB87" s="36">
        <f>SUM(AB78)+AB84</f>
        <v>8500000</v>
      </c>
      <c r="AC87" s="62">
        <f>+SUM(AC76:AC86)</f>
        <v>8000</v>
      </c>
    </row>
    <row r="88" spans="2:29" x14ac:dyDescent="0.2">
      <c r="B88" s="11" t="s">
        <v>1</v>
      </c>
      <c r="C88" s="22">
        <v>5</v>
      </c>
      <c r="D88" s="22">
        <v>5</v>
      </c>
      <c r="E88" s="23">
        <v>5</v>
      </c>
      <c r="F88" s="23"/>
      <c r="G88" s="38">
        <f>SUM(C88:F88)</f>
        <v>15</v>
      </c>
      <c r="J88" s="11" t="s">
        <v>1</v>
      </c>
      <c r="K88" s="22"/>
      <c r="L88" s="22"/>
      <c r="M88" s="22"/>
      <c r="N88" s="22"/>
      <c r="O88" s="38">
        <f>+SUM(K88:N88)</f>
        <v>0</v>
      </c>
      <c r="Q88" s="299" t="s">
        <v>733</v>
      </c>
      <c r="R88" s="300">
        <f>+R87</f>
        <v>8250000</v>
      </c>
      <c r="S88" s="300">
        <f>+R88+S87</f>
        <v>15000000</v>
      </c>
      <c r="T88" s="300">
        <f>+S88+T87</f>
        <v>23250000</v>
      </c>
      <c r="U88" s="300">
        <f>+T88+U87</f>
        <v>30000000</v>
      </c>
      <c r="V88" s="311"/>
      <c r="W88" s="301"/>
      <c r="X88" s="299" t="s">
        <v>733</v>
      </c>
      <c r="Y88" s="300">
        <f>+Y87</f>
        <v>8500000</v>
      </c>
      <c r="Z88" s="300">
        <f>+Y88+Z87</f>
        <v>17000000</v>
      </c>
      <c r="AA88" s="300">
        <f>+Z88+AA87</f>
        <v>25500000</v>
      </c>
      <c r="AB88" s="300">
        <f>+AA88+AB87</f>
        <v>34000000</v>
      </c>
      <c r="AC88" s="63"/>
    </row>
    <row r="89" spans="2:29" x14ac:dyDescent="0.2">
      <c r="B89" s="7" t="s">
        <v>19</v>
      </c>
      <c r="C89" s="24">
        <f>SUM(C66)</f>
        <v>800000</v>
      </c>
      <c r="D89" s="24">
        <f>+C89</f>
        <v>800000</v>
      </c>
      <c r="E89" s="24">
        <f>+D89</f>
        <v>800000</v>
      </c>
      <c r="F89" s="24">
        <f>+E89</f>
        <v>800000</v>
      </c>
      <c r="G89" s="14"/>
      <c r="J89" s="7" t="s">
        <v>19</v>
      </c>
      <c r="K89" s="24"/>
      <c r="L89" s="24"/>
      <c r="M89" s="24"/>
      <c r="N89" s="24"/>
      <c r="O89" s="14"/>
    </row>
    <row r="90" spans="2:29" x14ac:dyDescent="0.2">
      <c r="B90" s="15" t="s">
        <v>7</v>
      </c>
      <c r="C90" s="22">
        <f>+C89*C88</f>
        <v>4000000</v>
      </c>
      <c r="D90" s="22">
        <f>+D89*D88</f>
        <v>4000000</v>
      </c>
      <c r="E90" s="23">
        <f>+E89*E88</f>
        <v>4000000</v>
      </c>
      <c r="F90" s="23">
        <f>+F89*F88</f>
        <v>0</v>
      </c>
      <c r="G90" s="14"/>
      <c r="J90" s="15" t="s">
        <v>7</v>
      </c>
      <c r="K90" s="22"/>
      <c r="L90" s="22"/>
      <c r="M90" s="23"/>
      <c r="N90" s="23"/>
      <c r="O90" s="14"/>
    </row>
    <row r="91" spans="2:29" x14ac:dyDescent="0.2">
      <c r="B91" s="12" t="s">
        <v>8</v>
      </c>
      <c r="C91" s="24">
        <f>+C90</f>
        <v>4000000</v>
      </c>
      <c r="D91" s="24">
        <f>+C91+D90</f>
        <v>8000000</v>
      </c>
      <c r="E91" s="25">
        <f>+D91+E90</f>
        <v>12000000</v>
      </c>
      <c r="F91" s="25">
        <f>+E91+F90</f>
        <v>12000000</v>
      </c>
      <c r="G91" s="14"/>
      <c r="J91" s="12" t="s">
        <v>8</v>
      </c>
      <c r="K91" s="24"/>
      <c r="L91" s="24"/>
      <c r="M91" s="25"/>
      <c r="N91" s="25"/>
      <c r="O91" s="14"/>
      <c r="Q91" s="199"/>
      <c r="R91" s="104"/>
      <c r="S91" s="104"/>
      <c r="T91" s="104"/>
      <c r="U91" s="104"/>
      <c r="V91" s="211"/>
      <c r="X91" s="199"/>
      <c r="Y91" s="104"/>
      <c r="Z91" s="104"/>
      <c r="AA91" s="104"/>
      <c r="AB91" s="104"/>
      <c r="AC91" s="211"/>
    </row>
    <row r="92" spans="2:29" x14ac:dyDescent="0.2">
      <c r="B92" s="8"/>
      <c r="C92" s="34"/>
      <c r="D92" s="34"/>
      <c r="E92" s="35"/>
      <c r="F92" s="35"/>
      <c r="G92" s="14"/>
      <c r="J92" s="8"/>
      <c r="K92" s="34"/>
      <c r="L92" s="34"/>
      <c r="M92" s="35"/>
      <c r="N92" s="35"/>
      <c r="O92" s="14"/>
      <c r="Q92" s="199"/>
      <c r="R92" s="104"/>
      <c r="S92" s="104"/>
      <c r="T92" s="104"/>
      <c r="U92" s="104"/>
      <c r="V92" s="211"/>
      <c r="X92" s="199"/>
      <c r="Y92" s="104"/>
      <c r="Z92" s="104"/>
      <c r="AA92" s="104"/>
      <c r="AB92" s="104"/>
      <c r="AC92" s="211"/>
    </row>
    <row r="93" spans="2:29" x14ac:dyDescent="0.2">
      <c r="B93" s="13" t="s">
        <v>15</v>
      </c>
      <c r="C93" s="36">
        <f>+C78+C84+C90</f>
        <v>18334900</v>
      </c>
      <c r="D93" s="36">
        <f>+D90+D84+D78</f>
        <v>18334900</v>
      </c>
      <c r="E93" s="36">
        <f>+E90+E84+E78</f>
        <v>18334900</v>
      </c>
      <c r="F93" s="36">
        <f>+F90+F84+F78</f>
        <v>8334900</v>
      </c>
      <c r="G93" s="853">
        <f>+SUM(G76:G92)</f>
        <v>86430</v>
      </c>
      <c r="J93" s="13" t="s">
        <v>15</v>
      </c>
      <c r="K93" s="36">
        <f>+K78+K84+K90</f>
        <v>14887537.5</v>
      </c>
      <c r="L93" s="36">
        <f>+L90+L84+L78</f>
        <v>14887537.5</v>
      </c>
      <c r="M93" s="36">
        <f>+M90+M84+M78</f>
        <v>14887537.5</v>
      </c>
      <c r="N93" s="36">
        <f>+N90+N84+N78</f>
        <v>14887537.5</v>
      </c>
      <c r="O93" s="853">
        <f>+SUM(O76:O92)</f>
        <v>120</v>
      </c>
      <c r="Q93" s="199"/>
      <c r="R93" s="104"/>
      <c r="S93" s="104"/>
      <c r="T93" s="104"/>
      <c r="U93" s="104"/>
      <c r="V93" s="211"/>
      <c r="X93" s="199"/>
      <c r="Y93" s="104"/>
      <c r="Z93" s="104"/>
      <c r="AA93" s="104"/>
      <c r="AB93" s="104"/>
      <c r="AC93" s="211"/>
    </row>
    <row r="94" spans="2:29" s="301" customFormat="1" x14ac:dyDescent="0.2">
      <c r="B94" s="299" t="s">
        <v>733</v>
      </c>
      <c r="C94" s="300">
        <f>+C93</f>
        <v>18334900</v>
      </c>
      <c r="D94" s="300">
        <f>+C94+D93</f>
        <v>36669800</v>
      </c>
      <c r="E94" s="300">
        <f>+D94+E93</f>
        <v>55004700</v>
      </c>
      <c r="F94" s="300">
        <f>+E94+F93</f>
        <v>63339600</v>
      </c>
      <c r="G94" s="854"/>
      <c r="J94" s="299" t="s">
        <v>733</v>
      </c>
      <c r="K94" s="300">
        <f>+K93</f>
        <v>14887537.5</v>
      </c>
      <c r="L94" s="300">
        <f>+K94+L93</f>
        <v>29775075</v>
      </c>
      <c r="M94" s="300">
        <f>+L94+M93</f>
        <v>44662612.5</v>
      </c>
      <c r="N94" s="300">
        <f>+M94+N93</f>
        <v>59550150</v>
      </c>
      <c r="O94" s="854"/>
      <c r="Q94" s="302"/>
      <c r="R94" s="303"/>
      <c r="S94" s="303"/>
      <c r="T94" s="303"/>
      <c r="U94" s="303"/>
      <c r="V94" s="304"/>
      <c r="X94" s="302"/>
      <c r="Y94" s="303"/>
      <c r="Z94" s="303"/>
      <c r="AA94" s="303"/>
      <c r="AB94" s="303"/>
      <c r="AC94" s="304"/>
    </row>
    <row r="95" spans="2:29" x14ac:dyDescent="0.2">
      <c r="Q95" s="199"/>
      <c r="R95" s="104"/>
      <c r="S95" s="104"/>
      <c r="T95" s="104"/>
      <c r="U95" s="104"/>
      <c r="V95" s="211"/>
      <c r="X95" s="199"/>
      <c r="Y95" s="104"/>
      <c r="Z95" s="104"/>
      <c r="AA95" s="104"/>
      <c r="AB95" s="104"/>
      <c r="AC95" s="211"/>
    </row>
    <row r="96" spans="2:29" x14ac:dyDescent="0.2">
      <c r="C96" s="1"/>
      <c r="D96" s="1"/>
      <c r="E96" s="1"/>
      <c r="K96" s="1"/>
      <c r="L96" s="1"/>
      <c r="M96" s="1"/>
    </row>
    <row r="97" spans="2:29" x14ac:dyDescent="0.2">
      <c r="B97" s="874" t="s">
        <v>319</v>
      </c>
      <c r="C97" s="875"/>
      <c r="D97" s="875"/>
      <c r="E97" s="875"/>
      <c r="F97" s="875"/>
      <c r="G97" s="876"/>
      <c r="J97" s="874" t="s">
        <v>330</v>
      </c>
      <c r="K97" s="875"/>
      <c r="L97" s="875"/>
      <c r="M97" s="875"/>
      <c r="N97" s="875"/>
      <c r="O97" s="876"/>
      <c r="Q97" s="858" t="s">
        <v>367</v>
      </c>
      <c r="R97" s="859"/>
      <c r="S97" s="859"/>
      <c r="T97" s="859"/>
      <c r="U97" s="860"/>
      <c r="V97" s="872" t="s">
        <v>16</v>
      </c>
      <c r="X97" s="858" t="s">
        <v>345</v>
      </c>
      <c r="Y97" s="859"/>
      <c r="Z97" s="859"/>
      <c r="AA97" s="859"/>
      <c r="AB97" s="860"/>
      <c r="AC97" s="872" t="s">
        <v>16</v>
      </c>
    </row>
    <row r="98" spans="2:29" x14ac:dyDescent="0.2">
      <c r="B98" s="9" t="s">
        <v>6</v>
      </c>
      <c r="C98" s="3" t="s">
        <v>9</v>
      </c>
      <c r="D98" s="10" t="s">
        <v>106</v>
      </c>
      <c r="E98" s="10" t="s">
        <v>10</v>
      </c>
      <c r="F98" s="10" t="s">
        <v>11</v>
      </c>
      <c r="G98" s="40" t="s">
        <v>16</v>
      </c>
      <c r="J98" s="9" t="s">
        <v>6</v>
      </c>
      <c r="K98" s="3" t="s">
        <v>9</v>
      </c>
      <c r="L98" s="10" t="s">
        <v>106</v>
      </c>
      <c r="M98" s="10" t="s">
        <v>10</v>
      </c>
      <c r="N98" s="10" t="s">
        <v>11</v>
      </c>
      <c r="O98" s="40" t="s">
        <v>16</v>
      </c>
      <c r="Q98" s="9" t="s">
        <v>6</v>
      </c>
      <c r="R98" s="3" t="s">
        <v>9</v>
      </c>
      <c r="S98" s="10" t="s">
        <v>106</v>
      </c>
      <c r="T98" s="10" t="s">
        <v>10</v>
      </c>
      <c r="U98" s="10" t="s">
        <v>11</v>
      </c>
      <c r="V98" s="873"/>
      <c r="X98" s="9" t="s">
        <v>6</v>
      </c>
      <c r="Y98" s="3" t="s">
        <v>9</v>
      </c>
      <c r="Z98" s="10" t="s">
        <v>106</v>
      </c>
      <c r="AA98" s="10" t="s">
        <v>10</v>
      </c>
      <c r="AB98" s="10" t="s">
        <v>11</v>
      </c>
      <c r="AC98" s="873"/>
    </row>
    <row r="99" spans="2:29" x14ac:dyDescent="0.2">
      <c r="B99" s="18" t="s">
        <v>354</v>
      </c>
      <c r="C99" s="20">
        <v>25000</v>
      </c>
      <c r="D99" s="20">
        <v>25000</v>
      </c>
      <c r="E99" s="21">
        <v>25000</v>
      </c>
      <c r="F99" s="21">
        <v>25000</v>
      </c>
      <c r="G99" s="38">
        <f>+SUM(C99:F99)</f>
        <v>100000</v>
      </c>
      <c r="J99" s="18" t="s">
        <v>12</v>
      </c>
      <c r="K99" s="20">
        <v>30</v>
      </c>
      <c r="L99" s="20">
        <v>30</v>
      </c>
      <c r="M99" s="21">
        <v>30</v>
      </c>
      <c r="N99" s="21">
        <v>30</v>
      </c>
      <c r="O99" s="38">
        <f>+SUM(K99:N99)</f>
        <v>120</v>
      </c>
      <c r="Q99" s="18" t="s">
        <v>368</v>
      </c>
      <c r="R99" s="20">
        <v>90000</v>
      </c>
      <c r="S99" s="20">
        <v>90000</v>
      </c>
      <c r="T99" s="20">
        <v>90000</v>
      </c>
      <c r="U99" s="20">
        <v>90000</v>
      </c>
      <c r="V99" s="38">
        <f>+SUM(R99:U99)</f>
        <v>360000</v>
      </c>
      <c r="X99" s="18" t="s">
        <v>382</v>
      </c>
      <c r="Y99" s="20">
        <v>1500</v>
      </c>
      <c r="Z99" s="20">
        <v>1500</v>
      </c>
      <c r="AA99" s="20">
        <v>1500</v>
      </c>
      <c r="AB99" s="20">
        <v>1500</v>
      </c>
      <c r="AC99" s="38">
        <f>+SUM(Y99:AB99)</f>
        <v>6000</v>
      </c>
    </row>
    <row r="100" spans="2:29" x14ac:dyDescent="0.2">
      <c r="B100" s="11" t="s">
        <v>19</v>
      </c>
      <c r="C100" s="22">
        <f>SUM(C77)*1.05</f>
        <v>405.16875000000005</v>
      </c>
      <c r="D100" s="22">
        <f>SUM(C100)</f>
        <v>405.16875000000005</v>
      </c>
      <c r="E100" s="22">
        <f>SUM(C100)</f>
        <v>405.16875000000005</v>
      </c>
      <c r="F100" s="22">
        <f>SUM(E100)</f>
        <v>405.16875000000005</v>
      </c>
      <c r="G100" s="14"/>
      <c r="J100" s="11" t="s">
        <v>19</v>
      </c>
      <c r="K100" s="22">
        <f>SUM('Matière 1é &amp; fourni Elevage'!P138)*1.7</f>
        <v>545876.375</v>
      </c>
      <c r="L100" s="22">
        <f>SUM(K100)</f>
        <v>545876.375</v>
      </c>
      <c r="M100" s="22">
        <f>SUM(L100)</f>
        <v>545876.375</v>
      </c>
      <c r="N100" s="22">
        <f>SUM(K100)</f>
        <v>545876.375</v>
      </c>
      <c r="O100" s="14"/>
      <c r="Q100" s="11" t="s">
        <v>19</v>
      </c>
      <c r="R100" s="22">
        <v>75</v>
      </c>
      <c r="S100" s="22">
        <f>SUM(R100)</f>
        <v>75</v>
      </c>
      <c r="T100" s="23">
        <f>SUM(S100)</f>
        <v>75</v>
      </c>
      <c r="U100" s="23">
        <f>SUM(R100)</f>
        <v>75</v>
      </c>
      <c r="V100" s="14"/>
      <c r="X100" s="11" t="s">
        <v>383</v>
      </c>
      <c r="Y100" s="22">
        <v>4000</v>
      </c>
      <c r="Z100" s="22">
        <f>SUM(Y100)</f>
        <v>4000</v>
      </c>
      <c r="AA100" s="22">
        <f>SUM(Z100)</f>
        <v>4000</v>
      </c>
      <c r="AB100" s="22">
        <f>SUM(Y100)</f>
        <v>4000</v>
      </c>
      <c r="AC100" s="14"/>
    </row>
    <row r="101" spans="2:29" x14ac:dyDescent="0.2">
      <c r="B101" s="6" t="s">
        <v>7</v>
      </c>
      <c r="C101" s="24">
        <f>+C100*C99</f>
        <v>10129218.750000002</v>
      </c>
      <c r="D101" s="24">
        <f>+D100*D99</f>
        <v>10129218.750000002</v>
      </c>
      <c r="E101" s="25">
        <f>+E100*E99</f>
        <v>10129218.750000002</v>
      </c>
      <c r="F101" s="25">
        <f>+F100*F99</f>
        <v>10129218.750000002</v>
      </c>
      <c r="G101" s="14"/>
      <c r="J101" s="6" t="s">
        <v>7</v>
      </c>
      <c r="K101" s="24">
        <f>+K100*K99</f>
        <v>16376291.25</v>
      </c>
      <c r="L101" s="24">
        <f>+L100*L99</f>
        <v>16376291.25</v>
      </c>
      <c r="M101" s="25">
        <f>+M100*M99</f>
        <v>16376291.25</v>
      </c>
      <c r="N101" s="25">
        <f>+N100*N99</f>
        <v>16376291.25</v>
      </c>
      <c r="O101" s="14"/>
      <c r="Q101" s="6" t="s">
        <v>7</v>
      </c>
      <c r="R101" s="24">
        <f>+R100*R99</f>
        <v>6750000</v>
      </c>
      <c r="S101" s="24">
        <f>+S100*S99</f>
        <v>6750000</v>
      </c>
      <c r="T101" s="25">
        <f>+T100*T99</f>
        <v>6750000</v>
      </c>
      <c r="U101" s="25">
        <f>+U100*U99</f>
        <v>6750000</v>
      </c>
      <c r="V101" s="14"/>
      <c r="X101" s="6" t="s">
        <v>7</v>
      </c>
      <c r="Y101" s="24">
        <f>+Y100*Y99</f>
        <v>6000000</v>
      </c>
      <c r="Z101" s="24">
        <f>+Z100*Z99</f>
        <v>6000000</v>
      </c>
      <c r="AA101" s="25">
        <f>+AA100*AA99</f>
        <v>6000000</v>
      </c>
      <c r="AB101" s="25">
        <f>+AB100*AB99</f>
        <v>6000000</v>
      </c>
      <c r="AC101" s="14"/>
    </row>
    <row r="102" spans="2:29" x14ac:dyDescent="0.2">
      <c r="B102" s="16" t="s">
        <v>8</v>
      </c>
      <c r="C102" s="22">
        <f>+C101</f>
        <v>10129218.750000002</v>
      </c>
      <c r="D102" s="22">
        <f>+C102+D101</f>
        <v>20258437.500000004</v>
      </c>
      <c r="E102" s="23">
        <f>+D102+E101</f>
        <v>30387656.250000007</v>
      </c>
      <c r="F102" s="23">
        <f>+E102+F101</f>
        <v>40516875.000000007</v>
      </c>
      <c r="G102" s="14"/>
      <c r="J102" s="16" t="s">
        <v>8</v>
      </c>
      <c r="K102" s="22">
        <f>+K101</f>
        <v>16376291.25</v>
      </c>
      <c r="L102" s="22">
        <f>+K102+L101</f>
        <v>32752582.5</v>
      </c>
      <c r="M102" s="23">
        <f>+L102+M101</f>
        <v>49128873.75</v>
      </c>
      <c r="N102" s="23">
        <f>+M102+N101</f>
        <v>65505165</v>
      </c>
      <c r="O102" s="14"/>
      <c r="Q102" s="16" t="s">
        <v>8</v>
      </c>
      <c r="R102" s="22">
        <f>+R101</f>
        <v>6750000</v>
      </c>
      <c r="S102" s="22">
        <f>+R102+S101</f>
        <v>13500000</v>
      </c>
      <c r="T102" s="23">
        <f>+S102+T101</f>
        <v>20250000</v>
      </c>
      <c r="U102" s="23">
        <f>+T102+U101</f>
        <v>27000000</v>
      </c>
      <c r="V102" s="14"/>
      <c r="X102" s="16" t="s">
        <v>8</v>
      </c>
      <c r="Y102" s="22">
        <f>+Y101</f>
        <v>6000000</v>
      </c>
      <c r="Z102" s="22">
        <f>+Y102+Z101</f>
        <v>12000000</v>
      </c>
      <c r="AA102" s="23">
        <f>+Z102+AA101</f>
        <v>18000000</v>
      </c>
      <c r="AB102" s="23">
        <f>+AA102+AB101</f>
        <v>24000000</v>
      </c>
      <c r="AC102" s="14"/>
    </row>
    <row r="103" spans="2:29" x14ac:dyDescent="0.2">
      <c r="B103" s="7"/>
      <c r="C103" s="26"/>
      <c r="D103" s="26"/>
      <c r="E103" s="27"/>
      <c r="F103" s="27"/>
      <c r="G103" s="14"/>
      <c r="J103" s="7"/>
      <c r="K103" s="26"/>
      <c r="L103" s="26"/>
      <c r="M103" s="27"/>
      <c r="N103" s="27"/>
      <c r="O103" s="14"/>
      <c r="Q103" s="7"/>
      <c r="R103" s="26"/>
      <c r="S103" s="26"/>
      <c r="T103" s="27"/>
      <c r="U103" s="27"/>
      <c r="V103" s="14"/>
      <c r="X103" s="7"/>
      <c r="Y103" s="26"/>
      <c r="Z103" s="26"/>
      <c r="AA103" s="27"/>
      <c r="AB103" s="27"/>
      <c r="AC103" s="14"/>
    </row>
    <row r="104" spans="2:29" x14ac:dyDescent="0.2">
      <c r="B104" s="17" t="s">
        <v>819</v>
      </c>
      <c r="C104" s="26"/>
      <c r="D104" s="26"/>
      <c r="E104" s="27"/>
      <c r="F104" s="27"/>
      <c r="G104" s="14"/>
      <c r="J104" s="17" t="s">
        <v>13</v>
      </c>
      <c r="K104" s="26"/>
      <c r="L104" s="26"/>
      <c r="M104" s="27"/>
      <c r="N104" s="27"/>
      <c r="O104" s="14"/>
      <c r="Q104" s="17" t="s">
        <v>821</v>
      </c>
      <c r="R104" s="26"/>
      <c r="S104" s="26"/>
      <c r="T104" s="27"/>
      <c r="U104" s="27"/>
      <c r="V104" s="14"/>
      <c r="X104" s="17" t="s">
        <v>381</v>
      </c>
      <c r="Y104" s="26"/>
      <c r="Z104" s="26"/>
      <c r="AA104" s="27"/>
      <c r="AB104" s="27"/>
      <c r="AC104" s="14"/>
    </row>
    <row r="105" spans="2:29" x14ac:dyDescent="0.2">
      <c r="B105" s="11" t="s">
        <v>1</v>
      </c>
      <c r="C105" s="22">
        <v>5</v>
      </c>
      <c r="D105" s="22">
        <v>5</v>
      </c>
      <c r="E105" s="23">
        <v>5</v>
      </c>
      <c r="F105" s="22"/>
      <c r="G105" s="38">
        <f>+SUM(C105:F105)</f>
        <v>15</v>
      </c>
      <c r="J105" s="11" t="s">
        <v>1</v>
      </c>
      <c r="K105" s="22"/>
      <c r="L105" s="22"/>
      <c r="M105" s="22"/>
      <c r="N105" s="22"/>
      <c r="O105" s="38">
        <f>+SUM(K105:N105)</f>
        <v>0</v>
      </c>
      <c r="Q105" s="11" t="s">
        <v>372</v>
      </c>
      <c r="R105" s="22"/>
      <c r="S105" s="22">
        <v>500</v>
      </c>
      <c r="T105" s="23">
        <v>0</v>
      </c>
      <c r="U105" s="23">
        <v>500</v>
      </c>
      <c r="V105" s="38">
        <f>+SUM(R105:U105)</f>
        <v>1000</v>
      </c>
      <c r="X105" s="11" t="s">
        <v>385</v>
      </c>
      <c r="Y105" s="22">
        <v>500</v>
      </c>
      <c r="Z105" s="22">
        <v>500</v>
      </c>
      <c r="AA105" s="23">
        <v>500</v>
      </c>
      <c r="AB105" s="23">
        <v>500</v>
      </c>
      <c r="AC105" s="38">
        <f>+SUM(Y105:AB105)</f>
        <v>2000</v>
      </c>
    </row>
    <row r="106" spans="2:29" x14ac:dyDescent="0.2">
      <c r="B106" s="7" t="s">
        <v>19</v>
      </c>
      <c r="C106" s="24">
        <f>SUM(C83)</f>
        <v>1200000</v>
      </c>
      <c r="D106" s="24">
        <f>+C106</f>
        <v>1200000</v>
      </c>
      <c r="E106" s="24">
        <f>+D106</f>
        <v>1200000</v>
      </c>
      <c r="F106" s="24">
        <f>+E106</f>
        <v>1200000</v>
      </c>
      <c r="G106" s="14"/>
      <c r="J106" s="7" t="s">
        <v>19</v>
      </c>
      <c r="K106" s="24"/>
      <c r="L106" s="24"/>
      <c r="M106" s="24"/>
      <c r="N106" s="24"/>
      <c r="O106" s="14"/>
      <c r="Q106" s="7" t="s">
        <v>383</v>
      </c>
      <c r="R106" s="24">
        <v>3000</v>
      </c>
      <c r="S106" s="24">
        <v>3000</v>
      </c>
      <c r="T106" s="24">
        <v>3000</v>
      </c>
      <c r="U106" s="24">
        <v>3000</v>
      </c>
      <c r="V106" s="14"/>
      <c r="X106" s="7" t="s">
        <v>817</v>
      </c>
      <c r="Y106" s="24">
        <v>5000</v>
      </c>
      <c r="Z106" s="24">
        <v>5000</v>
      </c>
      <c r="AA106" s="24">
        <v>5000</v>
      </c>
      <c r="AB106" s="24">
        <v>5000</v>
      </c>
      <c r="AC106" s="14"/>
    </row>
    <row r="107" spans="2:29" x14ac:dyDescent="0.2">
      <c r="B107" s="15" t="s">
        <v>7</v>
      </c>
      <c r="C107" s="22">
        <f>+C106*C105</f>
        <v>6000000</v>
      </c>
      <c r="D107" s="22">
        <f>+D106*D105</f>
        <v>6000000</v>
      </c>
      <c r="E107" s="23">
        <f>+E106*E105</f>
        <v>6000000</v>
      </c>
      <c r="F107" s="22">
        <f>+F106*F105</f>
        <v>0</v>
      </c>
      <c r="G107" s="14"/>
      <c r="J107" s="15" t="s">
        <v>7</v>
      </c>
      <c r="K107" s="22"/>
      <c r="L107" s="22"/>
      <c r="M107" s="23"/>
      <c r="N107" s="22"/>
      <c r="O107" s="14"/>
      <c r="Q107" s="15" t="s">
        <v>7</v>
      </c>
      <c r="R107" s="22">
        <f>+R106*R105</f>
        <v>0</v>
      </c>
      <c r="S107" s="22">
        <f>+S106*S105</f>
        <v>1500000</v>
      </c>
      <c r="T107" s="23">
        <f>+T106*T105</f>
        <v>0</v>
      </c>
      <c r="U107" s="23">
        <f>+U106*U105</f>
        <v>1500000</v>
      </c>
      <c r="V107" s="14"/>
      <c r="X107" s="15" t="s">
        <v>7</v>
      </c>
      <c r="Y107" s="22">
        <f>+Y106*Y105</f>
        <v>2500000</v>
      </c>
      <c r="Z107" s="22">
        <f>+Z106*Z105</f>
        <v>2500000</v>
      </c>
      <c r="AA107" s="23">
        <f>+AA106*AA105</f>
        <v>2500000</v>
      </c>
      <c r="AB107" s="23">
        <f>+AB106*AB105</f>
        <v>2500000</v>
      </c>
      <c r="AC107" s="14"/>
    </row>
    <row r="108" spans="2:29" x14ac:dyDescent="0.2">
      <c r="B108" s="12" t="s">
        <v>8</v>
      </c>
      <c r="C108" s="28">
        <f>+C107</f>
        <v>6000000</v>
      </c>
      <c r="D108" s="28">
        <f>+C108+D107</f>
        <v>12000000</v>
      </c>
      <c r="E108" s="29">
        <f>+D108+E107</f>
        <v>18000000</v>
      </c>
      <c r="F108" s="28">
        <f>+E108+F107</f>
        <v>18000000</v>
      </c>
      <c r="G108" s="14"/>
      <c r="J108" s="12" t="s">
        <v>8</v>
      </c>
      <c r="K108" s="28"/>
      <c r="L108" s="28"/>
      <c r="M108" s="29"/>
      <c r="N108" s="28"/>
      <c r="O108" s="14"/>
      <c r="Q108" s="12" t="s">
        <v>8</v>
      </c>
      <c r="R108" s="28">
        <f>+R107</f>
        <v>0</v>
      </c>
      <c r="S108" s="28">
        <f>+R108+S107</f>
        <v>1500000</v>
      </c>
      <c r="T108" s="29">
        <f>+S108+T107</f>
        <v>1500000</v>
      </c>
      <c r="U108" s="29">
        <f>+T108+U107</f>
        <v>3000000</v>
      </c>
      <c r="V108" s="14"/>
      <c r="X108" s="12" t="s">
        <v>8</v>
      </c>
      <c r="Y108" s="28">
        <f>+Y107</f>
        <v>2500000</v>
      </c>
      <c r="Z108" s="28">
        <f>+Y108+Z107</f>
        <v>5000000</v>
      </c>
      <c r="AA108" s="29">
        <f>+Z108+AA107</f>
        <v>7500000</v>
      </c>
      <c r="AB108" s="29">
        <f>+AA108+AB107</f>
        <v>10000000</v>
      </c>
      <c r="AC108" s="14"/>
    </row>
    <row r="109" spans="2:29" x14ac:dyDescent="0.2">
      <c r="B109" s="7"/>
      <c r="C109" s="26"/>
      <c r="D109" s="26"/>
      <c r="E109" s="27"/>
      <c r="F109" s="27"/>
      <c r="G109" s="14"/>
      <c r="J109" s="7"/>
      <c r="K109" s="26"/>
      <c r="L109" s="26"/>
      <c r="M109" s="27"/>
      <c r="N109" s="27"/>
      <c r="O109" s="14"/>
      <c r="Q109" s="8"/>
      <c r="R109" s="34"/>
      <c r="S109" s="34"/>
      <c r="T109" s="35"/>
      <c r="U109" s="35"/>
      <c r="V109" s="14"/>
      <c r="X109" s="8"/>
      <c r="Y109" s="34"/>
      <c r="Z109" s="34"/>
      <c r="AA109" s="35"/>
      <c r="AB109" s="35"/>
      <c r="AC109" s="14"/>
    </row>
    <row r="110" spans="2:29" x14ac:dyDescent="0.2">
      <c r="B110" s="17" t="s">
        <v>820</v>
      </c>
      <c r="C110" s="26"/>
      <c r="D110" s="26"/>
      <c r="E110" s="27"/>
      <c r="F110" s="27"/>
      <c r="G110" s="14"/>
      <c r="J110" s="17" t="s">
        <v>14</v>
      </c>
      <c r="K110" s="26"/>
      <c r="L110" s="26"/>
      <c r="M110" s="27"/>
      <c r="N110" s="27"/>
      <c r="O110" s="14"/>
      <c r="Q110" s="13" t="s">
        <v>15</v>
      </c>
      <c r="R110" s="36">
        <f>+R107+R101</f>
        <v>6750000</v>
      </c>
      <c r="S110" s="36">
        <f>+S107+S101</f>
        <v>8250000</v>
      </c>
      <c r="T110" s="36">
        <f>+T107+T101</f>
        <v>6750000</v>
      </c>
      <c r="U110" s="36">
        <f>+U107+U101</f>
        <v>8250000</v>
      </c>
      <c r="V110" s="62">
        <f>+SUM(V99:V109)</f>
        <v>361000</v>
      </c>
      <c r="X110" s="13" t="s">
        <v>15</v>
      </c>
      <c r="Y110" s="36">
        <f>+Y107+Y101</f>
        <v>8500000</v>
      </c>
      <c r="Z110" s="36">
        <f>+Z107+Z101</f>
        <v>8500000</v>
      </c>
      <c r="AA110" s="36">
        <f>+AA107+AA101</f>
        <v>8500000</v>
      </c>
      <c r="AB110" s="36">
        <f>+AB107+AB101</f>
        <v>8500000</v>
      </c>
      <c r="AC110" s="62">
        <f>+SUM(AC99:AC109)</f>
        <v>8000</v>
      </c>
    </row>
    <row r="111" spans="2:29" x14ac:dyDescent="0.2">
      <c r="B111" s="11" t="s">
        <v>1</v>
      </c>
      <c r="C111" s="22">
        <v>5</v>
      </c>
      <c r="D111" s="22">
        <v>5</v>
      </c>
      <c r="E111" s="23">
        <v>5</v>
      </c>
      <c r="F111" s="23"/>
      <c r="G111" s="38">
        <f>+SUM(C111:F111)</f>
        <v>15</v>
      </c>
      <c r="J111" s="11" t="s">
        <v>1</v>
      </c>
      <c r="K111" s="22"/>
      <c r="L111" s="22"/>
      <c r="M111" s="22"/>
      <c r="N111" s="22"/>
      <c r="O111" s="38">
        <f>+SUM(K111:N111)</f>
        <v>0</v>
      </c>
      <c r="Q111" s="299" t="s">
        <v>733</v>
      </c>
      <c r="R111" s="300">
        <f>+R110</f>
        <v>6750000</v>
      </c>
      <c r="S111" s="300">
        <f>+R111+S110</f>
        <v>15000000</v>
      </c>
      <c r="T111" s="300">
        <f>+S111+T110</f>
        <v>21750000</v>
      </c>
      <c r="U111" s="300">
        <f>+T111+U110</f>
        <v>30000000</v>
      </c>
      <c r="V111" s="311"/>
      <c r="W111" s="301"/>
      <c r="X111" s="299" t="s">
        <v>733</v>
      </c>
      <c r="Y111" s="300">
        <f>+Y110</f>
        <v>8500000</v>
      </c>
      <c r="Z111" s="300">
        <f>+Y111+Z110</f>
        <v>17000000</v>
      </c>
      <c r="AA111" s="300">
        <f>+Z111+AA110</f>
        <v>25500000</v>
      </c>
      <c r="AB111" s="300">
        <f>+AA111+AB110</f>
        <v>34000000</v>
      </c>
      <c r="AC111" s="63"/>
    </row>
    <row r="112" spans="2:29" x14ac:dyDescent="0.2">
      <c r="B112" s="7" t="s">
        <v>19</v>
      </c>
      <c r="C112" s="24">
        <f>SUM(C89)</f>
        <v>800000</v>
      </c>
      <c r="D112" s="24">
        <f>+C112</f>
        <v>800000</v>
      </c>
      <c r="E112" s="24">
        <f>+D112</f>
        <v>800000</v>
      </c>
      <c r="F112" s="24">
        <f>+E112</f>
        <v>800000</v>
      </c>
      <c r="G112" s="14"/>
      <c r="J112" s="7" t="s">
        <v>19</v>
      </c>
      <c r="K112" s="24"/>
      <c r="L112" s="24"/>
      <c r="M112" s="24"/>
      <c r="N112" s="24"/>
      <c r="O112" s="14"/>
      <c r="Q112" s="199"/>
      <c r="R112" s="104"/>
      <c r="S112" s="104"/>
      <c r="T112" s="104"/>
      <c r="U112" s="104"/>
      <c r="V112" s="211"/>
      <c r="X112" s="199"/>
      <c r="Y112" s="104"/>
      <c r="Z112" s="104"/>
      <c r="AA112" s="104"/>
      <c r="AB112" s="104"/>
      <c r="AC112" s="211"/>
    </row>
    <row r="113" spans="2:29" x14ac:dyDescent="0.2">
      <c r="B113" s="15" t="s">
        <v>7</v>
      </c>
      <c r="C113" s="22">
        <f>+C112*C111</f>
        <v>4000000</v>
      </c>
      <c r="D113" s="22">
        <f>+D112*D111</f>
        <v>4000000</v>
      </c>
      <c r="E113" s="23">
        <f>+E112*E111</f>
        <v>4000000</v>
      </c>
      <c r="F113" s="23">
        <f>+F112*F111</f>
        <v>0</v>
      </c>
      <c r="G113" s="14"/>
      <c r="J113" s="15" t="s">
        <v>7</v>
      </c>
      <c r="K113" s="22"/>
      <c r="L113" s="22"/>
      <c r="M113" s="23"/>
      <c r="N113" s="23"/>
      <c r="O113" s="14"/>
      <c r="Q113" s="199"/>
      <c r="R113" s="104"/>
      <c r="S113" s="104"/>
      <c r="T113" s="104"/>
      <c r="U113" s="104"/>
      <c r="V113" s="211"/>
      <c r="X113" s="199"/>
      <c r="Y113" s="104"/>
      <c r="Z113" s="104"/>
      <c r="AA113" s="104"/>
      <c r="AB113" s="104"/>
      <c r="AC113" s="211"/>
    </row>
    <row r="114" spans="2:29" x14ac:dyDescent="0.2">
      <c r="B114" s="12" t="s">
        <v>8</v>
      </c>
      <c r="C114" s="24">
        <f>+C113</f>
        <v>4000000</v>
      </c>
      <c r="D114" s="24">
        <f>+C114+D113</f>
        <v>8000000</v>
      </c>
      <c r="E114" s="25">
        <f>+D114+E113</f>
        <v>12000000</v>
      </c>
      <c r="F114" s="25">
        <f>+E114+F113</f>
        <v>12000000</v>
      </c>
      <c r="G114" s="14"/>
      <c r="J114" s="12" t="s">
        <v>8</v>
      </c>
      <c r="K114" s="24"/>
      <c r="L114" s="24"/>
      <c r="M114" s="25"/>
      <c r="N114" s="25"/>
      <c r="O114" s="14"/>
      <c r="Q114" s="199"/>
      <c r="R114" s="104"/>
      <c r="S114" s="104"/>
      <c r="T114" s="104"/>
      <c r="U114" s="104"/>
      <c r="V114" s="211"/>
      <c r="X114" s="199"/>
      <c r="Y114" s="104"/>
      <c r="Z114" s="104"/>
      <c r="AA114" s="104"/>
      <c r="AB114" s="104"/>
      <c r="AC114" s="211"/>
    </row>
    <row r="115" spans="2:29" x14ac:dyDescent="0.2">
      <c r="B115" s="8"/>
      <c r="C115" s="34"/>
      <c r="D115" s="34"/>
      <c r="E115" s="35"/>
      <c r="F115" s="35"/>
      <c r="G115" s="14"/>
      <c r="J115" s="8"/>
      <c r="K115" s="34"/>
      <c r="L115" s="34"/>
      <c r="M115" s="35"/>
      <c r="N115" s="35"/>
      <c r="O115" s="14"/>
      <c r="Q115" s="199"/>
      <c r="R115" s="104"/>
      <c r="S115" s="104"/>
      <c r="T115" s="104"/>
      <c r="U115" s="104"/>
      <c r="V115" s="211"/>
      <c r="X115" s="199"/>
      <c r="Y115" s="104"/>
      <c r="Z115" s="104"/>
      <c r="AA115" s="104"/>
      <c r="AB115" s="104"/>
      <c r="AC115" s="211"/>
    </row>
    <row r="116" spans="2:29" x14ac:dyDescent="0.2">
      <c r="B116" s="13" t="s">
        <v>15</v>
      </c>
      <c r="C116" s="36">
        <f>+C101+C107+C113</f>
        <v>20129218.75</v>
      </c>
      <c r="D116" s="36">
        <f>+D113+D107+D101</f>
        <v>20129218.75</v>
      </c>
      <c r="E116" s="36">
        <f>+E113+E107+E101</f>
        <v>20129218.75</v>
      </c>
      <c r="F116" s="36">
        <f>+F113+F107+F101</f>
        <v>10129218.750000002</v>
      </c>
      <c r="G116" s="853">
        <f>+SUM(G99:G115)</f>
        <v>100030</v>
      </c>
      <c r="J116" s="13" t="s">
        <v>15</v>
      </c>
      <c r="K116" s="36">
        <f>+K101+K107+K113</f>
        <v>16376291.25</v>
      </c>
      <c r="L116" s="36">
        <f>+L113+L107+L101</f>
        <v>16376291.25</v>
      </c>
      <c r="M116" s="36">
        <f>+M113+M107+M101</f>
        <v>16376291.25</v>
      </c>
      <c r="N116" s="36">
        <f>+N113+N107+N101</f>
        <v>16376291.25</v>
      </c>
      <c r="O116" s="853">
        <f>+SUM(O99:O115)</f>
        <v>120</v>
      </c>
      <c r="Q116" s="199"/>
      <c r="R116" s="104"/>
      <c r="S116" s="104"/>
      <c r="T116" s="104"/>
      <c r="U116" s="104"/>
      <c r="V116" s="211"/>
      <c r="X116" s="199"/>
      <c r="Y116" s="104"/>
      <c r="Z116" s="104"/>
      <c r="AA116" s="104"/>
      <c r="AB116" s="104"/>
      <c r="AC116" s="211"/>
    </row>
    <row r="117" spans="2:29" s="301" customFormat="1" x14ac:dyDescent="0.2">
      <c r="B117" s="299" t="s">
        <v>733</v>
      </c>
      <c r="C117" s="300">
        <f>+C116</f>
        <v>20129218.75</v>
      </c>
      <c r="D117" s="300">
        <f>+C117+D116</f>
        <v>40258437.5</v>
      </c>
      <c r="E117" s="300">
        <f>+D117+E116</f>
        <v>60387656.25</v>
      </c>
      <c r="F117" s="300">
        <f>+E117+F116</f>
        <v>70516875</v>
      </c>
      <c r="G117" s="854"/>
      <c r="J117" s="299" t="s">
        <v>733</v>
      </c>
      <c r="K117" s="300">
        <f>+K116</f>
        <v>16376291.25</v>
      </c>
      <c r="L117" s="300">
        <f>+K117+L116</f>
        <v>32752582.5</v>
      </c>
      <c r="M117" s="300">
        <f>+L117+M116</f>
        <v>49128873.75</v>
      </c>
      <c r="N117" s="300">
        <f>+M117+N116</f>
        <v>65505165</v>
      </c>
      <c r="O117" s="854"/>
      <c r="Q117" s="302"/>
      <c r="R117" s="303"/>
      <c r="S117" s="303"/>
      <c r="T117" s="303"/>
      <c r="U117" s="303"/>
      <c r="V117" s="304"/>
      <c r="X117" s="302"/>
      <c r="Y117" s="303"/>
      <c r="Z117" s="303"/>
      <c r="AA117" s="303"/>
      <c r="AB117" s="303"/>
      <c r="AC117" s="304"/>
    </row>
    <row r="118" spans="2:29" x14ac:dyDescent="0.2">
      <c r="Q118" s="199"/>
      <c r="R118" s="104"/>
      <c r="S118" s="104"/>
      <c r="T118" s="104"/>
      <c r="U118" s="104"/>
      <c r="V118" s="211"/>
      <c r="X118" s="199"/>
      <c r="Y118" s="104"/>
      <c r="Z118" s="104"/>
      <c r="AA118" s="104"/>
      <c r="AB118" s="104"/>
      <c r="AC118" s="211"/>
    </row>
    <row r="119" spans="2:29" x14ac:dyDescent="0.2">
      <c r="Q119" s="199"/>
      <c r="R119" s="104"/>
      <c r="S119" s="104"/>
      <c r="T119" s="104"/>
      <c r="U119" s="104"/>
      <c r="V119" s="211"/>
      <c r="X119" s="199"/>
      <c r="Y119" s="104"/>
      <c r="Z119" s="104"/>
      <c r="AA119" s="104"/>
      <c r="AB119" s="104"/>
      <c r="AC119" s="211"/>
    </row>
    <row r="120" spans="2:29" x14ac:dyDescent="0.2">
      <c r="Q120" s="199"/>
      <c r="R120" s="104"/>
      <c r="S120" s="104"/>
      <c r="T120" s="104"/>
      <c r="U120" s="104"/>
      <c r="V120" s="211"/>
      <c r="X120" s="199"/>
      <c r="Y120" s="104"/>
      <c r="Z120" s="104"/>
      <c r="AA120" s="104"/>
      <c r="AB120" s="104"/>
      <c r="AC120" s="211"/>
    </row>
    <row r="122" spans="2:29" x14ac:dyDescent="0.2">
      <c r="B122" s="869" t="s">
        <v>353</v>
      </c>
      <c r="C122" s="870"/>
      <c r="D122" s="870"/>
      <c r="E122" s="870"/>
      <c r="F122" s="870"/>
      <c r="G122" s="871"/>
      <c r="J122" s="869" t="s">
        <v>361</v>
      </c>
      <c r="K122" s="870"/>
      <c r="L122" s="870"/>
      <c r="M122" s="870"/>
      <c r="N122" s="870"/>
      <c r="O122" s="871"/>
      <c r="Q122" s="858" t="s">
        <v>371</v>
      </c>
      <c r="R122" s="859"/>
      <c r="S122" s="859"/>
      <c r="T122" s="859"/>
      <c r="U122" s="859"/>
      <c r="V122" s="860"/>
      <c r="X122" s="858" t="s">
        <v>369</v>
      </c>
      <c r="Y122" s="859"/>
      <c r="Z122" s="859"/>
      <c r="AA122" s="859"/>
      <c r="AB122" s="859"/>
      <c r="AC122" s="860"/>
    </row>
    <row r="123" spans="2:29" x14ac:dyDescent="0.2">
      <c r="B123" s="10" t="s">
        <v>2</v>
      </c>
      <c r="C123" s="42">
        <v>2026</v>
      </c>
      <c r="D123" s="42">
        <v>2027</v>
      </c>
      <c r="E123" s="42">
        <v>2028</v>
      </c>
      <c r="F123" s="42">
        <v>2029</v>
      </c>
      <c r="G123" s="42">
        <v>2030</v>
      </c>
      <c r="J123" s="10" t="s">
        <v>2</v>
      </c>
      <c r="K123" s="42">
        <v>2026</v>
      </c>
      <c r="L123" s="42">
        <v>2027</v>
      </c>
      <c r="M123" s="42">
        <v>2028</v>
      </c>
      <c r="N123" s="42">
        <v>2029</v>
      </c>
      <c r="O123" s="42">
        <v>2030</v>
      </c>
      <c r="Q123" s="10" t="s">
        <v>2</v>
      </c>
      <c r="R123" s="42">
        <v>2026</v>
      </c>
      <c r="S123" s="42">
        <v>2027</v>
      </c>
      <c r="T123" s="42">
        <v>2028</v>
      </c>
      <c r="U123" s="42">
        <v>2029</v>
      </c>
      <c r="V123" s="42">
        <v>2030</v>
      </c>
      <c r="X123" s="10" t="s">
        <v>2</v>
      </c>
      <c r="Y123" s="42">
        <v>2026</v>
      </c>
      <c r="Z123" s="42">
        <v>2027</v>
      </c>
      <c r="AA123" s="42">
        <v>2028</v>
      </c>
      <c r="AB123" s="42">
        <v>2029</v>
      </c>
      <c r="AC123" s="42">
        <v>2030</v>
      </c>
    </row>
    <row r="124" spans="2:29" x14ac:dyDescent="0.2">
      <c r="B124" s="43" t="s">
        <v>17</v>
      </c>
      <c r="C124" s="49">
        <f>+F23</f>
        <v>9000</v>
      </c>
      <c r="D124" s="44">
        <f>+G46</f>
        <v>36000</v>
      </c>
      <c r="E124" s="49">
        <f>+G70</f>
        <v>36030</v>
      </c>
      <c r="F124" s="44">
        <f>SUM(F125:F127)</f>
        <v>86430</v>
      </c>
      <c r="G124" s="49">
        <f>+G116</f>
        <v>100030</v>
      </c>
      <c r="J124" s="43" t="s">
        <v>17</v>
      </c>
      <c r="K124" s="49">
        <f>+N23</f>
        <v>30</v>
      </c>
      <c r="L124" s="44">
        <f>+O46</f>
        <v>120</v>
      </c>
      <c r="M124" s="49">
        <f>+O70</f>
        <v>120</v>
      </c>
      <c r="N124" s="44">
        <f>+O93</f>
        <v>120</v>
      </c>
      <c r="O124" s="49">
        <f>+O116</f>
        <v>120</v>
      </c>
      <c r="Q124" s="43" t="s">
        <v>17</v>
      </c>
      <c r="R124" s="49">
        <f>+U11</f>
        <v>90000</v>
      </c>
      <c r="S124" s="44">
        <f>+V40</f>
        <v>360000</v>
      </c>
      <c r="T124" s="49">
        <f>+V64</f>
        <v>361000</v>
      </c>
      <c r="U124" s="44">
        <f>+V87</f>
        <v>361000</v>
      </c>
      <c r="V124" s="49">
        <f>+V110</f>
        <v>361000</v>
      </c>
      <c r="X124" s="43" t="s">
        <v>17</v>
      </c>
      <c r="Y124" s="49">
        <f>+AB11</f>
        <v>1950</v>
      </c>
      <c r="Z124" s="44">
        <f>+AC40</f>
        <v>8000</v>
      </c>
      <c r="AA124" s="49">
        <f>+AC64</f>
        <v>8000</v>
      </c>
      <c r="AB124" s="44">
        <f>+AC87</f>
        <v>8000</v>
      </c>
      <c r="AC124" s="49">
        <f>+AC110</f>
        <v>8000</v>
      </c>
    </row>
    <row r="125" spans="2:29" x14ac:dyDescent="0.2">
      <c r="B125" s="433" t="s">
        <v>354</v>
      </c>
      <c r="C125" s="50">
        <f>+F6</f>
        <v>9000</v>
      </c>
      <c r="D125" s="45">
        <f>+G29</f>
        <v>36000</v>
      </c>
      <c r="E125" s="50">
        <f>SUM(G53)</f>
        <v>36000</v>
      </c>
      <c r="F125" s="45">
        <f>SUM(G76)</f>
        <v>86400</v>
      </c>
      <c r="G125" s="50">
        <f>SUM(G99)</f>
        <v>100000</v>
      </c>
      <c r="J125" s="11" t="s">
        <v>332</v>
      </c>
      <c r="K125" s="50">
        <f>+N6</f>
        <v>30</v>
      </c>
      <c r="L125" s="45">
        <f>+O29</f>
        <v>120</v>
      </c>
      <c r="M125" s="50">
        <f>SUM(O53)</f>
        <v>120</v>
      </c>
      <c r="N125" s="45">
        <f>SUM(O76)</f>
        <v>120</v>
      </c>
      <c r="O125" s="50">
        <f>SUM(O99)</f>
        <v>120</v>
      </c>
      <c r="Q125" s="432" t="s">
        <v>368</v>
      </c>
      <c r="R125" s="65">
        <f>+U6</f>
        <v>90000</v>
      </c>
      <c r="S125" s="66">
        <f>+V29</f>
        <v>360000</v>
      </c>
      <c r="T125" s="65">
        <f>+V53</f>
        <v>360000</v>
      </c>
      <c r="U125" s="66">
        <f>+V76</f>
        <v>360000</v>
      </c>
      <c r="V125" s="65">
        <f>+V99</f>
        <v>360000</v>
      </c>
      <c r="X125" s="433" t="s">
        <v>382</v>
      </c>
      <c r="Y125" s="65">
        <f>+AB6</f>
        <v>1950</v>
      </c>
      <c r="Z125" s="66">
        <f>+AC29</f>
        <v>6000</v>
      </c>
      <c r="AA125" s="65">
        <f>+AC53</f>
        <v>6000</v>
      </c>
      <c r="AB125" s="66">
        <f>+AC76</f>
        <v>6000</v>
      </c>
      <c r="AC125" s="65">
        <f>+AC99</f>
        <v>6000</v>
      </c>
    </row>
    <row r="126" spans="2:29" x14ac:dyDescent="0.2">
      <c r="B126" s="436" t="s">
        <v>819</v>
      </c>
      <c r="C126" s="51">
        <f>+F12</f>
        <v>0</v>
      </c>
      <c r="D126" s="46">
        <v>0</v>
      </c>
      <c r="E126" s="51">
        <f>+G59</f>
        <v>15</v>
      </c>
      <c r="F126" s="46">
        <f>+G82</f>
        <v>15</v>
      </c>
      <c r="G126" s="51">
        <f>+G105</f>
        <v>15</v>
      </c>
      <c r="J126" s="7" t="s">
        <v>822</v>
      </c>
      <c r="K126" s="51">
        <f>+N12</f>
        <v>0</v>
      </c>
      <c r="L126" s="46">
        <f>+O35</f>
        <v>0</v>
      </c>
      <c r="M126" s="51">
        <f>+O59</f>
        <v>0</v>
      </c>
      <c r="N126" s="46">
        <f>+O82</f>
        <v>0</v>
      </c>
      <c r="O126" s="51">
        <f>+O105</f>
        <v>0</v>
      </c>
      <c r="Q126" s="432" t="s">
        <v>821</v>
      </c>
      <c r="R126" s="67">
        <f>+U9</f>
        <v>0</v>
      </c>
      <c r="S126" s="68">
        <f>+V35</f>
        <v>0</v>
      </c>
      <c r="T126" s="67">
        <f>+V59</f>
        <v>1000</v>
      </c>
      <c r="U126" s="68">
        <f>+V82</f>
        <v>1000</v>
      </c>
      <c r="V126" s="67">
        <f>+V105</f>
        <v>1000</v>
      </c>
      <c r="X126" s="434" t="s">
        <v>385</v>
      </c>
      <c r="Y126" s="67">
        <f>+AB9</f>
        <v>0</v>
      </c>
      <c r="Z126" s="68">
        <f>+AC35</f>
        <v>2000</v>
      </c>
      <c r="AA126" s="67">
        <f>+AC59</f>
        <v>2000</v>
      </c>
      <c r="AB126" s="68">
        <f>+AC82</f>
        <v>2000</v>
      </c>
      <c r="AC126" s="67">
        <f>+AC105</f>
        <v>2000</v>
      </c>
    </row>
    <row r="127" spans="2:29" x14ac:dyDescent="0.2">
      <c r="B127" s="437" t="s">
        <v>820</v>
      </c>
      <c r="C127" s="52"/>
      <c r="D127" s="48">
        <f>+G41</f>
        <v>0</v>
      </c>
      <c r="E127" s="54">
        <f>+G65</f>
        <v>15</v>
      </c>
      <c r="F127" s="48">
        <f>+G88</f>
        <v>15</v>
      </c>
      <c r="G127" s="54">
        <f>+G111</f>
        <v>15</v>
      </c>
      <c r="J127" s="47" t="s">
        <v>822</v>
      </c>
      <c r="K127" s="52"/>
      <c r="L127" s="48">
        <f>+O41</f>
        <v>0</v>
      </c>
      <c r="M127" s="54">
        <f>+O65</f>
        <v>0</v>
      </c>
      <c r="N127" s="48">
        <f>+O88</f>
        <v>0</v>
      </c>
      <c r="O127" s="54">
        <f>+O111</f>
        <v>0</v>
      </c>
      <c r="R127" s="60"/>
      <c r="S127" s="46"/>
      <c r="T127" s="46"/>
      <c r="U127" s="46"/>
      <c r="V127" s="46"/>
    </row>
    <row r="148" spans="2:29" x14ac:dyDescent="0.2">
      <c r="B148" s="869" t="s">
        <v>357</v>
      </c>
      <c r="C148" s="870"/>
      <c r="D148" s="870"/>
      <c r="E148" s="870"/>
      <c r="F148" s="870"/>
      <c r="G148" s="871"/>
      <c r="J148" s="869" t="s">
        <v>362</v>
      </c>
      <c r="K148" s="870"/>
      <c r="L148" s="870"/>
      <c r="M148" s="870"/>
      <c r="N148" s="870"/>
      <c r="O148" s="871"/>
      <c r="Q148" s="869" t="s">
        <v>335</v>
      </c>
      <c r="R148" s="870"/>
      <c r="S148" s="870"/>
      <c r="T148" s="870"/>
      <c r="U148" s="870"/>
      <c r="V148" s="871"/>
      <c r="X148" s="869" t="s">
        <v>370</v>
      </c>
      <c r="Y148" s="870"/>
      <c r="Z148" s="870"/>
      <c r="AA148" s="870"/>
      <c r="AB148" s="870"/>
      <c r="AC148" s="871"/>
    </row>
    <row r="149" spans="2:29" x14ac:dyDescent="0.2">
      <c r="B149" s="10" t="s">
        <v>18</v>
      </c>
      <c r="C149" s="42">
        <v>2026</v>
      </c>
      <c r="D149" s="42">
        <v>2027</v>
      </c>
      <c r="E149" s="42">
        <v>2028</v>
      </c>
      <c r="F149" s="42">
        <v>2029</v>
      </c>
      <c r="G149" s="42">
        <v>2030</v>
      </c>
      <c r="J149" s="10" t="s">
        <v>18</v>
      </c>
      <c r="K149" s="42">
        <v>2026</v>
      </c>
      <c r="L149" s="42">
        <v>2027</v>
      </c>
      <c r="M149" s="42">
        <v>2028</v>
      </c>
      <c r="N149" s="42">
        <v>2029</v>
      </c>
      <c r="O149" s="42">
        <v>2030</v>
      </c>
      <c r="Q149" s="10" t="s">
        <v>18</v>
      </c>
      <c r="R149" s="42">
        <v>2026</v>
      </c>
      <c r="S149" s="42">
        <v>2027</v>
      </c>
      <c r="T149" s="42">
        <v>2028</v>
      </c>
      <c r="U149" s="42">
        <v>2029</v>
      </c>
      <c r="V149" s="42">
        <v>2030</v>
      </c>
      <c r="X149" s="10" t="s">
        <v>18</v>
      </c>
      <c r="Y149" s="42">
        <v>2026</v>
      </c>
      <c r="Z149" s="42">
        <v>2027</v>
      </c>
      <c r="AA149" s="42">
        <v>2028</v>
      </c>
      <c r="AB149" s="42">
        <v>2029</v>
      </c>
      <c r="AC149" s="42">
        <v>2030</v>
      </c>
    </row>
    <row r="150" spans="2:29" x14ac:dyDescent="0.2">
      <c r="B150" s="403" t="s">
        <v>354</v>
      </c>
      <c r="C150" s="50">
        <f>+E9</f>
        <v>3150000</v>
      </c>
      <c r="D150" s="45">
        <f>+F32</f>
        <v>12600000</v>
      </c>
      <c r="E150" s="50">
        <f>+F56</f>
        <v>13230000</v>
      </c>
      <c r="F150" s="45">
        <f>+F79</f>
        <v>33339600</v>
      </c>
      <c r="G150" s="50">
        <f>+F102</f>
        <v>40516875.000000007</v>
      </c>
      <c r="J150" s="11" t="s">
        <v>332</v>
      </c>
      <c r="K150" s="50">
        <f>+M9</f>
        <v>11580000</v>
      </c>
      <c r="L150" s="45">
        <f>+N32</f>
        <v>49215000</v>
      </c>
      <c r="M150" s="50">
        <f>+N56</f>
        <v>54136500</v>
      </c>
      <c r="N150" s="45">
        <f>+N79</f>
        <v>59550150</v>
      </c>
      <c r="O150" s="50">
        <f>+N102</f>
        <v>65505165</v>
      </c>
      <c r="Q150" s="432" t="s">
        <v>368</v>
      </c>
      <c r="R150" s="51">
        <f>+T9</f>
        <v>6750000</v>
      </c>
      <c r="S150" s="46">
        <f>+U32</f>
        <v>27000000</v>
      </c>
      <c r="T150" s="51">
        <f>+U56</f>
        <v>27000000</v>
      </c>
      <c r="U150" s="46">
        <f>+U79</f>
        <v>27000000</v>
      </c>
      <c r="V150" s="51">
        <f>+U102</f>
        <v>27000000</v>
      </c>
      <c r="X150" s="433" t="s">
        <v>382</v>
      </c>
      <c r="Y150" s="51">
        <f>+AA9</f>
        <v>6678100</v>
      </c>
      <c r="Z150" s="46">
        <f>+AB32</f>
        <v>24000000</v>
      </c>
      <c r="AA150" s="51">
        <f>+AB56</f>
        <v>24000000</v>
      </c>
      <c r="AB150" s="46">
        <f>+AB79</f>
        <v>24000000</v>
      </c>
      <c r="AC150" s="51">
        <f>+AB102</f>
        <v>24000000</v>
      </c>
    </row>
    <row r="151" spans="2:29" x14ac:dyDescent="0.2">
      <c r="B151" s="12" t="s">
        <v>819</v>
      </c>
      <c r="C151" s="51">
        <f>+E15</f>
        <v>0</v>
      </c>
      <c r="D151" s="46">
        <f>+F38</f>
        <v>0</v>
      </c>
      <c r="E151" s="51">
        <f>+F62</f>
        <v>18000000</v>
      </c>
      <c r="F151" s="46">
        <f>+F85</f>
        <v>18000000</v>
      </c>
      <c r="G151" s="51">
        <f>+F108</f>
        <v>18000000</v>
      </c>
      <c r="J151" s="7" t="s">
        <v>822</v>
      </c>
      <c r="K151" s="51">
        <f>+M15</f>
        <v>0</v>
      </c>
      <c r="L151" s="46">
        <f>+N38</f>
        <v>0</v>
      </c>
      <c r="M151" s="51">
        <f>+N62</f>
        <v>0</v>
      </c>
      <c r="N151" s="46">
        <f>+N85</f>
        <v>0</v>
      </c>
      <c r="O151" s="51">
        <f>+N108</f>
        <v>0</v>
      </c>
      <c r="Q151" s="432" t="s">
        <v>821</v>
      </c>
      <c r="R151" s="54"/>
      <c r="S151" s="48">
        <f>+U38</f>
        <v>0</v>
      </c>
      <c r="T151" s="54">
        <f>+U62</f>
        <v>3000000</v>
      </c>
      <c r="U151" s="48">
        <f>+U85</f>
        <v>3000000</v>
      </c>
      <c r="V151" s="54">
        <f>+U108</f>
        <v>3000000</v>
      </c>
      <c r="X151" s="434" t="s">
        <v>385</v>
      </c>
      <c r="Y151" s="54"/>
      <c r="Z151" s="48">
        <f>+AB38</f>
        <v>10000000</v>
      </c>
      <c r="AA151" s="54">
        <f>+AB62</f>
        <v>10000000</v>
      </c>
      <c r="AB151" s="48">
        <f>+AB85</f>
        <v>10000000</v>
      </c>
      <c r="AC151" s="54">
        <f>+AB108</f>
        <v>10000000</v>
      </c>
    </row>
    <row r="152" spans="2:29" x14ac:dyDescent="0.2">
      <c r="B152" s="12" t="s">
        <v>820</v>
      </c>
      <c r="C152" s="54">
        <f>+E21</f>
        <v>0</v>
      </c>
      <c r="D152" s="48">
        <f>+F44</f>
        <v>0</v>
      </c>
      <c r="E152" s="54">
        <f>+F68</f>
        <v>12000000</v>
      </c>
      <c r="F152" s="48">
        <f>+F91</f>
        <v>12000000</v>
      </c>
      <c r="G152" s="54">
        <f>+F114</f>
        <v>12000000</v>
      </c>
      <c r="J152" s="47" t="s">
        <v>822</v>
      </c>
      <c r="K152" s="54">
        <f>+M21</f>
        <v>0</v>
      </c>
      <c r="L152" s="48">
        <f>+N44</f>
        <v>0</v>
      </c>
      <c r="M152" s="54">
        <f>+N68</f>
        <v>0</v>
      </c>
      <c r="N152" s="48">
        <f>+N91</f>
        <v>0</v>
      </c>
      <c r="O152" s="54">
        <f>+N114</f>
        <v>0</v>
      </c>
      <c r="Q152" s="9" t="s">
        <v>823</v>
      </c>
      <c r="R152" s="55">
        <f>+SUM(R150:R151)</f>
        <v>6750000</v>
      </c>
      <c r="S152" s="55">
        <f>+SUM(S150:S151)</f>
        <v>27000000</v>
      </c>
      <c r="T152" s="55">
        <f>+SUM(T150:T151)</f>
        <v>30000000</v>
      </c>
      <c r="U152" s="55">
        <f>+SUM(U150:U151)</f>
        <v>30000000</v>
      </c>
      <c r="V152" s="55">
        <f>+SUM(V150:V151)</f>
        <v>30000000</v>
      </c>
      <c r="X152" s="9" t="s">
        <v>384</v>
      </c>
      <c r="Y152" s="55">
        <f>+SUM(Y150:Y151)</f>
        <v>6678100</v>
      </c>
      <c r="Z152" s="55">
        <f>+SUM(Z150:Z151)</f>
        <v>34000000</v>
      </c>
      <c r="AA152" s="55">
        <f>+SUM(AA150:AA151)</f>
        <v>34000000</v>
      </c>
      <c r="AB152" s="55">
        <f>+SUM(AB150:AB151)</f>
        <v>34000000</v>
      </c>
      <c r="AC152" s="55">
        <f>+SUM(AC150:AC151)</f>
        <v>34000000</v>
      </c>
    </row>
    <row r="153" spans="2:29" x14ac:dyDescent="0.2">
      <c r="B153" s="9" t="s">
        <v>359</v>
      </c>
      <c r="C153" s="55">
        <f>+SUM(C150:C152)</f>
        <v>3150000</v>
      </c>
      <c r="D153" s="55">
        <f>+SUM(D150:D152)</f>
        <v>12600000</v>
      </c>
      <c r="E153" s="55">
        <f>+SUM(E150:E152)</f>
        <v>43230000</v>
      </c>
      <c r="F153" s="55">
        <f>+SUM(F150:F152)</f>
        <v>63339600</v>
      </c>
      <c r="G153" s="55">
        <f>+SUM(G150:G152)</f>
        <v>70516875</v>
      </c>
      <c r="J153" s="9" t="s">
        <v>356</v>
      </c>
      <c r="K153" s="55">
        <f>+SUM(K150:K152)</f>
        <v>11580000</v>
      </c>
      <c r="L153" s="55">
        <f>+SUM(L150:L152)</f>
        <v>49215000</v>
      </c>
      <c r="M153" s="55">
        <f>+SUM(M150:M152)</f>
        <v>54136500</v>
      </c>
      <c r="N153" s="55">
        <f>+SUM(N150:N152)</f>
        <v>59550150</v>
      </c>
      <c r="O153" s="55">
        <f>+SUM(O150:O152)</f>
        <v>65505165</v>
      </c>
    </row>
    <row r="155" spans="2:29" ht="16" thickBot="1" x14ac:dyDescent="0.25"/>
    <row r="156" spans="2:29" ht="20" thickBot="1" x14ac:dyDescent="0.3">
      <c r="Q156" s="880" t="s">
        <v>373</v>
      </c>
      <c r="R156" s="881"/>
      <c r="S156" s="881"/>
      <c r="T156" s="881"/>
      <c r="U156" s="881"/>
      <c r="V156" s="882"/>
    </row>
    <row r="157" spans="2:29" ht="19" x14ac:dyDescent="0.25">
      <c r="B157" s="764" t="s">
        <v>358</v>
      </c>
      <c r="C157" s="864"/>
      <c r="D157" s="864"/>
      <c r="E157" s="864"/>
      <c r="F157" s="864"/>
      <c r="G157" s="765"/>
      <c r="Q157" s="312" t="s">
        <v>18</v>
      </c>
      <c r="R157" s="42">
        <v>2026</v>
      </c>
      <c r="S157" s="42">
        <v>2027</v>
      </c>
      <c r="T157" s="42">
        <v>2028</v>
      </c>
      <c r="U157" s="42">
        <v>2029</v>
      </c>
      <c r="V157" s="42">
        <v>2030</v>
      </c>
    </row>
    <row r="158" spans="2:29" x14ac:dyDescent="0.2">
      <c r="B158" s="305" t="s">
        <v>18</v>
      </c>
      <c r="C158" s="42">
        <v>2026</v>
      </c>
      <c r="D158" s="42">
        <v>2027</v>
      </c>
      <c r="E158" s="42">
        <v>2028</v>
      </c>
      <c r="F158" s="42">
        <v>2029</v>
      </c>
      <c r="G158" s="42">
        <v>2030</v>
      </c>
      <c r="Q158" s="306" t="s">
        <v>374</v>
      </c>
      <c r="R158" s="51">
        <f>SUM(R152)</f>
        <v>6750000</v>
      </c>
      <c r="S158" s="51">
        <f>SUM(S152)</f>
        <v>27000000</v>
      </c>
      <c r="T158" s="51">
        <f>SUM(T152)</f>
        <v>30000000</v>
      </c>
      <c r="U158" s="51">
        <f>SUM(U152)</f>
        <v>30000000</v>
      </c>
      <c r="V158" s="307">
        <f>SUM(V152)</f>
        <v>30000000</v>
      </c>
    </row>
    <row r="159" spans="2:29" x14ac:dyDescent="0.2">
      <c r="B159" s="9" t="s">
        <v>359</v>
      </c>
      <c r="C159" s="51">
        <f>SUM(C153)</f>
        <v>3150000</v>
      </c>
      <c r="D159" s="51">
        <f>SUM(D153)</f>
        <v>12600000</v>
      </c>
      <c r="E159" s="51">
        <f>SUM(E153)</f>
        <v>43230000</v>
      </c>
      <c r="F159" s="51">
        <f>SUM(F153)</f>
        <v>63339600</v>
      </c>
      <c r="G159" s="307">
        <f>SUM(G153)</f>
        <v>70516875</v>
      </c>
      <c r="Q159" s="306" t="s">
        <v>375</v>
      </c>
      <c r="R159" s="51">
        <f>SUM(Y152)</f>
        <v>6678100</v>
      </c>
      <c r="S159" s="51">
        <f>SUM(Z152)</f>
        <v>34000000</v>
      </c>
      <c r="T159" s="51">
        <f>SUM(AA152)</f>
        <v>34000000</v>
      </c>
      <c r="U159" s="51">
        <f>SUM(AB152)</f>
        <v>34000000</v>
      </c>
      <c r="V159" s="307">
        <f>SUM(AC152)</f>
        <v>34000000</v>
      </c>
    </row>
    <row r="160" spans="2:29" ht="16" thickBot="1" x14ac:dyDescent="0.25">
      <c r="B160" s="9" t="s">
        <v>356</v>
      </c>
      <c r="C160" s="51">
        <f>SUM(K153)</f>
        <v>11580000</v>
      </c>
      <c r="D160" s="51">
        <f>SUM(L153)</f>
        <v>49215000</v>
      </c>
      <c r="E160" s="51">
        <f>SUM(M153)</f>
        <v>54136500</v>
      </c>
      <c r="F160" s="51">
        <f>SUM(N153)</f>
        <v>59550150</v>
      </c>
      <c r="G160" s="307">
        <f>SUM(O153)</f>
        <v>65505165</v>
      </c>
      <c r="Q160" s="306"/>
      <c r="R160" s="51"/>
      <c r="S160" s="51"/>
      <c r="T160" s="51"/>
      <c r="U160" s="51"/>
      <c r="V160" s="307"/>
    </row>
    <row r="161" spans="2:22" ht="16" thickBot="1" x14ac:dyDescent="0.25">
      <c r="B161" s="306"/>
      <c r="C161" s="51"/>
      <c r="D161" s="51"/>
      <c r="E161" s="51"/>
      <c r="F161" s="51"/>
      <c r="G161" s="307"/>
      <c r="Q161" s="313" t="s">
        <v>22</v>
      </c>
      <c r="R161" s="314">
        <f>+SUM(R158:R159)</f>
        <v>13428100</v>
      </c>
      <c r="S161" s="314">
        <f>+SUM(S158:S159)</f>
        <v>61000000</v>
      </c>
      <c r="T161" s="314">
        <f>+SUM(T158:T159)</f>
        <v>64000000</v>
      </c>
      <c r="U161" s="314">
        <f>+SUM(U158:U159)</f>
        <v>64000000</v>
      </c>
      <c r="V161" s="315">
        <f>+SUM(V158:V159)</f>
        <v>64000000</v>
      </c>
    </row>
    <row r="162" spans="2:22" ht="16" thickBot="1" x14ac:dyDescent="0.25">
      <c r="B162" s="308" t="s">
        <v>22</v>
      </c>
      <c r="C162" s="309">
        <f>+SUM(C159:C160)</f>
        <v>14730000</v>
      </c>
      <c r="D162" s="309">
        <f>+SUM(D159:D160)</f>
        <v>61815000</v>
      </c>
      <c r="E162" s="309">
        <f>+SUM(E159:E160)</f>
        <v>97366500</v>
      </c>
      <c r="F162" s="309">
        <f>+SUM(F159:F160)</f>
        <v>122889750</v>
      </c>
      <c r="G162" s="310">
        <f>+SUM(G159:G160)</f>
        <v>136022040</v>
      </c>
    </row>
    <row r="165" spans="2:22" ht="19" x14ac:dyDescent="0.25">
      <c r="Q165" s="877" t="s">
        <v>824</v>
      </c>
      <c r="R165" s="878"/>
      <c r="S165" s="878"/>
      <c r="T165" s="878"/>
      <c r="U165" s="878"/>
      <c r="V165" s="879"/>
    </row>
    <row r="166" spans="2:22" ht="19" x14ac:dyDescent="0.25">
      <c r="B166" s="877" t="s">
        <v>378</v>
      </c>
      <c r="C166" s="878"/>
      <c r="D166" s="878"/>
      <c r="E166" s="878"/>
      <c r="F166" s="878"/>
      <c r="G166" s="879"/>
      <c r="Q166" s="10" t="s">
        <v>127</v>
      </c>
      <c r="R166" s="42">
        <v>2026</v>
      </c>
      <c r="S166" s="42">
        <v>2027</v>
      </c>
      <c r="T166" s="42">
        <v>2028</v>
      </c>
      <c r="U166" s="42">
        <v>2029</v>
      </c>
      <c r="V166" s="42">
        <v>2030</v>
      </c>
    </row>
    <row r="167" spans="2:22" x14ac:dyDescent="0.2">
      <c r="B167" s="10" t="s">
        <v>127</v>
      </c>
      <c r="C167" s="42">
        <v>2026</v>
      </c>
      <c r="D167" s="42">
        <v>2027</v>
      </c>
      <c r="E167" s="42">
        <v>2028</v>
      </c>
      <c r="F167" s="42">
        <v>2029</v>
      </c>
      <c r="G167" s="42">
        <v>2030</v>
      </c>
      <c r="Q167" s="7" t="s">
        <v>376</v>
      </c>
      <c r="R167" s="51">
        <f>SUM(R158)*1/100</f>
        <v>67500</v>
      </c>
      <c r="S167" s="51">
        <f>SUM(S158)*2/100</f>
        <v>540000</v>
      </c>
      <c r="T167" s="51">
        <f t="shared" ref="T167:V168" si="0">SUM(T158)*3/100</f>
        <v>900000</v>
      </c>
      <c r="U167" s="51">
        <f t="shared" si="0"/>
        <v>900000</v>
      </c>
      <c r="V167" s="51">
        <f t="shared" si="0"/>
        <v>900000</v>
      </c>
    </row>
    <row r="168" spans="2:22" x14ac:dyDescent="0.2">
      <c r="B168" s="7" t="s">
        <v>825</v>
      </c>
      <c r="C168" s="51">
        <f>SUM(C159)*1/100</f>
        <v>31500</v>
      </c>
      <c r="D168" s="51">
        <f>SUM(D159)*2/100</f>
        <v>252000</v>
      </c>
      <c r="E168" s="51">
        <f t="shared" ref="E168:G169" si="1">SUM(E159)*3/100</f>
        <v>1296900</v>
      </c>
      <c r="F168" s="51">
        <f t="shared" si="1"/>
        <v>1900188</v>
      </c>
      <c r="G168" s="51">
        <f t="shared" si="1"/>
        <v>2115506.25</v>
      </c>
      <c r="Q168" s="7" t="s">
        <v>377</v>
      </c>
      <c r="R168" s="51">
        <f>SUM(R159)*1/100</f>
        <v>66781</v>
      </c>
      <c r="S168" s="51">
        <f>SUM(S159)*2/100</f>
        <v>680000</v>
      </c>
      <c r="T168" s="51">
        <f t="shared" si="0"/>
        <v>1020000</v>
      </c>
      <c r="U168" s="51">
        <f t="shared" si="0"/>
        <v>1020000</v>
      </c>
      <c r="V168" s="51">
        <f t="shared" si="0"/>
        <v>1020000</v>
      </c>
    </row>
    <row r="169" spans="2:22" x14ac:dyDescent="0.2">
      <c r="B169" s="7" t="s">
        <v>826</v>
      </c>
      <c r="C169" s="51">
        <f>SUM(C160)*1/100</f>
        <v>115800</v>
      </c>
      <c r="D169" s="51">
        <f>SUM(D160)*2/100</f>
        <v>984300</v>
      </c>
      <c r="E169" s="51">
        <f t="shared" si="1"/>
        <v>1624095</v>
      </c>
      <c r="F169" s="51">
        <f t="shared" si="1"/>
        <v>1786504.5</v>
      </c>
      <c r="G169" s="51">
        <f t="shared" si="1"/>
        <v>1965154.95</v>
      </c>
      <c r="Q169" s="9" t="s">
        <v>22</v>
      </c>
      <c r="R169" s="55">
        <f>+SUM(R167:R168)</f>
        <v>134281</v>
      </c>
      <c r="S169" s="55">
        <f>+SUM(S167:S168)</f>
        <v>1220000</v>
      </c>
      <c r="T169" s="55">
        <f>+SUM(T167:T168)</f>
        <v>1920000</v>
      </c>
      <c r="U169" s="55">
        <f>+SUM(U167:U168)</f>
        <v>1920000</v>
      </c>
      <c r="V169" s="55">
        <f>+SUM(V167:V168)</f>
        <v>1920000</v>
      </c>
    </row>
    <row r="170" spans="2:22" x14ac:dyDescent="0.2">
      <c r="B170" s="9" t="s">
        <v>22</v>
      </c>
      <c r="C170" s="55">
        <f>+SUM(C168:C169)</f>
        <v>147300</v>
      </c>
      <c r="D170" s="55">
        <f>+SUM(D168:D169)</f>
        <v>1236300</v>
      </c>
      <c r="E170" s="55">
        <f>+SUM(E168:E169)</f>
        <v>2920995</v>
      </c>
      <c r="F170" s="55">
        <f>+SUM(F168:F169)</f>
        <v>3686692.5</v>
      </c>
      <c r="G170" s="55">
        <f>+SUM(G168:G169)</f>
        <v>4080661.2</v>
      </c>
    </row>
    <row r="171" spans="2:22" x14ac:dyDescent="0.2">
      <c r="S171" s="1"/>
      <c r="T171" s="1"/>
      <c r="U171" s="1"/>
      <c r="V171" s="1"/>
    </row>
    <row r="172" spans="2:22" x14ac:dyDescent="0.2">
      <c r="D172" s="1"/>
      <c r="E172" s="1"/>
      <c r="F172" s="1"/>
      <c r="G172" s="1"/>
    </row>
    <row r="174" spans="2:22" ht="19" x14ac:dyDescent="0.25">
      <c r="Q174" s="877" t="s">
        <v>827</v>
      </c>
      <c r="R174" s="878"/>
      <c r="S174" s="878"/>
      <c r="T174" s="878"/>
      <c r="U174" s="878"/>
      <c r="V174" s="879"/>
    </row>
    <row r="175" spans="2:22" ht="19" x14ac:dyDescent="0.25">
      <c r="B175" s="877" t="s">
        <v>379</v>
      </c>
      <c r="C175" s="878"/>
      <c r="D175" s="878"/>
      <c r="E175" s="878"/>
      <c r="F175" s="878"/>
      <c r="G175" s="879"/>
      <c r="Q175" s="10" t="s">
        <v>127</v>
      </c>
      <c r="R175" s="42">
        <v>2026</v>
      </c>
      <c r="S175" s="42">
        <v>2027</v>
      </c>
      <c r="T175" s="42">
        <v>2028</v>
      </c>
      <c r="U175" s="42">
        <v>2029</v>
      </c>
      <c r="V175" s="42">
        <v>2030</v>
      </c>
    </row>
    <row r="176" spans="2:22" x14ac:dyDescent="0.2">
      <c r="B176" s="10" t="s">
        <v>127</v>
      </c>
      <c r="C176" s="42">
        <v>2026</v>
      </c>
      <c r="D176" s="42">
        <v>2027</v>
      </c>
      <c r="E176" s="42">
        <v>2028</v>
      </c>
      <c r="F176" s="42">
        <v>2029</v>
      </c>
      <c r="G176" s="42">
        <v>2030</v>
      </c>
      <c r="Q176" s="7" t="s">
        <v>324</v>
      </c>
      <c r="R176" s="51">
        <f>SUM(R158)*0.25/100</f>
        <v>16875</v>
      </c>
      <c r="S176" s="51">
        <f>SUM(S158)*0.25/100</f>
        <v>67500</v>
      </c>
      <c r="T176" s="51">
        <f>SUM(T158)*0.25/100</f>
        <v>75000</v>
      </c>
      <c r="U176" s="51">
        <f>SUM(U158)*0.25/100</f>
        <v>75000</v>
      </c>
      <c r="V176" s="51">
        <f>SUM(V158)*0.25/100</f>
        <v>75000</v>
      </c>
    </row>
    <row r="177" spans="2:22" x14ac:dyDescent="0.2">
      <c r="B177" s="7" t="s">
        <v>386</v>
      </c>
      <c r="C177" s="51">
        <f t="shared" ref="C177:G178" si="2">SUM(C159)*0.25/100</f>
        <v>7875</v>
      </c>
      <c r="D177" s="51">
        <f t="shared" si="2"/>
        <v>31500</v>
      </c>
      <c r="E177" s="51">
        <f t="shared" si="2"/>
        <v>108075</v>
      </c>
      <c r="F177" s="51">
        <f t="shared" si="2"/>
        <v>158349</v>
      </c>
      <c r="G177" s="51">
        <f t="shared" si="2"/>
        <v>176292.1875</v>
      </c>
      <c r="Q177" s="7" t="s">
        <v>325</v>
      </c>
      <c r="R177" s="51"/>
      <c r="S177" s="51">
        <f>SUM(S159)*0.25/100</f>
        <v>85000</v>
      </c>
      <c r="T177" s="51">
        <f>SUM(T159)*0.25/100</f>
        <v>85000</v>
      </c>
      <c r="U177" s="51">
        <f>SUM(U159)*0.25/100</f>
        <v>85000</v>
      </c>
      <c r="V177" s="51">
        <f>SUM(V159)*0.25/100</f>
        <v>85000</v>
      </c>
    </row>
    <row r="178" spans="2:22" x14ac:dyDescent="0.2">
      <c r="B178" s="7" t="s">
        <v>387</v>
      </c>
      <c r="C178" s="51">
        <f t="shared" si="2"/>
        <v>28950</v>
      </c>
      <c r="D178" s="51">
        <f t="shared" si="2"/>
        <v>123037.5</v>
      </c>
      <c r="E178" s="51">
        <f t="shared" si="2"/>
        <v>135341.25</v>
      </c>
      <c r="F178" s="51">
        <f t="shared" si="2"/>
        <v>148875.375</v>
      </c>
      <c r="G178" s="51">
        <f t="shared" si="2"/>
        <v>163762.91250000001</v>
      </c>
      <c r="Q178" s="9" t="s">
        <v>22</v>
      </c>
      <c r="R178" s="55">
        <f>+SUM(R176:R177)</f>
        <v>16875</v>
      </c>
      <c r="S178" s="55">
        <f>+SUM(S176:S177)</f>
        <v>152500</v>
      </c>
      <c r="T178" s="55">
        <f>+SUM(T176:T177)</f>
        <v>160000</v>
      </c>
      <c r="U178" s="55">
        <f>+SUM(U176:U177)</f>
        <v>160000</v>
      </c>
      <c r="V178" s="55">
        <f>+SUM(V176:V177)</f>
        <v>160000</v>
      </c>
    </row>
    <row r="179" spans="2:22" x14ac:dyDescent="0.2">
      <c r="B179" s="9" t="s">
        <v>22</v>
      </c>
      <c r="C179" s="55">
        <f>+SUM(C177:C178)</f>
        <v>36825</v>
      </c>
      <c r="D179" s="55">
        <f>+SUM(D177:D178)</f>
        <v>154537.5</v>
      </c>
      <c r="E179" s="55">
        <f>+SUM(E177:E178)</f>
        <v>243416.25</v>
      </c>
      <c r="F179" s="55">
        <f>+SUM(F177:F178)</f>
        <v>307224.375</v>
      </c>
      <c r="G179" s="55">
        <f>+SUM(G177:G178)</f>
        <v>340055.1</v>
      </c>
    </row>
    <row r="182" spans="2:22" ht="19" x14ac:dyDescent="0.25">
      <c r="Q182" s="877" t="s">
        <v>828</v>
      </c>
      <c r="R182" s="878"/>
      <c r="S182" s="878"/>
      <c r="T182" s="878"/>
      <c r="U182" s="878"/>
      <c r="V182" s="879"/>
    </row>
    <row r="183" spans="2:22" ht="19" x14ac:dyDescent="0.25">
      <c r="B183" s="877" t="s">
        <v>380</v>
      </c>
      <c r="C183" s="878"/>
      <c r="D183" s="878"/>
      <c r="E183" s="878"/>
      <c r="F183" s="878"/>
      <c r="G183" s="879"/>
      <c r="Q183" s="10" t="s">
        <v>127</v>
      </c>
      <c r="R183" s="42">
        <v>2026</v>
      </c>
      <c r="S183" s="42">
        <v>2027</v>
      </c>
      <c r="T183" s="42">
        <v>2028</v>
      </c>
      <c r="U183" s="42">
        <v>2029</v>
      </c>
      <c r="V183" s="42">
        <v>2030</v>
      </c>
    </row>
    <row r="184" spans="2:22" x14ac:dyDescent="0.2">
      <c r="B184" s="10" t="s">
        <v>127</v>
      </c>
      <c r="C184" s="42">
        <v>2026</v>
      </c>
      <c r="D184" s="42">
        <v>2027</v>
      </c>
      <c r="E184" s="42">
        <v>2028</v>
      </c>
      <c r="F184" s="42">
        <v>2029</v>
      </c>
      <c r="G184" s="42">
        <v>2030</v>
      </c>
      <c r="Q184" s="7" t="s">
        <v>324</v>
      </c>
      <c r="R184" s="51">
        <f>SUM(R158)*1.5/100</f>
        <v>101250</v>
      </c>
      <c r="S184" s="51">
        <f>SUM(S158)*1.5/100</f>
        <v>405000</v>
      </c>
      <c r="T184" s="51">
        <f>SUM(T158)*1.5/100</f>
        <v>450000</v>
      </c>
      <c r="U184" s="51">
        <f>SUM(U158)*1.5/100</f>
        <v>450000</v>
      </c>
      <c r="V184" s="51">
        <f>SUM(V158)*1.5/100</f>
        <v>450000</v>
      </c>
    </row>
    <row r="185" spans="2:22" x14ac:dyDescent="0.2">
      <c r="B185" s="7" t="s">
        <v>386</v>
      </c>
      <c r="C185" s="51">
        <f t="shared" ref="C185:G186" si="3">SUM(C159)*1.5/100</f>
        <v>47250</v>
      </c>
      <c r="D185" s="51">
        <f t="shared" si="3"/>
        <v>189000</v>
      </c>
      <c r="E185" s="51">
        <f t="shared" si="3"/>
        <v>648450</v>
      </c>
      <c r="F185" s="51">
        <f t="shared" si="3"/>
        <v>950094</v>
      </c>
      <c r="G185" s="51">
        <f t="shared" si="3"/>
        <v>1057753.125</v>
      </c>
      <c r="Q185" s="7" t="s">
        <v>325</v>
      </c>
      <c r="R185" s="51"/>
      <c r="S185" s="51">
        <f>SUM(S159)*1.5/100</f>
        <v>510000</v>
      </c>
      <c r="T185" s="51">
        <f>SUM(T159)*1.5/100</f>
        <v>510000</v>
      </c>
      <c r="U185" s="51">
        <f>SUM(U159)*1.5/100</f>
        <v>510000</v>
      </c>
      <c r="V185" s="51">
        <f>SUM(V159)*1.5/100</f>
        <v>510000</v>
      </c>
    </row>
    <row r="186" spans="2:22" x14ac:dyDescent="0.2">
      <c r="B186" s="7" t="s">
        <v>387</v>
      </c>
      <c r="C186" s="51">
        <f t="shared" si="3"/>
        <v>173700</v>
      </c>
      <c r="D186" s="51">
        <f t="shared" si="3"/>
        <v>738225</v>
      </c>
      <c r="E186" s="51">
        <f t="shared" si="3"/>
        <v>812047.5</v>
      </c>
      <c r="F186" s="51">
        <f t="shared" si="3"/>
        <v>893252.25</v>
      </c>
      <c r="G186" s="51">
        <f t="shared" si="3"/>
        <v>982577.47499999998</v>
      </c>
      <c r="Q186" s="9" t="s">
        <v>22</v>
      </c>
      <c r="R186" s="55">
        <f>+SUM(R184:R185)</f>
        <v>101250</v>
      </c>
      <c r="S186" s="55">
        <f>+SUM(S184:S185)</f>
        <v>915000</v>
      </c>
      <c r="T186" s="55">
        <f>+SUM(T184:T185)</f>
        <v>960000</v>
      </c>
      <c r="U186" s="55">
        <f>+SUM(U184:U185)</f>
        <v>960000</v>
      </c>
      <c r="V186" s="55">
        <f>+SUM(V184:V185)</f>
        <v>960000</v>
      </c>
    </row>
    <row r="187" spans="2:22" x14ac:dyDescent="0.2">
      <c r="B187" s="9" t="s">
        <v>22</v>
      </c>
      <c r="C187" s="55">
        <f>+SUM(C185:C186)</f>
        <v>220950</v>
      </c>
      <c r="D187" s="55">
        <f>+SUM(D185:D186)</f>
        <v>927225</v>
      </c>
      <c r="E187" s="55">
        <f>+SUM(E185:E186)</f>
        <v>1460497.5</v>
      </c>
      <c r="F187" s="55">
        <f>+SUM(F185:F186)</f>
        <v>1843346.25</v>
      </c>
      <c r="G187" s="55">
        <f>+SUM(G185:G186)</f>
        <v>2040330.6</v>
      </c>
    </row>
    <row r="188" spans="2:22" x14ac:dyDescent="0.2">
      <c r="Q188" t="s">
        <v>133</v>
      </c>
    </row>
    <row r="189" spans="2:22" x14ac:dyDescent="0.2">
      <c r="B189" t="s">
        <v>133</v>
      </c>
      <c r="Q189" t="s">
        <v>134</v>
      </c>
    </row>
    <row r="190" spans="2:22" x14ac:dyDescent="0.2">
      <c r="B190" t="s">
        <v>134</v>
      </c>
    </row>
    <row r="193" spans="2:7" ht="16" thickBot="1" x14ac:dyDescent="0.25"/>
    <row r="194" spans="2:7" ht="20" thickBot="1" x14ac:dyDescent="0.3">
      <c r="B194" s="880" t="s">
        <v>829</v>
      </c>
      <c r="C194" s="881"/>
      <c r="D194" s="881"/>
      <c r="E194" s="881"/>
      <c r="F194" s="881"/>
      <c r="G194" s="882"/>
    </row>
    <row r="195" spans="2:7" x14ac:dyDescent="0.2">
      <c r="B195" s="312" t="s">
        <v>18</v>
      </c>
      <c r="C195" s="42">
        <v>2026</v>
      </c>
      <c r="D195" s="42">
        <v>2027</v>
      </c>
      <c r="E195" s="42">
        <v>2028</v>
      </c>
      <c r="F195" s="42">
        <v>2029</v>
      </c>
      <c r="G195" s="435">
        <v>2030</v>
      </c>
    </row>
    <row r="196" spans="2:7" x14ac:dyDescent="0.2">
      <c r="B196" s="306" t="s">
        <v>320</v>
      </c>
      <c r="C196" s="51">
        <f t="shared" ref="C196:G196" si="4">+C153</f>
        <v>3150000</v>
      </c>
      <c r="D196" s="51">
        <f t="shared" si="4"/>
        <v>12600000</v>
      </c>
      <c r="E196" s="51">
        <f t="shared" si="4"/>
        <v>43230000</v>
      </c>
      <c r="F196" s="51">
        <f t="shared" si="4"/>
        <v>63339600</v>
      </c>
      <c r="G196" s="307">
        <f t="shared" si="4"/>
        <v>70516875</v>
      </c>
    </row>
    <row r="197" spans="2:7" x14ac:dyDescent="0.2">
      <c r="B197" s="306" t="s">
        <v>322</v>
      </c>
      <c r="C197" s="51">
        <f>SUM(K153)</f>
        <v>11580000</v>
      </c>
      <c r="D197" s="51">
        <f>SUM(L153)</f>
        <v>49215000</v>
      </c>
      <c r="E197" s="51">
        <f>SUM(M153)</f>
        <v>54136500</v>
      </c>
      <c r="F197" s="51">
        <f>SUM(N153)</f>
        <v>59550150</v>
      </c>
      <c r="G197" s="307">
        <f>SUM(O153)</f>
        <v>65505165</v>
      </c>
    </row>
    <row r="198" spans="2:7" x14ac:dyDescent="0.2">
      <c r="B198" s="320" t="s">
        <v>324</v>
      </c>
      <c r="C198" s="51">
        <f>SUM(R152)</f>
        <v>6750000</v>
      </c>
      <c r="D198" s="51">
        <f>SUM(S152)</f>
        <v>27000000</v>
      </c>
      <c r="E198" s="51">
        <f>SUM(T152)</f>
        <v>30000000</v>
      </c>
      <c r="F198" s="51">
        <f>SUM(U152)</f>
        <v>30000000</v>
      </c>
      <c r="G198" s="307">
        <f>SUM(V152)</f>
        <v>30000000</v>
      </c>
    </row>
    <row r="199" spans="2:7" ht="16" thickBot="1" x14ac:dyDescent="0.25">
      <c r="B199" s="322" t="s">
        <v>325</v>
      </c>
      <c r="C199" s="51">
        <f>SUM(Y152)</f>
        <v>6678100</v>
      </c>
      <c r="D199" s="51">
        <f>SUM(Z152)</f>
        <v>34000000</v>
      </c>
      <c r="E199" s="51">
        <f>SUM(AA152)</f>
        <v>34000000</v>
      </c>
      <c r="F199" s="51">
        <f>SUM(AB152)</f>
        <v>34000000</v>
      </c>
      <c r="G199" s="307">
        <f>SUM(AC152)</f>
        <v>34000000</v>
      </c>
    </row>
    <row r="200" spans="2:7" ht="16" thickBot="1" x14ac:dyDescent="0.25">
      <c r="B200" s="313" t="s">
        <v>22</v>
      </c>
      <c r="C200" s="314">
        <f>+SUM(C196:C199)</f>
        <v>28158100</v>
      </c>
      <c r="D200" s="314">
        <f>+SUM(D196:D199)</f>
        <v>122815000</v>
      </c>
      <c r="E200" s="314">
        <f>+SUM(E196:E199)</f>
        <v>161366500</v>
      </c>
      <c r="F200" s="314">
        <f>+SUM(F196:F199)</f>
        <v>186889750</v>
      </c>
      <c r="G200" s="315">
        <f>+SUM(G196:G199)</f>
        <v>200022040</v>
      </c>
    </row>
    <row r="204" spans="2:7" x14ac:dyDescent="0.2">
      <c r="B204" t="s">
        <v>830</v>
      </c>
      <c r="C204" s="69">
        <f>SUM(C170)+C179+C187</f>
        <v>405075</v>
      </c>
      <c r="D204" s="69">
        <f>SUM(D170)+D179+D187</f>
        <v>2318062.5</v>
      </c>
      <c r="E204" s="69">
        <f t="shared" ref="E204:G204" si="5">SUM(E170)+E179+E187</f>
        <v>4624908.75</v>
      </c>
      <c r="F204" s="69">
        <f t="shared" si="5"/>
        <v>5837263.125</v>
      </c>
      <c r="G204" s="69">
        <f t="shared" si="5"/>
        <v>6461046.9000000004</v>
      </c>
    </row>
  </sheetData>
  <mergeCells count="61">
    <mergeCell ref="X51:AB51"/>
    <mergeCell ref="AC51:AC52"/>
    <mergeCell ref="X74:AB74"/>
    <mergeCell ref="AC74:AC75"/>
    <mergeCell ref="X97:AB97"/>
    <mergeCell ref="AC97:AC98"/>
    <mergeCell ref="X1:AB1"/>
    <mergeCell ref="X4:AA4"/>
    <mergeCell ref="AB4:AB5"/>
    <mergeCell ref="X27:AB27"/>
    <mergeCell ref="AC27:AC28"/>
    <mergeCell ref="Q182:V182"/>
    <mergeCell ref="B194:G194"/>
    <mergeCell ref="X122:AC122"/>
    <mergeCell ref="X148:AC148"/>
    <mergeCell ref="Q156:V156"/>
    <mergeCell ref="Q165:V165"/>
    <mergeCell ref="Q174:V174"/>
    <mergeCell ref="Q148:V148"/>
    <mergeCell ref="Q122:V122"/>
    <mergeCell ref="B157:G157"/>
    <mergeCell ref="B166:G166"/>
    <mergeCell ref="B175:G175"/>
    <mergeCell ref="B183:G183"/>
    <mergeCell ref="J1:N1"/>
    <mergeCell ref="J4:N4"/>
    <mergeCell ref="V74:V75"/>
    <mergeCell ref="Q97:U97"/>
    <mergeCell ref="V97:V98"/>
    <mergeCell ref="Q27:U27"/>
    <mergeCell ref="V27:V28"/>
    <mergeCell ref="Q51:U51"/>
    <mergeCell ref="V51:V52"/>
    <mergeCell ref="Q74:U74"/>
    <mergeCell ref="N23:N24"/>
    <mergeCell ref="J27:O27"/>
    <mergeCell ref="O46:O47"/>
    <mergeCell ref="J51:O51"/>
    <mergeCell ref="O93:O94"/>
    <mergeCell ref="J97:O97"/>
    <mergeCell ref="B1:F1"/>
    <mergeCell ref="Q1:U1"/>
    <mergeCell ref="Q4:T4"/>
    <mergeCell ref="U4:U5"/>
    <mergeCell ref="G116:G117"/>
    <mergeCell ref="F23:F24"/>
    <mergeCell ref="B97:G97"/>
    <mergeCell ref="G70:G71"/>
    <mergeCell ref="G93:G94"/>
    <mergeCell ref="G46:G47"/>
    <mergeCell ref="B4:F4"/>
    <mergeCell ref="B27:G27"/>
    <mergeCell ref="B51:G51"/>
    <mergeCell ref="B74:G74"/>
    <mergeCell ref="O70:O71"/>
    <mergeCell ref="J74:O74"/>
    <mergeCell ref="O116:O117"/>
    <mergeCell ref="J122:O122"/>
    <mergeCell ref="J148:O148"/>
    <mergeCell ref="B122:G122"/>
    <mergeCell ref="B148:G148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N41"/>
  <sheetViews>
    <sheetView showGridLines="0" topLeftCell="A2" zoomScale="125" zoomScaleNormal="125" workbookViewId="0">
      <selection activeCell="K34" sqref="K34"/>
    </sheetView>
  </sheetViews>
  <sheetFormatPr baseColWidth="10" defaultRowHeight="15" x14ac:dyDescent="0.2"/>
  <cols>
    <col min="1" max="1" width="4.6640625" customWidth="1"/>
    <col min="2" max="2" width="60.33203125" customWidth="1"/>
    <col min="3" max="3" width="17" customWidth="1"/>
    <col min="4" max="4" width="15.33203125" customWidth="1"/>
    <col min="5" max="5" width="15" customWidth="1"/>
    <col min="6" max="6" width="14.6640625" customWidth="1"/>
    <col min="7" max="7" width="16" customWidth="1"/>
    <col min="8" max="8" width="8" customWidth="1"/>
    <col min="9" max="9" width="16.1640625" customWidth="1"/>
    <col min="10" max="10" width="17.1640625" customWidth="1"/>
    <col min="11" max="11" width="21.1640625" customWidth="1"/>
  </cols>
  <sheetData>
    <row r="2" spans="2:14" ht="19" x14ac:dyDescent="0.25">
      <c r="B2" s="883" t="s">
        <v>837</v>
      </c>
      <c r="C2" s="884"/>
      <c r="D2" s="884"/>
      <c r="E2" s="884"/>
      <c r="F2" s="884"/>
      <c r="G2" s="885"/>
      <c r="I2" s="883" t="s">
        <v>838</v>
      </c>
      <c r="J2" s="884"/>
      <c r="K2" s="885"/>
      <c r="L2" s="719"/>
      <c r="M2" s="719"/>
      <c r="N2" s="719"/>
    </row>
    <row r="3" spans="2:14" ht="16" x14ac:dyDescent="0.2">
      <c r="B3" s="149" t="s">
        <v>39</v>
      </c>
      <c r="C3" s="150">
        <v>46387</v>
      </c>
      <c r="D3" s="150">
        <v>46752</v>
      </c>
      <c r="E3" s="150">
        <v>47118</v>
      </c>
      <c r="F3" s="150">
        <v>47483</v>
      </c>
      <c r="G3" s="150">
        <v>47848</v>
      </c>
      <c r="I3" s="720" t="s">
        <v>839</v>
      </c>
      <c r="J3" s="720" t="s">
        <v>840</v>
      </c>
      <c r="K3" s="720" t="s">
        <v>841</v>
      </c>
    </row>
    <row r="4" spans="2:14" ht="17" thickBot="1" x14ac:dyDescent="0.25">
      <c r="B4" s="154"/>
      <c r="C4" s="176"/>
      <c r="D4" s="176"/>
      <c r="E4" s="176"/>
      <c r="F4" s="176"/>
      <c r="G4" s="176"/>
      <c r="I4" s="758"/>
      <c r="J4" s="759"/>
      <c r="K4" s="760"/>
    </row>
    <row r="5" spans="2:14" ht="16" x14ac:dyDescent="0.2">
      <c r="B5" s="440" t="s">
        <v>508</v>
      </c>
      <c r="C5" s="441">
        <f>SUM(C8:C9)</f>
        <v>231539840</v>
      </c>
      <c r="D5" s="441">
        <f>SUM(D8:D9)</f>
        <v>341324456.5</v>
      </c>
      <c r="E5" s="441">
        <f t="shared" ref="E5:G5" si="0">SUM(E8:E9)</f>
        <v>410645047.77499998</v>
      </c>
      <c r="F5" s="441">
        <f t="shared" si="0"/>
        <v>459347237.70875001</v>
      </c>
      <c r="G5" s="441">
        <f t="shared" si="0"/>
        <v>501383455.95618749</v>
      </c>
      <c r="I5" s="722">
        <f>SUM(G5)*10</f>
        <v>5013834559.5618744</v>
      </c>
      <c r="J5" s="755">
        <f>SUM(G5)*50</f>
        <v>25069172797.809376</v>
      </c>
      <c r="K5" s="723">
        <f>SUM(G5)*500</f>
        <v>250691727978.09375</v>
      </c>
    </row>
    <row r="6" spans="2:14" ht="17" thickBot="1" x14ac:dyDescent="0.25">
      <c r="B6" s="442" t="s">
        <v>509</v>
      </c>
      <c r="C6" s="443">
        <f>SUM(C11:C15)</f>
        <v>187725674.06363636</v>
      </c>
      <c r="D6" s="443">
        <f>SUM(D11:D15)</f>
        <v>190919254.56363636</v>
      </c>
      <c r="E6" s="443">
        <f t="shared" ref="E6:G6" si="1">SUM(E11:E15)</f>
        <v>210571711.49805787</v>
      </c>
      <c r="F6" s="443">
        <f t="shared" si="1"/>
        <v>220958778.92290911</v>
      </c>
      <c r="G6" s="443">
        <f t="shared" si="1"/>
        <v>241178182.35356367</v>
      </c>
      <c r="I6" s="756">
        <f>SUM(G6)*10</f>
        <v>2411781823.5356369</v>
      </c>
      <c r="J6" s="443">
        <f>SUM(G6)*50</f>
        <v>12058909117.678183</v>
      </c>
      <c r="K6" s="757">
        <f>SUM(G6)*500</f>
        <v>120589091176.78183</v>
      </c>
    </row>
    <row r="7" spans="2:14" ht="16" x14ac:dyDescent="0.2">
      <c r="B7" s="438"/>
      <c r="C7" s="439"/>
      <c r="D7" s="439"/>
      <c r="E7" s="439"/>
      <c r="F7" s="439"/>
      <c r="G7" s="439"/>
      <c r="I7" s="724"/>
      <c r="J7" s="439"/>
      <c r="K7" s="721"/>
    </row>
    <row r="8" spans="2:14" ht="16" x14ac:dyDescent="0.2">
      <c r="B8" s="155" t="s">
        <v>391</v>
      </c>
      <c r="C8" s="177">
        <f>+'CA Elevage'!C200</f>
        <v>28158100</v>
      </c>
      <c r="D8" s="177">
        <f>+'CA Elevage'!D200</f>
        <v>122815000</v>
      </c>
      <c r="E8" s="177">
        <f>+'CA Elevage'!E200</f>
        <v>161366500</v>
      </c>
      <c r="F8" s="177">
        <f>+'CA Elevage'!F200</f>
        <v>186889750</v>
      </c>
      <c r="G8" s="177">
        <f>+'CA Elevage'!G200</f>
        <v>200022040</v>
      </c>
      <c r="I8" s="724">
        <f t="shared" ref="I8:I16" si="2">SUM(G8)*10</f>
        <v>2000220400</v>
      </c>
      <c r="J8" s="177">
        <f>SUM(G8)*50</f>
        <v>10001102000</v>
      </c>
      <c r="K8" s="725">
        <f>SUM(G8)*500</f>
        <v>100011020000</v>
      </c>
    </row>
    <row r="9" spans="2:14" ht="16" x14ac:dyDescent="0.2">
      <c r="B9" s="155" t="s">
        <v>388</v>
      </c>
      <c r="C9" s="177">
        <f>SUM('CA Agriculture'!D147)</f>
        <v>203381740</v>
      </c>
      <c r="D9" s="177">
        <f>SUM('CA Agriculture'!E147)</f>
        <v>218509456.5</v>
      </c>
      <c r="E9" s="177">
        <f>SUM('CA Agriculture'!F147)</f>
        <v>249278547.77500001</v>
      </c>
      <c r="F9" s="177">
        <f>SUM('CA Agriculture'!G147)</f>
        <v>272457487.70875001</v>
      </c>
      <c r="G9" s="177">
        <f>SUM('CA Agriculture'!H147)</f>
        <v>301361415.95618749</v>
      </c>
      <c r="I9" s="724">
        <f t="shared" si="2"/>
        <v>3013614159.5618749</v>
      </c>
      <c r="J9" s="177">
        <f>SUM(G9)*50</f>
        <v>15068070797.809374</v>
      </c>
      <c r="K9" s="725">
        <f>SUM(G9)*500</f>
        <v>150680707978.09375</v>
      </c>
    </row>
    <row r="10" spans="2:14" ht="16" x14ac:dyDescent="0.2">
      <c r="B10" s="156"/>
      <c r="C10" s="177"/>
      <c r="D10" s="177"/>
      <c r="E10" s="177"/>
      <c r="F10" s="177"/>
      <c r="G10" s="177"/>
      <c r="I10" s="724">
        <f t="shared" si="2"/>
        <v>0</v>
      </c>
      <c r="J10" s="177"/>
      <c r="K10" s="725"/>
    </row>
    <row r="11" spans="2:14" ht="16" x14ac:dyDescent="0.2">
      <c r="B11" s="158" t="s">
        <v>392</v>
      </c>
      <c r="C11" s="175">
        <f>+'Matière 1é &amp; fourni Elevage'!D162+Exploitation!F82</f>
        <v>70247076</v>
      </c>
      <c r="D11" s="175">
        <f>+'Matière 1é &amp; fourni Elevage'!E162+Exploitation!G82</f>
        <v>80856100</v>
      </c>
      <c r="E11" s="175">
        <f>+'Matière 1é &amp; fourni Elevage'!F162+Exploitation!H82</f>
        <v>87827338</v>
      </c>
      <c r="F11" s="175">
        <f>+'Matière 1é &amp; fourni Elevage'!G162+Exploitation!I82</f>
        <v>94958501</v>
      </c>
      <c r="G11" s="175">
        <f>+'Matière 1é &amp; fourni Elevage'!H162+Exploitation!J82</f>
        <v>103513829.09999999</v>
      </c>
      <c r="I11" s="726">
        <f>SUM(G11)*10</f>
        <v>1035138291</v>
      </c>
      <c r="J11" s="175">
        <f>SUM(G11)*50</f>
        <v>5175691455</v>
      </c>
      <c r="K11" s="727">
        <f>SUM(G11)*500</f>
        <v>51756914550</v>
      </c>
    </row>
    <row r="12" spans="2:14" ht="16" x14ac:dyDescent="0.2">
      <c r="B12" s="158" t="s">
        <v>393</v>
      </c>
      <c r="C12" s="175">
        <f>SUM('CA Elevage'!C204)+('CA Elevage'!C200/100)</f>
        <v>686656</v>
      </c>
      <c r="D12" s="175">
        <f>SUM('CA Elevage'!D204)+('CA Elevage'!D200/100)</f>
        <v>3546212.5</v>
      </c>
      <c r="E12" s="175">
        <f>SUM('CA Elevage'!E204)+('CA Elevage'!E200/100)</f>
        <v>6238573.75</v>
      </c>
      <c r="F12" s="175">
        <f>SUM('CA Elevage'!F204)+('CA Elevage'!F200/100)</f>
        <v>7706160.625</v>
      </c>
      <c r="G12" s="175">
        <f>SUM('CA Elevage'!G204)+('CA Elevage'!F200/100)</f>
        <v>8329944.4000000004</v>
      </c>
      <c r="I12" s="726">
        <f>SUM(G12)*10</f>
        <v>83299444</v>
      </c>
      <c r="J12" s="175">
        <f>SUM(G12)*50</f>
        <v>416497220</v>
      </c>
      <c r="K12" s="727">
        <f>SUM(G12)*500</f>
        <v>4164972200</v>
      </c>
    </row>
    <row r="13" spans="2:14" ht="16" x14ac:dyDescent="0.2">
      <c r="B13" s="156"/>
      <c r="C13" s="177"/>
      <c r="D13" s="177"/>
      <c r="E13" s="177"/>
      <c r="F13" s="177"/>
      <c r="G13" s="177"/>
      <c r="I13" s="724">
        <f t="shared" si="2"/>
        <v>0</v>
      </c>
      <c r="J13" s="177"/>
      <c r="K13" s="725"/>
    </row>
    <row r="14" spans="2:14" ht="16" x14ac:dyDescent="0.2">
      <c r="B14" s="158" t="s">
        <v>389</v>
      </c>
      <c r="C14" s="175">
        <f>SUM('Matière 1é &amp; fourni Agriculture'!D171)</f>
        <v>116791942.06363636</v>
      </c>
      <c r="D14" s="175">
        <f>SUM('Matière 1é &amp; fourni Agriculture'!E171)</f>
        <v>106516942.06363636</v>
      </c>
      <c r="E14" s="175">
        <f>SUM('Matière 1é &amp; fourni Agriculture'!F171)</f>
        <v>116505799.74805787</v>
      </c>
      <c r="F14" s="175">
        <f>SUM('Matière 1é &amp; fourni Agriculture'!G171)</f>
        <v>118294117.29790911</v>
      </c>
      <c r="G14" s="175">
        <f>SUM('Matière 1é &amp; fourni Agriculture'!H171)</f>
        <v>129334408.85356367</v>
      </c>
      <c r="I14" s="726">
        <f>SUM(G14)*10</f>
        <v>1293344088.5356367</v>
      </c>
      <c r="J14" s="175">
        <f>SUM(G14)*50</f>
        <v>6466720442.6781836</v>
      </c>
      <c r="K14" s="727">
        <f>SUM(G14)*500</f>
        <v>64667204426.78183</v>
      </c>
    </row>
    <row r="15" spans="2:14" ht="16" x14ac:dyDescent="0.2">
      <c r="B15" s="158" t="s">
        <v>390</v>
      </c>
      <c r="C15" s="175">
        <f>SUM('CA Elevage'!C207)+('CA Elevage'!C203/100)</f>
        <v>0</v>
      </c>
      <c r="D15" s="175">
        <f>SUM('CA Elevage'!D207)+('CA Elevage'!D203/100)</f>
        <v>0</v>
      </c>
      <c r="E15" s="175">
        <f>SUM('CA Elevage'!E207)+('CA Elevage'!E203/100)</f>
        <v>0</v>
      </c>
      <c r="F15" s="175">
        <f>SUM('CA Elevage'!F207)+('CA Elevage'!F203/100)</f>
        <v>0</v>
      </c>
      <c r="G15" s="175">
        <f>SUM('CA Elevage'!G207)+('CA Elevage'!F203/100)</f>
        <v>0</v>
      </c>
      <c r="I15" s="726">
        <f>SUM('CA Elevage'!I207)+('CA Elevage'!I203/100)</f>
        <v>0</v>
      </c>
      <c r="J15" s="175">
        <f>SUM('CA Elevage'!J207)+('CA Elevage'!J203/100)</f>
        <v>0</v>
      </c>
      <c r="K15" s="727">
        <f>SUM('CA Elevage'!K207)+('CA Elevage'!J203/100)</f>
        <v>0</v>
      </c>
    </row>
    <row r="16" spans="2:14" ht="16" x14ac:dyDescent="0.2">
      <c r="B16" s="156"/>
      <c r="C16" s="177"/>
      <c r="D16" s="177"/>
      <c r="E16" s="177"/>
      <c r="F16" s="177"/>
      <c r="G16" s="177"/>
      <c r="I16" s="724">
        <f t="shared" si="2"/>
        <v>0</v>
      </c>
      <c r="J16" s="177"/>
      <c r="K16" s="725"/>
    </row>
    <row r="17" spans="2:11" ht="16" x14ac:dyDescent="0.2">
      <c r="B17" s="159" t="s">
        <v>189</v>
      </c>
      <c r="C17" s="178">
        <f>SUM(C5)-C6</f>
        <v>43814165.936363637</v>
      </c>
      <c r="D17" s="178">
        <f>SUM(D5)-D6</f>
        <v>150405201.93636364</v>
      </c>
      <c r="E17" s="178">
        <f t="shared" ref="E17:G17" si="3">SUM(E5)-E6</f>
        <v>200073336.2769421</v>
      </c>
      <c r="F17" s="178">
        <f t="shared" si="3"/>
        <v>238388458.7858409</v>
      </c>
      <c r="G17" s="178">
        <f t="shared" si="3"/>
        <v>260205273.60262382</v>
      </c>
      <c r="I17" s="728">
        <f t="shared" ref="I17" si="4">SUM(I5)-I6</f>
        <v>2602052736.0262375</v>
      </c>
      <c r="J17" s="178">
        <f t="shared" ref="J17:K17" si="5">SUM(J5)-J6</f>
        <v>13010263680.131193</v>
      </c>
      <c r="K17" s="729">
        <f t="shared" si="5"/>
        <v>130102636801.31192</v>
      </c>
    </row>
    <row r="18" spans="2:11" ht="16" x14ac:dyDescent="0.2">
      <c r="B18" s="155"/>
      <c r="C18" s="179"/>
      <c r="D18" s="179"/>
      <c r="E18" s="179"/>
      <c r="F18" s="179"/>
      <c r="G18" s="179"/>
      <c r="I18" s="730"/>
      <c r="J18" s="179"/>
      <c r="K18" s="731"/>
    </row>
    <row r="19" spans="2:11" ht="16" x14ac:dyDescent="0.2">
      <c r="B19" s="160" t="s">
        <v>35</v>
      </c>
      <c r="C19" s="180">
        <f>+'Salaires &amp; Avantages'!F149</f>
        <v>4252800</v>
      </c>
      <c r="D19" s="180">
        <f>+'Salaires &amp; Avantages'!G149</f>
        <v>6117000</v>
      </c>
      <c r="E19" s="180">
        <f>+'Salaires &amp; Avantages'!H149</f>
        <v>11749440</v>
      </c>
      <c r="F19" s="180">
        <f>+'Salaires &amp; Avantages'!I149</f>
        <v>12120492</v>
      </c>
      <c r="G19" s="180">
        <f>+'Salaires &amp; Avantages'!J149</f>
        <v>12591312</v>
      </c>
      <c r="I19" s="732">
        <f>SUM(G19)*10</f>
        <v>125913120</v>
      </c>
      <c r="J19" s="180">
        <f>SUM(G19)*50</f>
        <v>629565600</v>
      </c>
      <c r="K19" s="733">
        <f>SUM(G19)*500</f>
        <v>6295656000</v>
      </c>
    </row>
    <row r="20" spans="2:11" ht="16" x14ac:dyDescent="0.2">
      <c r="B20" s="157" t="s">
        <v>36</v>
      </c>
      <c r="C20" s="180">
        <f>+'Salaires &amp; Avantages'!F148</f>
        <v>23058000</v>
      </c>
      <c r="D20" s="180">
        <f>+'Salaires &amp; Avantages'!G148</f>
        <v>36581000</v>
      </c>
      <c r="E20" s="180">
        <f>+'Salaires &amp; Avantages'!H148</f>
        <v>65205900</v>
      </c>
      <c r="F20" s="180">
        <f>+'Salaires &amp; Avantages'!I148</f>
        <v>68320695</v>
      </c>
      <c r="G20" s="180">
        <f>+'Salaires &amp; Avantages'!J148</f>
        <v>70714770</v>
      </c>
      <c r="I20" s="732">
        <f>SUM(G20)*10</f>
        <v>707147700</v>
      </c>
      <c r="J20" s="180">
        <f>SUM(G20)*50</f>
        <v>3535738500</v>
      </c>
      <c r="K20" s="733">
        <f>SUM(G20)*500</f>
        <v>35357385000</v>
      </c>
    </row>
    <row r="21" spans="2:11" ht="16" x14ac:dyDescent="0.2">
      <c r="B21" s="157" t="s">
        <v>394</v>
      </c>
      <c r="C21" s="180"/>
      <c r="D21" s="180"/>
      <c r="E21" s="180"/>
      <c r="F21" s="180"/>
      <c r="G21" s="180"/>
      <c r="I21" s="732"/>
      <c r="J21" s="180"/>
      <c r="K21" s="733"/>
    </row>
    <row r="22" spans="2:11" ht="16" x14ac:dyDescent="0.2">
      <c r="B22" s="156"/>
      <c r="C22" s="177"/>
      <c r="D22" s="177"/>
      <c r="E22" s="177"/>
      <c r="F22" s="177"/>
      <c r="G22" s="177"/>
      <c r="I22" s="734"/>
      <c r="J22" s="177"/>
      <c r="K22" s="725"/>
    </row>
    <row r="23" spans="2:11" ht="16" x14ac:dyDescent="0.2">
      <c r="B23" s="161" t="s">
        <v>190</v>
      </c>
      <c r="C23" s="181">
        <f>C17-(C19+C20+C21)</f>
        <v>16503365.936363637</v>
      </c>
      <c r="D23" s="181">
        <f>D17-(D19+D20+D21)</f>
        <v>107707201.93636364</v>
      </c>
      <c r="E23" s="181">
        <f>E17-(E19+E20+E21)</f>
        <v>123117996.2769421</v>
      </c>
      <c r="F23" s="181">
        <f>F17-(F19+F20+F21)</f>
        <v>157947271.7858409</v>
      </c>
      <c r="G23" s="181">
        <f>G17-(G19+G20+G21)</f>
        <v>176899191.60262382</v>
      </c>
      <c r="I23" s="735">
        <f>I17-(I19+I20+I21)</f>
        <v>1768991916.0262375</v>
      </c>
      <c r="J23" s="181">
        <f>J17-(J19+J20+J21)</f>
        <v>8844959580.1311932</v>
      </c>
      <c r="K23" s="736">
        <f>K17-(K19+K20+K21)</f>
        <v>88449595801.31192</v>
      </c>
    </row>
    <row r="24" spans="2:11" ht="16" x14ac:dyDescent="0.2">
      <c r="B24" s="155"/>
      <c r="C24" s="177"/>
      <c r="D24" s="177"/>
      <c r="E24" s="177"/>
      <c r="F24" s="177"/>
      <c r="G24" s="177"/>
      <c r="I24" s="734"/>
      <c r="J24" s="177"/>
      <c r="K24" s="725"/>
    </row>
    <row r="25" spans="2:11" ht="16" x14ac:dyDescent="0.2">
      <c r="B25" s="162" t="s">
        <v>37</v>
      </c>
      <c r="C25" s="182">
        <f>+'Amort technique'!F13</f>
        <v>0</v>
      </c>
      <c r="D25" s="182">
        <f>+'Amort technique'!G13</f>
        <v>34335166.666666664</v>
      </c>
      <c r="E25" s="182">
        <f>+'Amort technique'!H13</f>
        <v>34335166.666666664</v>
      </c>
      <c r="F25" s="182">
        <f>+'Amort technique'!I13</f>
        <v>34335166.666666664</v>
      </c>
      <c r="G25" s="182">
        <f>+'Amort technique'!J13</f>
        <v>32668500.000000004</v>
      </c>
      <c r="I25" s="737">
        <f>SUM(G25)*10</f>
        <v>326685000.00000006</v>
      </c>
      <c r="J25" s="182">
        <f>SUM(G25)*50</f>
        <v>1633425000.0000002</v>
      </c>
      <c r="K25" s="738">
        <f>SUM(G25)*500</f>
        <v>16334250000.000002</v>
      </c>
    </row>
    <row r="26" spans="2:11" ht="16" x14ac:dyDescent="0.2">
      <c r="B26" s="156"/>
      <c r="C26" s="177"/>
      <c r="D26" s="177"/>
      <c r="E26" s="177"/>
      <c r="F26" s="177"/>
      <c r="G26" s="177"/>
      <c r="I26" s="734"/>
      <c r="J26" s="177"/>
      <c r="K26" s="725"/>
    </row>
    <row r="27" spans="2:11" ht="16" x14ac:dyDescent="0.2">
      <c r="B27" s="163" t="s">
        <v>191</v>
      </c>
      <c r="C27" s="183">
        <f>C23-C25</f>
        <v>16503365.936363637</v>
      </c>
      <c r="D27" s="183">
        <f>D23-D25</f>
        <v>73372035.269696981</v>
      </c>
      <c r="E27" s="183">
        <f>E23-E25</f>
        <v>88782829.610275447</v>
      </c>
      <c r="F27" s="183">
        <f>F23-F25</f>
        <v>123612105.11917424</v>
      </c>
      <c r="G27" s="183">
        <f>G23-G25</f>
        <v>144230691.60262382</v>
      </c>
      <c r="I27" s="739">
        <f>I23-I25</f>
        <v>1442306916.0262375</v>
      </c>
      <c r="J27" s="183">
        <f>J23-J25</f>
        <v>7211534580.1311932</v>
      </c>
      <c r="K27" s="740">
        <f>K23-K25</f>
        <v>72115345801.31192</v>
      </c>
    </row>
    <row r="28" spans="2:11" ht="16" x14ac:dyDescent="0.2">
      <c r="B28" s="156"/>
      <c r="C28" s="177"/>
      <c r="D28" s="177">
        <v>0</v>
      </c>
      <c r="E28" s="177"/>
      <c r="F28" s="177"/>
      <c r="G28" s="177"/>
      <c r="I28" s="734"/>
      <c r="J28" s="177"/>
      <c r="K28" s="725"/>
    </row>
    <row r="29" spans="2:11" ht="16" x14ac:dyDescent="0.2">
      <c r="B29" s="164" t="s">
        <v>244</v>
      </c>
      <c r="C29" s="184"/>
      <c r="D29" s="184">
        <f>SUM('Amort pret'!H15)</f>
        <v>12000000</v>
      </c>
      <c r="E29" s="184">
        <f>SUM('Amort pret'!H16)</f>
        <v>45333333.333333328</v>
      </c>
      <c r="F29" s="184">
        <f>SUM('Amort pret'!H17)</f>
        <v>43333333.333333328</v>
      </c>
      <c r="G29" s="184">
        <f>SUM('Amort pret'!H18)</f>
        <v>41333333.333333328</v>
      </c>
      <c r="I29" s="741">
        <f>SUM(G29)*10</f>
        <v>413333333.33333325</v>
      </c>
      <c r="J29" s="184">
        <f>SUM(G29)*50</f>
        <v>2066666666.6666665</v>
      </c>
      <c r="K29" s="742">
        <f>SUM(G29)*500</f>
        <v>20666666666.666664</v>
      </c>
    </row>
    <row r="30" spans="2:11" ht="16" x14ac:dyDescent="0.2">
      <c r="B30" s="164" t="s">
        <v>395</v>
      </c>
      <c r="C30" s="184"/>
      <c r="D30" s="184">
        <f>SUM('Amort pret'!H33)</f>
        <v>1500000</v>
      </c>
      <c r="E30" s="184">
        <f>SUM('Amort pret'!H34)</f>
        <v>9833333.3333333321</v>
      </c>
      <c r="F30" s="184">
        <f>SUM('Amort pret'!H35)</f>
        <v>9583333.3333333321</v>
      </c>
      <c r="G30" s="184">
        <f>SUM('Amort pret'!H36)</f>
        <v>9333333.3333333321</v>
      </c>
      <c r="I30" s="741">
        <f>SUM(G30)*10</f>
        <v>93333333.333333313</v>
      </c>
      <c r="J30" s="184">
        <f>SUM(G30)*50</f>
        <v>466666666.66666663</v>
      </c>
      <c r="K30" s="742">
        <f>SUM(G30)*500</f>
        <v>4666666666.666666</v>
      </c>
    </row>
    <row r="31" spans="2:11" ht="16" x14ac:dyDescent="0.2">
      <c r="B31" s="156"/>
      <c r="C31" s="177"/>
      <c r="D31" s="177"/>
      <c r="E31" s="177"/>
      <c r="F31" s="177"/>
      <c r="G31" s="177"/>
      <c r="I31" s="734"/>
      <c r="J31" s="177"/>
      <c r="K31" s="725"/>
    </row>
    <row r="32" spans="2:11" ht="16" x14ac:dyDescent="0.2">
      <c r="B32" s="165" t="s">
        <v>188</v>
      </c>
      <c r="C32" s="185">
        <f>C27-(C29+C30)</f>
        <v>16503365.936363637</v>
      </c>
      <c r="D32" s="185">
        <f>+D27-(D28+D29+D30)</f>
        <v>59872035.269696981</v>
      </c>
      <c r="E32" s="185">
        <f>+E27-(E28+E29+E30)</f>
        <v>33616162.943608791</v>
      </c>
      <c r="F32" s="185">
        <f>+F27-(F28+F29+F30)</f>
        <v>70695438.452507585</v>
      </c>
      <c r="G32" s="185">
        <f>+G27-(G28+G29+G30)</f>
        <v>93564024.935957164</v>
      </c>
      <c r="I32" s="743">
        <f>+I27-(I28+I29+I30)</f>
        <v>935640249.35957098</v>
      </c>
      <c r="J32" s="185">
        <f>+J27-(J28+J29+J30)</f>
        <v>4678201246.7978601</v>
      </c>
      <c r="K32" s="744">
        <f>+K27-(K28+K29+K30)</f>
        <v>46782012467.978592</v>
      </c>
    </row>
    <row r="33" spans="2:11" ht="16" x14ac:dyDescent="0.2">
      <c r="B33" s="155"/>
      <c r="C33" s="177"/>
      <c r="D33" s="177"/>
      <c r="E33" s="177"/>
      <c r="F33" s="177"/>
      <c r="G33" s="177"/>
      <c r="I33" s="734"/>
      <c r="J33" s="177"/>
      <c r="K33" s="725"/>
    </row>
    <row r="34" spans="2:11" ht="16" x14ac:dyDescent="0.2">
      <c r="B34" s="166" t="s">
        <v>831</v>
      </c>
      <c r="C34" s="186">
        <f>SUM(C5)*0.04</f>
        <v>9261593.5999999996</v>
      </c>
      <c r="D34" s="186">
        <f>SUM(D5)*0.04</f>
        <v>13652978.26</v>
      </c>
      <c r="E34" s="186">
        <f t="shared" ref="E34:G34" si="6">SUM(E5)*0.04</f>
        <v>16425801.911</v>
      </c>
      <c r="F34" s="186">
        <f t="shared" si="6"/>
        <v>18373889.50835</v>
      </c>
      <c r="G34" s="186">
        <f t="shared" si="6"/>
        <v>20055338.238247499</v>
      </c>
      <c r="I34" s="745">
        <f t="shared" ref="I34" si="7">SUM(I5)*0.04</f>
        <v>200553382.38247499</v>
      </c>
      <c r="J34" s="186">
        <f t="shared" ref="J34:K34" si="8">SUM(J5)*0.04</f>
        <v>1002766911.9123751</v>
      </c>
      <c r="K34" s="746">
        <f t="shared" si="8"/>
        <v>10027669119.123751</v>
      </c>
    </row>
    <row r="35" spans="2:11" ht="16" x14ac:dyDescent="0.2">
      <c r="B35" s="156"/>
      <c r="C35" s="177"/>
      <c r="D35" s="177"/>
      <c r="E35" s="177"/>
      <c r="F35" s="177"/>
      <c r="G35" s="177"/>
      <c r="I35" s="734"/>
      <c r="J35" s="177"/>
      <c r="K35" s="725"/>
    </row>
    <row r="36" spans="2:11" ht="16" x14ac:dyDescent="0.2">
      <c r="B36" s="167" t="s">
        <v>192</v>
      </c>
      <c r="C36" s="187">
        <f>C32-C34</f>
        <v>7241772.3363636378</v>
      </c>
      <c r="D36" s="187">
        <f>D32-D34</f>
        <v>46219057.009696983</v>
      </c>
      <c r="E36" s="187">
        <f>E32-E34</f>
        <v>17190361.032608792</v>
      </c>
      <c r="F36" s="187">
        <f>F32-F34</f>
        <v>52321548.944157586</v>
      </c>
      <c r="G36" s="187">
        <f>G32-G34</f>
        <v>73508686.697709665</v>
      </c>
      <c r="I36" s="747">
        <f>I32-I34</f>
        <v>735086866.97709596</v>
      </c>
      <c r="J36" s="187">
        <f>J32-J34</f>
        <v>3675434334.8854852</v>
      </c>
      <c r="K36" s="748">
        <f>K32-K34</f>
        <v>36754343348.854843</v>
      </c>
    </row>
    <row r="37" spans="2:11" ht="16" x14ac:dyDescent="0.2">
      <c r="B37" s="168" t="s">
        <v>38</v>
      </c>
      <c r="C37" s="188">
        <v>0</v>
      </c>
      <c r="D37" s="188">
        <v>0</v>
      </c>
      <c r="E37" s="188">
        <v>0</v>
      </c>
      <c r="F37" s="188">
        <v>0</v>
      </c>
      <c r="G37" s="188">
        <v>0</v>
      </c>
      <c r="I37" s="749">
        <v>0</v>
      </c>
      <c r="J37" s="188">
        <v>0</v>
      </c>
      <c r="K37" s="750">
        <v>0</v>
      </c>
    </row>
    <row r="38" spans="2:11" ht="16" x14ac:dyDescent="0.2">
      <c r="B38" s="169" t="s">
        <v>193</v>
      </c>
      <c r="C38" s="189">
        <f>C36-C37</f>
        <v>7241772.3363636378</v>
      </c>
      <c r="D38" s="189">
        <f>D36-D37</f>
        <v>46219057.009696983</v>
      </c>
      <c r="E38" s="189">
        <f>E36-E37</f>
        <v>17190361.032608792</v>
      </c>
      <c r="F38" s="189">
        <f>F36-F37</f>
        <v>52321548.944157586</v>
      </c>
      <c r="G38" s="189">
        <f>G36-G37</f>
        <v>73508686.697709665</v>
      </c>
      <c r="I38" s="751">
        <f>I36-I37</f>
        <v>735086866.97709596</v>
      </c>
      <c r="J38" s="189">
        <f>J36-J37</f>
        <v>3675434334.8854852</v>
      </c>
      <c r="K38" s="752">
        <f>K36-K37</f>
        <v>36754343348.854843</v>
      </c>
    </row>
    <row r="39" spans="2:11" ht="16" x14ac:dyDescent="0.2">
      <c r="B39" s="156"/>
      <c r="C39" s="177"/>
      <c r="D39" s="177"/>
      <c r="E39" s="177"/>
      <c r="F39" s="177"/>
      <c r="G39" s="177"/>
      <c r="I39" s="734"/>
      <c r="J39" s="177"/>
      <c r="K39" s="725"/>
    </row>
    <row r="40" spans="2:11" ht="16" x14ac:dyDescent="0.2">
      <c r="B40" s="170" t="s">
        <v>194</v>
      </c>
      <c r="C40" s="190">
        <f>C38+C25</f>
        <v>7241772.3363636378</v>
      </c>
      <c r="D40" s="190">
        <f>D38+D25</f>
        <v>80554223.676363647</v>
      </c>
      <c r="E40" s="190">
        <f>E38+E25</f>
        <v>51525527.699275456</v>
      </c>
      <c r="F40" s="190">
        <f>F38+F25</f>
        <v>86656715.610824257</v>
      </c>
      <c r="G40" s="190">
        <f>G38+G25</f>
        <v>106177186.69770966</v>
      </c>
      <c r="I40" s="753">
        <f>I38+I25</f>
        <v>1061771866.9770961</v>
      </c>
      <c r="J40" s="190">
        <f>J38+J25</f>
        <v>5308859334.8854856</v>
      </c>
      <c r="K40" s="754">
        <f>K38+K25</f>
        <v>53088593348.854843</v>
      </c>
    </row>
    <row r="41" spans="2:11" ht="16" x14ac:dyDescent="0.2">
      <c r="B41" s="153"/>
      <c r="C41" s="151"/>
      <c r="D41" s="152"/>
      <c r="E41" s="152"/>
      <c r="F41" s="152"/>
      <c r="G41" s="152"/>
    </row>
  </sheetData>
  <mergeCells count="2">
    <mergeCell ref="B2:G2"/>
    <mergeCell ref="I2:K2"/>
  </mergeCells>
  <pageMargins left="0" right="0" top="0.75" bottom="0" header="0.3" footer="0"/>
  <pageSetup paperSize="9" scale="57" fitToHeight="0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6:I14"/>
  <sheetViews>
    <sheetView showGridLines="0" topLeftCell="B3" zoomScale="99" workbookViewId="0">
      <selection activeCell="H16" sqref="H16"/>
    </sheetView>
  </sheetViews>
  <sheetFormatPr baseColWidth="10" defaultRowHeight="15" x14ac:dyDescent="0.2"/>
  <cols>
    <col min="7" max="7" width="48.1640625" customWidth="1"/>
    <col min="8" max="8" width="24.1640625" customWidth="1"/>
    <col min="9" max="9" width="13.1640625" customWidth="1"/>
  </cols>
  <sheetData>
    <row r="6" spans="7:9" ht="16" thickBot="1" x14ac:dyDescent="0.25"/>
    <row r="7" spans="7:9" ht="21" x14ac:dyDescent="0.25">
      <c r="G7" s="886" t="s">
        <v>184</v>
      </c>
      <c r="H7" s="887"/>
      <c r="I7" s="888"/>
    </row>
    <row r="8" spans="7:9" ht="19" x14ac:dyDescent="0.25">
      <c r="G8" s="356" t="s">
        <v>185</v>
      </c>
      <c r="H8" s="145" t="s">
        <v>41</v>
      </c>
      <c r="I8" s="357" t="s">
        <v>181</v>
      </c>
    </row>
    <row r="9" spans="7:9" ht="19" x14ac:dyDescent="0.25">
      <c r="G9" s="358" t="s">
        <v>182</v>
      </c>
      <c r="H9" s="144">
        <f>+Coût!F17</f>
        <v>516942301.38636363</v>
      </c>
      <c r="I9" s="359">
        <v>1</v>
      </c>
    </row>
    <row r="10" spans="7:9" ht="19" x14ac:dyDescent="0.25">
      <c r="G10" s="360" t="s">
        <v>186</v>
      </c>
      <c r="H10" s="147">
        <v>5000000</v>
      </c>
      <c r="I10" s="361">
        <f>+H10*I9/H9</f>
        <v>9.6722593345344946E-3</v>
      </c>
    </row>
    <row r="11" spans="7:9" ht="19" x14ac:dyDescent="0.25">
      <c r="G11" s="360" t="s">
        <v>187</v>
      </c>
      <c r="H11" s="147">
        <v>50000000</v>
      </c>
      <c r="I11" s="361">
        <f>+H11*I9/H9</f>
        <v>9.6722593345344957E-2</v>
      </c>
    </row>
    <row r="12" spans="7:9" ht="19" x14ac:dyDescent="0.25">
      <c r="G12" s="362" t="s">
        <v>415</v>
      </c>
      <c r="H12" s="148">
        <v>150000000</v>
      </c>
      <c r="I12" s="363">
        <f>+H12*I9/H9</f>
        <v>0.29016778003603488</v>
      </c>
    </row>
    <row r="13" spans="7:9" ht="20" thickBot="1" x14ac:dyDescent="0.3">
      <c r="G13" s="364"/>
      <c r="H13" s="146"/>
      <c r="I13" s="365"/>
    </row>
    <row r="14" spans="7:9" ht="20" thickBot="1" x14ac:dyDescent="0.3">
      <c r="G14" s="366" t="s">
        <v>183</v>
      </c>
      <c r="H14" s="367">
        <f>+H9-H10-H11-H12</f>
        <v>311942301.38636363</v>
      </c>
      <c r="I14" s="368">
        <f>SUM(I9)-I10-I11-I12</f>
        <v>0.60343736728408559</v>
      </c>
    </row>
  </sheetData>
  <mergeCells count="1">
    <mergeCell ref="G7:I7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41"/>
  <sheetViews>
    <sheetView topLeftCell="A17" zoomScale="125" zoomScaleNormal="125" workbookViewId="0">
      <selection activeCell="G15" sqref="G15"/>
    </sheetView>
  </sheetViews>
  <sheetFormatPr baseColWidth="10" defaultRowHeight="15" x14ac:dyDescent="0.2"/>
  <cols>
    <col min="2" max="2" width="12.6640625" customWidth="1"/>
    <col min="3" max="3" width="20.1640625" customWidth="1"/>
    <col min="4" max="4" width="37.33203125" bestFit="1" customWidth="1"/>
    <col min="5" max="5" width="24.5" customWidth="1"/>
    <col min="6" max="6" width="21.6640625" customWidth="1"/>
    <col min="7" max="7" width="23.1640625" customWidth="1"/>
    <col min="8" max="8" width="23.33203125" customWidth="1"/>
    <col min="10" max="10" width="10.83203125" customWidth="1"/>
    <col min="11" max="11" width="16.1640625" customWidth="1"/>
    <col min="13" max="13" width="12.6640625" customWidth="1"/>
    <col min="14" max="14" width="15.5" bestFit="1" customWidth="1"/>
    <col min="15" max="15" width="14.5" bestFit="1" customWidth="1"/>
    <col min="16" max="16" width="15.5" bestFit="1" customWidth="1"/>
  </cols>
  <sheetData>
    <row r="2" spans="2:10" x14ac:dyDescent="0.2">
      <c r="B2" s="404"/>
      <c r="C2" s="404"/>
      <c r="D2" s="405" t="s">
        <v>231</v>
      </c>
      <c r="E2" s="404"/>
      <c r="F2" s="404"/>
      <c r="G2" s="404"/>
      <c r="H2" s="404"/>
      <c r="I2" s="404"/>
      <c r="J2" s="223"/>
    </row>
    <row r="3" spans="2:10" x14ac:dyDescent="0.2">
      <c r="B3" s="406" t="s">
        <v>232</v>
      </c>
      <c r="C3" s="407"/>
      <c r="D3" s="407"/>
      <c r="E3" s="404"/>
      <c r="F3" s="404"/>
      <c r="G3" s="404"/>
      <c r="H3" s="404"/>
      <c r="I3" s="404"/>
      <c r="J3" s="223"/>
    </row>
    <row r="4" spans="2:10" x14ac:dyDescent="0.2">
      <c r="B4" s="404"/>
      <c r="C4" s="404"/>
      <c r="D4" s="404"/>
      <c r="E4" s="404"/>
      <c r="F4" s="404"/>
      <c r="G4" s="404"/>
      <c r="H4" s="404"/>
      <c r="I4" s="404"/>
      <c r="J4" s="223"/>
    </row>
    <row r="5" spans="2:10" x14ac:dyDescent="0.2">
      <c r="B5" s="408"/>
      <c r="C5" s="409" t="s">
        <v>233</v>
      </c>
      <c r="D5" s="410" t="s">
        <v>234</v>
      </c>
      <c r="E5" s="409" t="s">
        <v>235</v>
      </c>
      <c r="F5" s="411"/>
      <c r="G5" s="404"/>
      <c r="H5" s="404"/>
      <c r="I5" s="404"/>
      <c r="J5" s="223"/>
    </row>
    <row r="6" spans="2:10" x14ac:dyDescent="0.2">
      <c r="B6" s="408" t="s">
        <v>245</v>
      </c>
      <c r="C6" s="412"/>
      <c r="D6" s="413">
        <v>50000000</v>
      </c>
      <c r="E6" s="408"/>
      <c r="F6" s="404"/>
      <c r="G6" s="404"/>
      <c r="H6" s="404"/>
      <c r="I6" s="404"/>
      <c r="J6" s="223"/>
    </row>
    <row r="7" spans="2:10" x14ac:dyDescent="0.2">
      <c r="B7" s="408" t="s">
        <v>236</v>
      </c>
      <c r="C7" s="412"/>
      <c r="D7" s="413">
        <v>200000000</v>
      </c>
      <c r="E7" s="414"/>
      <c r="F7" s="404"/>
      <c r="G7" s="404"/>
      <c r="H7" s="404"/>
      <c r="I7" s="404"/>
      <c r="J7" s="223"/>
    </row>
    <row r="8" spans="2:10" x14ac:dyDescent="0.2">
      <c r="B8" s="408" t="s">
        <v>415</v>
      </c>
      <c r="C8" s="412"/>
      <c r="D8" s="413">
        <v>150000000</v>
      </c>
      <c r="E8" s="414"/>
      <c r="F8" s="404"/>
      <c r="G8" s="404"/>
      <c r="H8" s="404"/>
      <c r="I8" s="404"/>
      <c r="J8" s="223"/>
    </row>
    <row r="9" spans="2:10" x14ac:dyDescent="0.2">
      <c r="B9" s="408" t="s">
        <v>396</v>
      </c>
      <c r="C9" s="412"/>
      <c r="D9" s="415">
        <v>100000000</v>
      </c>
      <c r="E9" s="416"/>
      <c r="F9" s="404"/>
      <c r="G9" s="404"/>
      <c r="H9" s="404"/>
      <c r="I9" s="404"/>
      <c r="J9" s="223"/>
    </row>
    <row r="10" spans="2:10" x14ac:dyDescent="0.2">
      <c r="B10" s="417" t="s">
        <v>159</v>
      </c>
      <c r="C10" s="418"/>
      <c r="D10" s="419">
        <f>SUM(D6:D9)</f>
        <v>500000000</v>
      </c>
      <c r="E10" s="420">
        <f>SUM(E7:E7)</f>
        <v>0</v>
      </c>
      <c r="F10" s="421"/>
      <c r="G10" s="404"/>
      <c r="H10" s="404"/>
      <c r="I10" s="404"/>
      <c r="J10" s="223"/>
    </row>
    <row r="11" spans="2:10" x14ac:dyDescent="0.2">
      <c r="B11" s="404"/>
      <c r="C11" s="422"/>
      <c r="D11" s="423"/>
      <c r="E11" s="421"/>
      <c r="F11" s="421"/>
      <c r="G11" s="404"/>
      <c r="H11" s="404"/>
      <c r="I11" s="404"/>
      <c r="J11" s="223"/>
    </row>
    <row r="12" spans="2:10" x14ac:dyDescent="0.2">
      <c r="B12" s="424" t="s">
        <v>237</v>
      </c>
      <c r="C12" s="404"/>
      <c r="D12" s="404"/>
      <c r="E12" s="404"/>
      <c r="F12" s="404"/>
      <c r="G12" s="404"/>
      <c r="H12" s="404"/>
      <c r="I12" s="404"/>
    </row>
    <row r="13" spans="2:10" x14ac:dyDescent="0.2">
      <c r="B13" s="404"/>
      <c r="C13" s="404"/>
      <c r="D13" s="404"/>
      <c r="E13" s="404"/>
      <c r="F13" s="404"/>
      <c r="G13" s="404"/>
      <c r="H13" s="404"/>
      <c r="I13" s="404"/>
    </row>
    <row r="14" spans="2:10" ht="16" x14ac:dyDescent="0.2">
      <c r="B14" s="425" t="s">
        <v>238</v>
      </c>
      <c r="C14" s="425" t="s">
        <v>41</v>
      </c>
      <c r="D14" s="425" t="s">
        <v>141</v>
      </c>
      <c r="E14" s="425" t="s">
        <v>239</v>
      </c>
      <c r="F14" s="426" t="s">
        <v>240</v>
      </c>
      <c r="G14" s="409" t="s">
        <v>241</v>
      </c>
      <c r="H14" s="409" t="s">
        <v>832</v>
      </c>
      <c r="I14" s="404"/>
    </row>
    <row r="15" spans="2:10" x14ac:dyDescent="0.2">
      <c r="B15" s="408">
        <v>1</v>
      </c>
      <c r="C15" s="427">
        <v>200000000</v>
      </c>
      <c r="D15" s="428">
        <v>2026</v>
      </c>
      <c r="E15" s="428">
        <v>6</v>
      </c>
      <c r="F15" s="427"/>
      <c r="G15" s="429">
        <f>C15*E15%</f>
        <v>12000000</v>
      </c>
      <c r="H15" s="429">
        <f>F15+G15</f>
        <v>12000000</v>
      </c>
      <c r="I15" s="404"/>
    </row>
    <row r="16" spans="2:10" x14ac:dyDescent="0.2">
      <c r="B16" s="408">
        <v>2</v>
      </c>
      <c r="C16" s="427">
        <f>C15-F15</f>
        <v>200000000</v>
      </c>
      <c r="D16" s="428">
        <v>2027</v>
      </c>
      <c r="E16" s="428">
        <v>6</v>
      </c>
      <c r="F16" s="427">
        <f>SUM(C15)/6</f>
        <v>33333333.333333332</v>
      </c>
      <c r="G16" s="429">
        <f t="shared" ref="G16:G22" si="0">C16*E16%</f>
        <v>12000000</v>
      </c>
      <c r="H16" s="429">
        <f t="shared" ref="H16:H22" si="1">F16+G16</f>
        <v>45333333.333333328</v>
      </c>
      <c r="I16" s="404"/>
    </row>
    <row r="17" spans="2:10" x14ac:dyDescent="0.2">
      <c r="B17" s="408">
        <v>3</v>
      </c>
      <c r="C17" s="427">
        <f t="shared" ref="C17:C22" si="2">C16-F16</f>
        <v>166666666.66666666</v>
      </c>
      <c r="D17" s="428">
        <v>2028</v>
      </c>
      <c r="E17" s="428">
        <v>6</v>
      </c>
      <c r="F17" s="427">
        <f>SUM(C16)/6</f>
        <v>33333333.333333332</v>
      </c>
      <c r="G17" s="429">
        <f t="shared" si="0"/>
        <v>9999999.9999999981</v>
      </c>
      <c r="H17" s="429">
        <f t="shared" si="1"/>
        <v>43333333.333333328</v>
      </c>
      <c r="I17" s="404"/>
    </row>
    <row r="18" spans="2:10" x14ac:dyDescent="0.2">
      <c r="B18" s="408">
        <v>4</v>
      </c>
      <c r="C18" s="427">
        <f t="shared" si="2"/>
        <v>133333333.33333333</v>
      </c>
      <c r="D18" s="428">
        <v>2029</v>
      </c>
      <c r="E18" s="428">
        <v>6</v>
      </c>
      <c r="F18" s="427">
        <f>SUM(F16)</f>
        <v>33333333.333333332</v>
      </c>
      <c r="G18" s="429">
        <f t="shared" si="0"/>
        <v>7999999.9999999991</v>
      </c>
      <c r="H18" s="429">
        <f t="shared" si="1"/>
        <v>41333333.333333328</v>
      </c>
      <c r="I18" s="404"/>
    </row>
    <row r="19" spans="2:10" x14ac:dyDescent="0.2">
      <c r="B19" s="408">
        <v>5</v>
      </c>
      <c r="C19" s="427">
        <f t="shared" si="2"/>
        <v>100000000</v>
      </c>
      <c r="D19" s="428">
        <v>2030</v>
      </c>
      <c r="E19" s="428">
        <v>6</v>
      </c>
      <c r="F19" s="427">
        <f>SUM(F17)</f>
        <v>33333333.333333332</v>
      </c>
      <c r="G19" s="429">
        <f t="shared" si="0"/>
        <v>6000000</v>
      </c>
      <c r="H19" s="429">
        <f t="shared" si="1"/>
        <v>39333333.333333328</v>
      </c>
      <c r="I19" s="404"/>
    </row>
    <row r="20" spans="2:10" x14ac:dyDescent="0.2">
      <c r="B20" s="408">
        <v>6</v>
      </c>
      <c r="C20" s="427">
        <f t="shared" si="2"/>
        <v>66666666.666666672</v>
      </c>
      <c r="D20" s="428">
        <v>2031</v>
      </c>
      <c r="E20" s="428">
        <v>6</v>
      </c>
      <c r="F20" s="427">
        <f>SUM(F18)</f>
        <v>33333333.333333332</v>
      </c>
      <c r="G20" s="429">
        <f t="shared" si="0"/>
        <v>4000000</v>
      </c>
      <c r="H20" s="429">
        <f t="shared" si="1"/>
        <v>37333333.333333328</v>
      </c>
      <c r="I20" s="404"/>
    </row>
    <row r="21" spans="2:10" x14ac:dyDescent="0.2">
      <c r="B21" s="408">
        <v>7</v>
      </c>
      <c r="C21" s="427">
        <f t="shared" si="2"/>
        <v>33333333.33333334</v>
      </c>
      <c r="D21" s="428">
        <v>2032</v>
      </c>
      <c r="E21" s="428">
        <v>6</v>
      </c>
      <c r="F21" s="427">
        <f>SUM(F19)</f>
        <v>33333333.333333332</v>
      </c>
      <c r="G21" s="429">
        <f t="shared" si="0"/>
        <v>2000000.0000000002</v>
      </c>
      <c r="H21" s="429">
        <f t="shared" si="1"/>
        <v>35333333.333333336</v>
      </c>
      <c r="I21" s="404"/>
    </row>
    <row r="22" spans="2:10" x14ac:dyDescent="0.2">
      <c r="B22" s="408">
        <v>8</v>
      </c>
      <c r="C22" s="427">
        <f t="shared" si="2"/>
        <v>0</v>
      </c>
      <c r="D22" s="428">
        <v>2033</v>
      </c>
      <c r="E22" s="408"/>
      <c r="F22" s="427"/>
      <c r="G22" s="429">
        <f t="shared" si="0"/>
        <v>0</v>
      </c>
      <c r="H22" s="429">
        <f t="shared" si="1"/>
        <v>0</v>
      </c>
      <c r="I22" s="404"/>
    </row>
    <row r="23" spans="2:10" x14ac:dyDescent="0.2">
      <c r="B23" s="417" t="s">
        <v>51</v>
      </c>
      <c r="C23" s="430"/>
      <c r="D23" s="430"/>
      <c r="E23" s="430"/>
      <c r="F23" s="431">
        <f>SUM(F15:F22)</f>
        <v>200000000</v>
      </c>
      <c r="G23" s="431">
        <f>SUM(G15:G22)</f>
        <v>54000000</v>
      </c>
      <c r="H23" s="431">
        <f>SUM(H15:H22)</f>
        <v>253999999.99999997</v>
      </c>
      <c r="I23" s="404"/>
    </row>
    <row r="24" spans="2:10" x14ac:dyDescent="0.2">
      <c r="B24" s="424"/>
      <c r="C24" s="404"/>
      <c r="D24" s="404"/>
      <c r="E24" s="404"/>
      <c r="F24" s="421"/>
      <c r="G24" s="421"/>
      <c r="H24" s="421"/>
      <c r="I24" s="404"/>
      <c r="J24" s="223"/>
    </row>
    <row r="25" spans="2:10" x14ac:dyDescent="0.2">
      <c r="B25" s="424" t="s">
        <v>242</v>
      </c>
      <c r="C25" s="404"/>
      <c r="D25" s="404"/>
      <c r="E25" s="404"/>
      <c r="F25" s="404"/>
      <c r="G25" s="404"/>
      <c r="H25" s="404"/>
      <c r="I25" s="404"/>
      <c r="J25" s="223"/>
    </row>
    <row r="26" spans="2:10" x14ac:dyDescent="0.2">
      <c r="B26" s="424"/>
      <c r="C26" s="404"/>
      <c r="D26" s="404"/>
      <c r="E26" s="404"/>
      <c r="F26" s="404"/>
      <c r="G26" s="404"/>
      <c r="H26" s="404"/>
      <c r="I26" s="404"/>
      <c r="J26" s="223"/>
    </row>
    <row r="27" spans="2:10" x14ac:dyDescent="0.2">
      <c r="B27" s="404" t="s">
        <v>833</v>
      </c>
      <c r="C27" s="404"/>
      <c r="D27" s="404"/>
      <c r="E27" s="404"/>
      <c r="F27" s="404"/>
      <c r="G27" s="404"/>
      <c r="I27" s="404"/>
      <c r="J27" s="223"/>
    </row>
    <row r="28" spans="2:10" x14ac:dyDescent="0.2">
      <c r="B28" s="424" t="s">
        <v>243</v>
      </c>
      <c r="C28" s="404"/>
      <c r="D28" s="404"/>
      <c r="E28" s="404"/>
      <c r="F28" s="404"/>
      <c r="G28" s="404"/>
      <c r="H28" s="404"/>
      <c r="I28" s="404"/>
      <c r="J28" s="223"/>
    </row>
    <row r="30" spans="2:10" x14ac:dyDescent="0.2">
      <c r="B30" s="424" t="s">
        <v>836</v>
      </c>
      <c r="C30" s="404"/>
      <c r="D30" s="404"/>
      <c r="E30" s="404"/>
      <c r="F30" s="404"/>
      <c r="G30" s="404"/>
      <c r="H30" s="404"/>
    </row>
    <row r="31" spans="2:10" x14ac:dyDescent="0.2">
      <c r="B31" s="404"/>
      <c r="C31" s="404"/>
      <c r="D31" s="404"/>
      <c r="E31" s="404"/>
      <c r="F31" s="404"/>
      <c r="G31" s="404"/>
      <c r="H31" s="404"/>
    </row>
    <row r="32" spans="2:10" ht="16" x14ac:dyDescent="0.2">
      <c r="B32" s="425" t="s">
        <v>238</v>
      </c>
      <c r="C32" s="425" t="s">
        <v>41</v>
      </c>
      <c r="D32" s="425" t="s">
        <v>141</v>
      </c>
      <c r="E32" s="425" t="s">
        <v>239</v>
      </c>
      <c r="F32" s="426" t="s">
        <v>240</v>
      </c>
      <c r="G32" s="409" t="s">
        <v>241</v>
      </c>
      <c r="H32" s="409" t="s">
        <v>832</v>
      </c>
    </row>
    <row r="33" spans="2:9" x14ac:dyDescent="0.2">
      <c r="B33" s="408">
        <v>1</v>
      </c>
      <c r="C33" s="427">
        <v>50000000</v>
      </c>
      <c r="D33" s="428">
        <v>2026</v>
      </c>
      <c r="E33" s="428">
        <v>3</v>
      </c>
      <c r="F33" s="427"/>
      <c r="G33" s="429">
        <f>C33*E33%</f>
        <v>1500000</v>
      </c>
      <c r="H33" s="429">
        <f>F33+G33</f>
        <v>1500000</v>
      </c>
      <c r="I33" s="424"/>
    </row>
    <row r="34" spans="2:9" x14ac:dyDescent="0.2">
      <c r="B34" s="408">
        <v>2</v>
      </c>
      <c r="C34" s="427">
        <f>C33-F33</f>
        <v>50000000</v>
      </c>
      <c r="D34" s="428">
        <v>2027</v>
      </c>
      <c r="E34" s="428">
        <v>3</v>
      </c>
      <c r="F34" s="427">
        <f>SUM(C33)/6</f>
        <v>8333333.333333333</v>
      </c>
      <c r="G34" s="429">
        <f t="shared" ref="G34:G40" si="3">C34*E34%</f>
        <v>1500000</v>
      </c>
      <c r="H34" s="429">
        <f t="shared" ref="H34:H40" si="4">F34+G34</f>
        <v>9833333.3333333321</v>
      </c>
    </row>
    <row r="35" spans="2:9" x14ac:dyDescent="0.2">
      <c r="B35" s="408">
        <v>3</v>
      </c>
      <c r="C35" s="427">
        <f t="shared" ref="C35:C40" si="5">C34-F34</f>
        <v>41666666.666666664</v>
      </c>
      <c r="D35" s="428">
        <v>2028</v>
      </c>
      <c r="E35" s="428">
        <v>3</v>
      </c>
      <c r="F35" s="427">
        <f>SUM(C34)/6</f>
        <v>8333333.333333333</v>
      </c>
      <c r="G35" s="429">
        <f t="shared" si="3"/>
        <v>1249999.9999999998</v>
      </c>
      <c r="H35" s="429">
        <f t="shared" si="4"/>
        <v>9583333.3333333321</v>
      </c>
    </row>
    <row r="36" spans="2:9" x14ac:dyDescent="0.2">
      <c r="B36" s="408">
        <v>4</v>
      </c>
      <c r="C36" s="427">
        <f t="shared" si="5"/>
        <v>33333333.333333332</v>
      </c>
      <c r="D36" s="428">
        <v>2029</v>
      </c>
      <c r="E36" s="428">
        <v>3</v>
      </c>
      <c r="F36" s="427">
        <f>SUM(F34)</f>
        <v>8333333.333333333</v>
      </c>
      <c r="G36" s="429">
        <f t="shared" si="3"/>
        <v>999999.99999999988</v>
      </c>
      <c r="H36" s="429">
        <f t="shared" si="4"/>
        <v>9333333.3333333321</v>
      </c>
    </row>
    <row r="37" spans="2:9" x14ac:dyDescent="0.2">
      <c r="B37" s="408">
        <v>5</v>
      </c>
      <c r="C37" s="427">
        <f t="shared" si="5"/>
        <v>25000000</v>
      </c>
      <c r="D37" s="428">
        <v>2030</v>
      </c>
      <c r="E37" s="428">
        <v>3</v>
      </c>
      <c r="F37" s="427">
        <f>SUM(F35)</f>
        <v>8333333.333333333</v>
      </c>
      <c r="G37" s="429">
        <f t="shared" si="3"/>
        <v>750000</v>
      </c>
      <c r="H37" s="429">
        <f t="shared" si="4"/>
        <v>9083333.3333333321</v>
      </c>
    </row>
    <row r="38" spans="2:9" x14ac:dyDescent="0.2">
      <c r="B38" s="408">
        <v>6</v>
      </c>
      <c r="C38" s="427">
        <f t="shared" si="5"/>
        <v>16666666.666666668</v>
      </c>
      <c r="D38" s="428">
        <v>2031</v>
      </c>
      <c r="E38" s="428">
        <v>3</v>
      </c>
      <c r="F38" s="427">
        <f>SUM(F36)</f>
        <v>8333333.333333333</v>
      </c>
      <c r="G38" s="429">
        <f t="shared" si="3"/>
        <v>500000</v>
      </c>
      <c r="H38" s="429">
        <f t="shared" si="4"/>
        <v>8833333.3333333321</v>
      </c>
    </row>
    <row r="39" spans="2:9" x14ac:dyDescent="0.2">
      <c r="B39" s="408">
        <v>7</v>
      </c>
      <c r="C39" s="427">
        <f t="shared" si="5"/>
        <v>8333333.3333333349</v>
      </c>
      <c r="D39" s="428">
        <v>2032</v>
      </c>
      <c r="E39" s="428">
        <v>3</v>
      </c>
      <c r="F39" s="427">
        <f>SUM(F37)</f>
        <v>8333333.333333333</v>
      </c>
      <c r="G39" s="429">
        <f t="shared" si="3"/>
        <v>250000.00000000003</v>
      </c>
      <c r="H39" s="429">
        <f t="shared" si="4"/>
        <v>8583333.333333334</v>
      </c>
    </row>
    <row r="40" spans="2:9" x14ac:dyDescent="0.2">
      <c r="B40" s="408">
        <v>8</v>
      </c>
      <c r="C40" s="427">
        <f t="shared" si="5"/>
        <v>0</v>
      </c>
      <c r="D40" s="428">
        <v>2033</v>
      </c>
      <c r="E40" s="408"/>
      <c r="F40" s="427"/>
      <c r="G40" s="429">
        <f t="shared" si="3"/>
        <v>0</v>
      </c>
      <c r="H40" s="429">
        <f t="shared" si="4"/>
        <v>0</v>
      </c>
    </row>
    <row r="41" spans="2:9" x14ac:dyDescent="0.2">
      <c r="B41" s="417" t="s">
        <v>51</v>
      </c>
      <c r="C41" s="430"/>
      <c r="D41" s="430"/>
      <c r="E41" s="430"/>
      <c r="F41" s="431">
        <f>SUM(F33:F40)</f>
        <v>50000000</v>
      </c>
      <c r="G41" s="431">
        <f>SUM(G33:G40)</f>
        <v>6750000</v>
      </c>
      <c r="H41" s="431">
        <f>SUM(H33:H40)</f>
        <v>56749999.999999993</v>
      </c>
    </row>
  </sheetData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K31"/>
  <sheetViews>
    <sheetView showGridLines="0" topLeftCell="B18" workbookViewId="0">
      <selection activeCell="M28" sqref="M28"/>
    </sheetView>
  </sheetViews>
  <sheetFormatPr baseColWidth="10" defaultColWidth="10.83203125" defaultRowHeight="16" x14ac:dyDescent="0.2"/>
  <cols>
    <col min="1" max="3" width="10.83203125" style="79" customWidth="1"/>
    <col min="4" max="5" width="10.83203125" style="79"/>
    <col min="6" max="6" width="26" style="79" customWidth="1"/>
    <col min="7" max="7" width="18.5" style="79" bestFit="1" customWidth="1"/>
    <col min="8" max="8" width="19.5" style="79" bestFit="1" customWidth="1"/>
    <col min="9" max="9" width="14.6640625" style="79" customWidth="1"/>
    <col min="10" max="10" width="13.6640625" style="79" customWidth="1"/>
    <col min="11" max="11" width="13.83203125" style="79" customWidth="1"/>
    <col min="12" max="16384" width="10.83203125" style="79"/>
  </cols>
  <sheetData>
    <row r="5" spans="6:10" x14ac:dyDescent="0.2">
      <c r="F5" s="79" t="s">
        <v>208</v>
      </c>
      <c r="G5" s="79" t="s">
        <v>209</v>
      </c>
      <c r="H5" s="79" t="s">
        <v>210</v>
      </c>
      <c r="I5" s="79" t="s">
        <v>211</v>
      </c>
      <c r="J5" s="79" t="s">
        <v>212</v>
      </c>
    </row>
    <row r="6" spans="6:10" x14ac:dyDescent="0.2">
      <c r="F6" s="79" t="s">
        <v>213</v>
      </c>
      <c r="G6" s="80">
        <f>+'Amenag, Infrastr et Equipemt '!D56</f>
        <v>203000000</v>
      </c>
      <c r="H6" s="80">
        <f>+G6*8%</f>
        <v>16240000</v>
      </c>
      <c r="I6" s="80">
        <f>+H6*50%</f>
        <v>8120000</v>
      </c>
      <c r="J6" s="80">
        <f>+I6</f>
        <v>8120000</v>
      </c>
    </row>
    <row r="7" spans="6:10" x14ac:dyDescent="0.2">
      <c r="F7" s="79" t="s">
        <v>214</v>
      </c>
      <c r="G7" s="80">
        <f>+'Amenag, Infrastr et Equipemt '!D57</f>
        <v>51800000</v>
      </c>
      <c r="H7" s="80">
        <f>+G7*8%</f>
        <v>4144000</v>
      </c>
      <c r="I7" s="80">
        <f>+H7*50%</f>
        <v>2072000</v>
      </c>
      <c r="J7" s="80">
        <f>+I7</f>
        <v>2072000</v>
      </c>
    </row>
    <row r="9" spans="6:10" x14ac:dyDescent="0.2">
      <c r="J9" s="82">
        <f>+SUM(J6:J8)</f>
        <v>10192000</v>
      </c>
    </row>
    <row r="21" spans="2:11" x14ac:dyDescent="0.2">
      <c r="F21" s="89" t="s">
        <v>79</v>
      </c>
      <c r="G21" s="78">
        <v>2026</v>
      </c>
      <c r="H21" s="78">
        <v>2027</v>
      </c>
      <c r="I21" s="78">
        <v>2028</v>
      </c>
      <c r="J21" s="78">
        <v>2029</v>
      </c>
      <c r="K21" s="78">
        <v>2030</v>
      </c>
    </row>
    <row r="22" spans="2:11" x14ac:dyDescent="0.2">
      <c r="F22" s="79" t="s">
        <v>208</v>
      </c>
      <c r="G22" s="215"/>
      <c r="H22" s="215"/>
      <c r="I22" s="216">
        <f>+J9*10%</f>
        <v>1019200</v>
      </c>
      <c r="J22" s="216">
        <f>+J9*10%</f>
        <v>1019200</v>
      </c>
      <c r="K22" s="216">
        <f>+J9*10%</f>
        <v>1019200</v>
      </c>
    </row>
    <row r="23" spans="2:11" x14ac:dyDescent="0.2">
      <c r="F23" s="79" t="s">
        <v>215</v>
      </c>
      <c r="G23" s="217">
        <f>SUM('CA Elevage'!C200)*2.5/100</f>
        <v>703952.5</v>
      </c>
      <c r="H23" s="217">
        <f>SUM('CA Elevage'!D200)*2.5/100</f>
        <v>3070375</v>
      </c>
      <c r="I23" s="218">
        <f>SUM('CA Elevage'!E200)*2.5/100</f>
        <v>4034162.5</v>
      </c>
      <c r="J23" s="216">
        <f>SUM('CA Elevage'!F200)*2.5/100</f>
        <v>4672243.75</v>
      </c>
      <c r="K23" s="218">
        <f>SUM('CA Elevage'!G200)*2.5/100</f>
        <v>5000551</v>
      </c>
    </row>
    <row r="24" spans="2:11" x14ac:dyDescent="0.2">
      <c r="B24" s="79">
        <f>1.2+7.5+10.5</f>
        <v>19.2</v>
      </c>
      <c r="F24" s="79" t="s">
        <v>173</v>
      </c>
      <c r="G24" s="214">
        <f>+'CA Elevage'!C200*0.5%</f>
        <v>140790.5</v>
      </c>
      <c r="H24" s="217">
        <f>+'CA Elevage'!D200*0.5%</f>
        <v>614075</v>
      </c>
      <c r="I24" s="216">
        <f>+'CA Elevage'!E200*0.5%</f>
        <v>806832.5</v>
      </c>
      <c r="J24" s="216">
        <f>+'CA Elevage'!F200*0.5%</f>
        <v>934448.75</v>
      </c>
      <c r="K24" s="216">
        <f>+'CA Elevage'!G200*0.5%</f>
        <v>1000110.2000000001</v>
      </c>
    </row>
    <row r="25" spans="2:11" x14ac:dyDescent="0.2">
      <c r="F25" s="192"/>
      <c r="G25" s="219"/>
      <c r="H25" s="219"/>
      <c r="I25" s="220"/>
      <c r="J25" s="220"/>
      <c r="K25" s="220"/>
    </row>
    <row r="26" spans="2:11" x14ac:dyDescent="0.2">
      <c r="G26" s="215"/>
      <c r="H26" s="215"/>
      <c r="I26" s="216"/>
      <c r="J26" s="216"/>
      <c r="K26" s="216"/>
    </row>
    <row r="27" spans="2:11" x14ac:dyDescent="0.2">
      <c r="F27" s="138" t="s">
        <v>170</v>
      </c>
      <c r="G27" s="221">
        <f>+SUM(G22:G26)</f>
        <v>844743</v>
      </c>
      <c r="H27" s="221">
        <f>+SUM(H22:H26)</f>
        <v>3684450</v>
      </c>
      <c r="I27" s="222">
        <f>+SUM(I22:I26)</f>
        <v>5860195</v>
      </c>
      <c r="J27" s="222">
        <f>+SUM(J22:J26)</f>
        <v>6625892.5</v>
      </c>
      <c r="K27" s="222">
        <f>+SUM(K22:K26)</f>
        <v>7019861.2000000002</v>
      </c>
    </row>
    <row r="28" spans="2:11" x14ac:dyDescent="0.2">
      <c r="H28" s="213"/>
    </row>
    <row r="31" spans="2:11" x14ac:dyDescent="0.2">
      <c r="H31" s="79" t="s">
        <v>32</v>
      </c>
    </row>
  </sheetData>
  <phoneticPr fontId="45" type="noConversion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2:J18"/>
  <sheetViews>
    <sheetView showGridLines="0" topLeftCell="C1" zoomScale="150" zoomScaleNormal="150" workbookViewId="0">
      <selection activeCell="F10" sqref="F10"/>
    </sheetView>
  </sheetViews>
  <sheetFormatPr baseColWidth="10" defaultColWidth="10.83203125" defaultRowHeight="16" x14ac:dyDescent="0.2"/>
  <cols>
    <col min="1" max="3" width="10.83203125" style="79"/>
    <col min="4" max="4" width="44.33203125" style="80" customWidth="1"/>
    <col min="5" max="9" width="17.83203125" style="80" customWidth="1"/>
    <col min="10" max="10" width="10.83203125" style="80"/>
    <col min="11" max="16384" width="10.83203125" style="79"/>
  </cols>
  <sheetData>
    <row r="2" spans="4:9" x14ac:dyDescent="0.2">
      <c r="D2" s="695" t="s">
        <v>834</v>
      </c>
      <c r="E2" s="80">
        <f>SUM('Matière 1é &amp; fourni Agriculture'!D171)</f>
        <v>116791942.06363636</v>
      </c>
      <c r="F2" s="80">
        <f>SUM('Matière 1é &amp; fourni Agriculture'!E171)</f>
        <v>106516942.06363636</v>
      </c>
      <c r="G2" s="80">
        <f>SUM('Matière 1é &amp; fourni Agriculture'!F171)</f>
        <v>116505799.74805787</v>
      </c>
      <c r="H2" s="80">
        <f>SUM('Matière 1é &amp; fourni Agriculture'!G171)</f>
        <v>118294117.29790911</v>
      </c>
      <c r="I2" s="80">
        <f>SUM('Matière 1é &amp; fourni Agriculture'!H171)</f>
        <v>129334408.85356367</v>
      </c>
    </row>
    <row r="3" spans="4:9" x14ac:dyDescent="0.2">
      <c r="D3" s="695" t="s">
        <v>835</v>
      </c>
      <c r="E3" s="80">
        <f>SUM('Matière 1é &amp; fourni Elevage'!D162)</f>
        <v>63781000</v>
      </c>
      <c r="F3" s="80">
        <f>SUM('Matière 1é &amp; fourni Elevage'!E162)</f>
        <v>68608000</v>
      </c>
      <c r="G3" s="80">
        <f>SUM('Matière 1é &amp; fourni Elevage'!F162)</f>
        <v>74352400</v>
      </c>
      <c r="H3" s="80">
        <f>SUM('Matière 1é &amp; fourni Elevage'!G162)</f>
        <v>80248300</v>
      </c>
      <c r="I3" s="80">
        <f>SUM('Matière 1é &amp; fourni Elevage'!H162)</f>
        <v>87330578</v>
      </c>
    </row>
    <row r="4" spans="4:9" x14ac:dyDescent="0.2">
      <c r="E4" s="80">
        <f>+E2/3</f>
        <v>38930647.354545452</v>
      </c>
      <c r="F4" s="80">
        <f t="shared" ref="F4:I5" si="0">+F2/2</f>
        <v>53258471.031818181</v>
      </c>
      <c r="G4" s="80">
        <f t="shared" si="0"/>
        <v>58252899.874028936</v>
      </c>
      <c r="H4" s="80">
        <f t="shared" si="0"/>
        <v>59147058.648954555</v>
      </c>
      <c r="I4" s="80">
        <f t="shared" si="0"/>
        <v>64667204.426781833</v>
      </c>
    </row>
    <row r="5" spans="4:9" x14ac:dyDescent="0.2">
      <c r="E5" s="80">
        <f>+E3/2</f>
        <v>31890500</v>
      </c>
      <c r="F5" s="80">
        <f t="shared" si="0"/>
        <v>34304000</v>
      </c>
      <c r="G5" s="80">
        <f t="shared" si="0"/>
        <v>37176200</v>
      </c>
      <c r="H5" s="80">
        <f t="shared" si="0"/>
        <v>40124150</v>
      </c>
      <c r="I5" s="80">
        <f t="shared" si="0"/>
        <v>43665289</v>
      </c>
    </row>
    <row r="6" spans="4:9" ht="17" thickBot="1" x14ac:dyDescent="0.25"/>
    <row r="7" spans="4:9" x14ac:dyDescent="0.2">
      <c r="D7" s="889" t="s">
        <v>174</v>
      </c>
      <c r="E7" s="890"/>
      <c r="F7" s="890"/>
      <c r="G7" s="890"/>
      <c r="H7" s="890"/>
      <c r="I7" s="891"/>
    </row>
    <row r="8" spans="4:9" x14ac:dyDescent="0.2">
      <c r="D8" s="696" t="s">
        <v>79</v>
      </c>
      <c r="E8" s="670">
        <v>2026</v>
      </c>
      <c r="F8" s="697">
        <v>2027</v>
      </c>
      <c r="G8" s="670">
        <v>2028</v>
      </c>
      <c r="H8" s="697">
        <v>2029</v>
      </c>
      <c r="I8" s="711">
        <v>2030</v>
      </c>
    </row>
    <row r="9" spans="4:9" x14ac:dyDescent="0.2">
      <c r="D9" s="698" t="s">
        <v>163</v>
      </c>
      <c r="E9" s="230"/>
      <c r="F9" s="230"/>
      <c r="G9" s="230"/>
      <c r="H9" s="230"/>
      <c r="I9" s="290"/>
    </row>
    <row r="10" spans="4:9" x14ac:dyDescent="0.2">
      <c r="D10" s="396" t="s">
        <v>164</v>
      </c>
      <c r="E10" s="174">
        <f>SUM(E4:E5)</f>
        <v>70821147.354545444</v>
      </c>
      <c r="F10" s="174">
        <f>+SUM(F4:F5)</f>
        <v>87562471.031818181</v>
      </c>
      <c r="G10" s="174">
        <f>+SUM(G4:G5)</f>
        <v>95429099.874028936</v>
      </c>
      <c r="H10" s="174">
        <f>+SUM(H4:H5)</f>
        <v>99271208.648954555</v>
      </c>
      <c r="I10" s="699">
        <f>+SUM(I4:I5)</f>
        <v>108332493.42678183</v>
      </c>
    </row>
    <row r="11" spans="4:9" x14ac:dyDescent="0.2">
      <c r="D11" s="398" t="s">
        <v>165</v>
      </c>
      <c r="E11" s="173">
        <f>+Exploitation!F82</f>
        <v>6466076</v>
      </c>
      <c r="F11" s="173">
        <f>+Exploitation!G82</f>
        <v>12248100</v>
      </c>
      <c r="G11" s="173">
        <f>+Exploitation!H82</f>
        <v>13474938</v>
      </c>
      <c r="H11" s="173">
        <f>+Exploitation!I82</f>
        <v>14710201</v>
      </c>
      <c r="I11" s="702">
        <f>+Exploitation!J82</f>
        <v>16183251.100000001</v>
      </c>
    </row>
    <row r="12" spans="4:9" x14ac:dyDescent="0.2">
      <c r="D12" s="698" t="s">
        <v>166</v>
      </c>
      <c r="E12" s="700">
        <f>E10+E11</f>
        <v>77287223.354545444</v>
      </c>
      <c r="F12" s="700">
        <f>F10+F11</f>
        <v>99810571.031818181</v>
      </c>
      <c r="G12" s="700">
        <f>G10+G11</f>
        <v>108904037.87402894</v>
      </c>
      <c r="H12" s="700">
        <f>H10+H11</f>
        <v>113981409.64895456</v>
      </c>
      <c r="I12" s="701">
        <f>I10+I11</f>
        <v>124515744.52678183</v>
      </c>
    </row>
    <row r="13" spans="4:9" x14ac:dyDescent="0.2">
      <c r="D13" s="698" t="s">
        <v>167</v>
      </c>
      <c r="E13" s="173"/>
      <c r="F13" s="173"/>
      <c r="G13" s="173"/>
      <c r="H13" s="173"/>
      <c r="I13" s="702"/>
    </row>
    <row r="14" spans="4:9" x14ac:dyDescent="0.2">
      <c r="D14" s="398" t="s">
        <v>168</v>
      </c>
      <c r="E14" s="173">
        <f>+'Impots et taxes'!G27</f>
        <v>844743</v>
      </c>
      <c r="F14" s="173">
        <f>+'Impots et taxes'!H27</f>
        <v>3684450</v>
      </c>
      <c r="G14" s="173">
        <f>+'Impots et taxes'!I27</f>
        <v>5860195</v>
      </c>
      <c r="H14" s="173">
        <f>+'Impots et taxes'!J27</f>
        <v>6625892.5</v>
      </c>
      <c r="I14" s="702">
        <f>+'Impots et taxes'!K27</f>
        <v>7019861.2000000002</v>
      </c>
    </row>
    <row r="15" spans="4:9" ht="17" x14ac:dyDescent="0.2">
      <c r="D15" s="703" t="s">
        <v>169</v>
      </c>
      <c r="E15" s="174">
        <f>SUM('Salaires &amp; Avantages'!F150)</f>
        <v>27310800</v>
      </c>
      <c r="F15" s="174">
        <f>SUM('Salaires &amp; Avantages'!G150)</f>
        <v>42698000</v>
      </c>
      <c r="G15" s="174">
        <f>SUM('Salaires &amp; Avantages'!H150)</f>
        <v>76955340</v>
      </c>
      <c r="H15" s="174">
        <f>SUM('Salaires &amp; Avantages'!I150)</f>
        <v>80441187</v>
      </c>
      <c r="I15" s="699">
        <f>SUM('Salaires &amp; Avantages'!J150)</f>
        <v>83306082</v>
      </c>
    </row>
    <row r="16" spans="4:9" x14ac:dyDescent="0.2">
      <c r="D16" s="698" t="s">
        <v>170</v>
      </c>
      <c r="E16" s="700">
        <f>SUM(E14:E15)</f>
        <v>28155543</v>
      </c>
      <c r="F16" s="700">
        <f>F14+F15</f>
        <v>46382450</v>
      </c>
      <c r="G16" s="700">
        <f>G14+G15</f>
        <v>82815535</v>
      </c>
      <c r="H16" s="700">
        <f>H14+H15</f>
        <v>87067079.5</v>
      </c>
      <c r="I16" s="701">
        <f>I14+I15</f>
        <v>90325943.200000003</v>
      </c>
    </row>
    <row r="17" spans="4:9" x14ac:dyDescent="0.2">
      <c r="D17" s="704" t="s">
        <v>171</v>
      </c>
      <c r="E17" s="705">
        <f>SUM(E12)-E16</f>
        <v>49131680.354545444</v>
      </c>
      <c r="F17" s="712">
        <f>F12-F16</f>
        <v>53428121.031818181</v>
      </c>
      <c r="G17" s="712">
        <f>G12-G16</f>
        <v>26088502.874028936</v>
      </c>
      <c r="H17" s="712">
        <f>H12-H16</f>
        <v>26914330.148954555</v>
      </c>
      <c r="I17" s="706">
        <f>I12-I16</f>
        <v>34189801.326781824</v>
      </c>
    </row>
    <row r="18" spans="4:9" ht="17" thickBot="1" x14ac:dyDescent="0.25">
      <c r="D18" s="707" t="s">
        <v>172</v>
      </c>
      <c r="E18" s="708"/>
      <c r="F18" s="709">
        <f>F17-E18</f>
        <v>53428121.031818181</v>
      </c>
      <c r="G18" s="709">
        <f>G17-F18</f>
        <v>-27339618.157789245</v>
      </c>
      <c r="H18" s="709">
        <f>H17-G18</f>
        <v>54253948.306743801</v>
      </c>
      <c r="I18" s="710">
        <f>I17-H18</f>
        <v>-20064146.979961976</v>
      </c>
    </row>
  </sheetData>
  <mergeCells count="1">
    <mergeCell ref="D7:I7"/>
  </mergeCell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E8:F17"/>
  <sheetViews>
    <sheetView showGridLines="0" topLeftCell="B2" zoomScale="150" zoomScaleNormal="150" workbookViewId="0">
      <selection activeCell="G16" sqref="G16"/>
    </sheetView>
  </sheetViews>
  <sheetFormatPr baseColWidth="10" defaultRowHeight="15" x14ac:dyDescent="0.2"/>
  <cols>
    <col min="5" max="5" width="60" customWidth="1"/>
    <col min="6" max="6" width="22.83203125" customWidth="1"/>
  </cols>
  <sheetData>
    <row r="8" spans="5:6" ht="16" thickBot="1" x14ac:dyDescent="0.25"/>
    <row r="9" spans="5:6" ht="22" thickBot="1" x14ac:dyDescent="0.3">
      <c r="E9" s="833" t="s">
        <v>180</v>
      </c>
      <c r="F9" s="835"/>
    </row>
    <row r="10" spans="5:6" ht="21" x14ac:dyDescent="0.25">
      <c r="E10" s="343" t="s">
        <v>79</v>
      </c>
      <c r="F10" s="344" t="s">
        <v>41</v>
      </c>
    </row>
    <row r="11" spans="5:6" ht="21" x14ac:dyDescent="0.25">
      <c r="E11" s="345" t="s">
        <v>175</v>
      </c>
      <c r="F11" s="346">
        <f>+'Diverses charges immobilisées'!F16</f>
        <v>5000000</v>
      </c>
    </row>
    <row r="12" spans="5:6" ht="21" x14ac:dyDescent="0.25">
      <c r="E12" s="347" t="s">
        <v>176</v>
      </c>
      <c r="F12" s="348">
        <f>+'Diverses charges immobilisées'!F33</f>
        <v>1840000</v>
      </c>
    </row>
    <row r="13" spans="5:6" ht="21" x14ac:dyDescent="0.25">
      <c r="E13" s="345" t="s">
        <v>177</v>
      </c>
      <c r="F13" s="346">
        <f>+'Diverses charges immobilisées'!F48</f>
        <v>407542500</v>
      </c>
    </row>
    <row r="14" spans="5:6" ht="21" x14ac:dyDescent="0.25">
      <c r="E14" s="349" t="s">
        <v>178</v>
      </c>
      <c r="F14" s="350">
        <f>SUM(F11:F13)</f>
        <v>414382500</v>
      </c>
    </row>
    <row r="15" spans="5:6" ht="21" x14ac:dyDescent="0.25">
      <c r="E15" s="351" t="s">
        <v>179</v>
      </c>
      <c r="F15" s="352">
        <f>SUM(BFR!E17:F17)</f>
        <v>102559801.38636363</v>
      </c>
    </row>
    <row r="16" spans="5:6" ht="22" thickBot="1" x14ac:dyDescent="0.3">
      <c r="E16" s="345"/>
      <c r="F16" s="353"/>
    </row>
    <row r="17" spans="5:6" ht="22" thickBot="1" x14ac:dyDescent="0.3">
      <c r="E17" s="354" t="s">
        <v>206</v>
      </c>
      <c r="F17" s="355">
        <f>F14+F15</f>
        <v>516942301.38636363</v>
      </c>
    </row>
  </sheetData>
  <mergeCells count="1">
    <mergeCell ref="E9:F9"/>
  </mergeCell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7:W71"/>
  <sheetViews>
    <sheetView showGridLines="0" topLeftCell="A8" zoomScale="125" zoomScaleNormal="125" workbookViewId="0">
      <selection activeCell="C42" sqref="C42:W42"/>
    </sheetView>
  </sheetViews>
  <sheetFormatPr baseColWidth="10" defaultRowHeight="15" x14ac:dyDescent="0.2"/>
  <cols>
    <col min="1" max="1" width="5.1640625" customWidth="1"/>
    <col min="2" max="2" width="55" customWidth="1"/>
    <col min="3" max="3" width="18.83203125" customWidth="1"/>
    <col min="4" max="19" width="12.83203125" customWidth="1"/>
  </cols>
  <sheetData>
    <row r="7" spans="2:23" ht="19" x14ac:dyDescent="0.25">
      <c r="B7" s="369" t="s">
        <v>71</v>
      </c>
      <c r="C7" s="370">
        <v>2025</v>
      </c>
      <c r="D7" s="893">
        <v>2026</v>
      </c>
      <c r="E7" s="894"/>
      <c r="F7" s="894"/>
      <c r="G7" s="895"/>
      <c r="H7" s="892">
        <v>2027</v>
      </c>
      <c r="I7" s="892"/>
      <c r="J7" s="892"/>
      <c r="K7" s="892"/>
      <c r="L7" s="892">
        <v>2028</v>
      </c>
      <c r="M7" s="892"/>
      <c r="N7" s="892"/>
      <c r="O7" s="892"/>
      <c r="P7" s="892">
        <v>2029</v>
      </c>
      <c r="Q7" s="892"/>
      <c r="R7" s="892"/>
      <c r="S7" s="892"/>
      <c r="T7" s="892">
        <v>2030</v>
      </c>
      <c r="U7" s="892"/>
      <c r="V7" s="892"/>
      <c r="W7" s="892"/>
    </row>
    <row r="8" spans="2:23" x14ac:dyDescent="0.2">
      <c r="B8" s="7"/>
      <c r="C8" s="91"/>
      <c r="E8" s="91"/>
      <c r="G8" s="91"/>
      <c r="I8" s="91"/>
      <c r="K8" s="91"/>
      <c r="M8" s="91"/>
      <c r="O8" s="91"/>
      <c r="Q8" s="91"/>
      <c r="S8" s="92"/>
    </row>
    <row r="9" spans="2:23" ht="20" customHeight="1" x14ac:dyDescent="0.2">
      <c r="B9" s="95" t="s">
        <v>75</v>
      </c>
      <c r="C9" s="91"/>
      <c r="E9" s="91"/>
      <c r="G9" s="91"/>
      <c r="I9" s="91"/>
      <c r="K9" s="91"/>
      <c r="M9" s="91"/>
      <c r="O9" s="91"/>
      <c r="Q9" s="91"/>
      <c r="S9" s="92"/>
    </row>
    <row r="10" spans="2:23" ht="20" customHeight="1" x14ac:dyDescent="0.2">
      <c r="B10" s="96" t="s">
        <v>60</v>
      </c>
      <c r="C10" s="91"/>
      <c r="E10" s="91"/>
      <c r="G10" s="91"/>
      <c r="I10" s="91"/>
      <c r="K10" s="91"/>
      <c r="M10" s="91"/>
      <c r="O10" s="91"/>
      <c r="Q10" s="91"/>
      <c r="S10" s="92"/>
    </row>
    <row r="11" spans="2:23" ht="20" customHeight="1" x14ac:dyDescent="0.2">
      <c r="B11" s="446" t="s">
        <v>398</v>
      </c>
      <c r="C11" s="93"/>
      <c r="E11" s="91"/>
      <c r="G11" s="91"/>
      <c r="I11" s="91"/>
      <c r="K11" s="91"/>
      <c r="M11" s="91"/>
      <c r="O11" s="91"/>
      <c r="Q11" s="91"/>
      <c r="S11" s="92"/>
    </row>
    <row r="12" spans="2:23" ht="20" customHeight="1" x14ac:dyDescent="0.2">
      <c r="B12" s="446" t="s">
        <v>398</v>
      </c>
      <c r="C12" s="91"/>
      <c r="E12" s="91"/>
      <c r="G12" s="91"/>
      <c r="I12" s="91"/>
      <c r="K12" s="91"/>
      <c r="M12" s="91"/>
      <c r="O12" s="91"/>
      <c r="Q12" s="91"/>
      <c r="S12" s="92"/>
    </row>
    <row r="13" spans="2:23" ht="20" customHeight="1" x14ac:dyDescent="0.2">
      <c r="B13" s="97"/>
      <c r="C13" s="91"/>
      <c r="E13" s="91"/>
      <c r="G13" s="91"/>
      <c r="I13" s="91"/>
      <c r="K13" s="91"/>
      <c r="M13" s="91"/>
      <c r="O13" s="91"/>
      <c r="Q13" s="91"/>
      <c r="S13" s="92"/>
    </row>
    <row r="14" spans="2:23" ht="20" customHeight="1" x14ac:dyDescent="0.2">
      <c r="B14" s="98" t="s">
        <v>64</v>
      </c>
      <c r="C14" s="91"/>
      <c r="E14" s="91"/>
      <c r="G14" s="91"/>
      <c r="I14" s="91"/>
      <c r="K14" s="91"/>
      <c r="M14" s="91"/>
      <c r="O14" s="91"/>
      <c r="Q14" s="91"/>
      <c r="S14" s="92"/>
    </row>
    <row r="15" spans="2:23" ht="20" customHeight="1" x14ac:dyDescent="0.2">
      <c r="B15" s="96" t="s">
        <v>60</v>
      </c>
      <c r="C15" s="91"/>
      <c r="E15" s="94"/>
      <c r="G15" s="91"/>
      <c r="I15" s="91"/>
      <c r="K15" s="91"/>
      <c r="M15" s="91"/>
      <c r="O15" s="91"/>
      <c r="Q15" s="91"/>
      <c r="S15" s="92"/>
    </row>
    <row r="16" spans="2:23" ht="20" customHeight="1" x14ac:dyDescent="0.2">
      <c r="B16" s="446" t="s">
        <v>400</v>
      </c>
      <c r="C16" s="91"/>
      <c r="E16" s="91"/>
      <c r="G16" s="91"/>
      <c r="I16" s="91"/>
      <c r="K16" s="91"/>
      <c r="M16" s="91"/>
      <c r="O16" s="91"/>
      <c r="Q16" s="91"/>
      <c r="S16" s="92"/>
    </row>
    <row r="17" spans="2:19" ht="20" customHeight="1" x14ac:dyDescent="0.2">
      <c r="B17" s="446" t="s">
        <v>401</v>
      </c>
      <c r="C17" s="91"/>
      <c r="E17" s="91"/>
      <c r="G17" s="91"/>
      <c r="I17" s="91"/>
      <c r="K17" s="91"/>
      <c r="M17" s="91"/>
      <c r="O17" s="91"/>
      <c r="Q17" s="91"/>
      <c r="S17" s="92"/>
    </row>
    <row r="18" spans="2:19" ht="20" customHeight="1" x14ac:dyDescent="0.2">
      <c r="B18" s="96" t="s">
        <v>62</v>
      </c>
      <c r="C18" s="91"/>
      <c r="E18" s="91"/>
      <c r="G18" s="91"/>
      <c r="I18" s="91"/>
      <c r="K18" s="91"/>
      <c r="M18" s="91"/>
      <c r="O18" s="91"/>
      <c r="Q18" s="91"/>
      <c r="S18" s="92"/>
    </row>
    <row r="19" spans="2:19" ht="20" customHeight="1" x14ac:dyDescent="0.2">
      <c r="B19" s="96" t="s">
        <v>65</v>
      </c>
      <c r="C19" s="91"/>
      <c r="E19" s="91"/>
      <c r="G19" s="91"/>
      <c r="I19" s="91"/>
      <c r="K19" s="91"/>
      <c r="M19" s="91"/>
      <c r="O19" s="91"/>
      <c r="Q19" s="91"/>
      <c r="S19" s="92"/>
    </row>
    <row r="20" spans="2:19" ht="20" customHeight="1" x14ac:dyDescent="0.2">
      <c r="B20" s="96" t="s">
        <v>63</v>
      </c>
      <c r="C20" s="91"/>
      <c r="E20" s="91"/>
      <c r="G20" s="91"/>
      <c r="I20" s="91"/>
      <c r="K20" s="91"/>
      <c r="M20" s="91"/>
      <c r="O20" s="91"/>
      <c r="Q20" s="91"/>
      <c r="S20" s="92" t="s">
        <v>32</v>
      </c>
    </row>
    <row r="21" spans="2:19" ht="20" customHeight="1" x14ac:dyDescent="0.2">
      <c r="B21" s="97"/>
      <c r="C21" s="91"/>
      <c r="E21" s="91"/>
      <c r="G21" s="91"/>
      <c r="I21" s="91"/>
      <c r="K21" s="91"/>
      <c r="M21" s="91"/>
      <c r="O21" s="91"/>
      <c r="Q21" s="91"/>
      <c r="S21" s="92"/>
    </row>
    <row r="22" spans="2:19" ht="20" customHeight="1" x14ac:dyDescent="0.2">
      <c r="B22" s="95" t="s">
        <v>61</v>
      </c>
      <c r="C22" s="91"/>
      <c r="E22" s="91"/>
      <c r="G22" s="91"/>
      <c r="I22" s="91"/>
      <c r="K22" s="91"/>
      <c r="M22" s="91"/>
      <c r="O22" s="91"/>
      <c r="Q22" s="91"/>
      <c r="S22" s="92"/>
    </row>
    <row r="23" spans="2:19" ht="20" customHeight="1" x14ac:dyDescent="0.2">
      <c r="B23" s="212" t="s">
        <v>66</v>
      </c>
      <c r="C23" s="91"/>
      <c r="E23" s="91"/>
      <c r="G23" s="91"/>
      <c r="I23" s="91"/>
      <c r="K23" s="91"/>
      <c r="M23" s="91"/>
      <c r="O23" s="91"/>
      <c r="Q23" s="91"/>
      <c r="S23" s="92"/>
    </row>
    <row r="24" spans="2:19" ht="20" customHeight="1" x14ac:dyDescent="0.2">
      <c r="B24" s="446" t="s">
        <v>402</v>
      </c>
      <c r="C24" s="91"/>
      <c r="E24" s="91"/>
      <c r="G24" s="91"/>
      <c r="I24" s="91"/>
      <c r="K24" s="91"/>
      <c r="M24" s="91"/>
      <c r="O24" s="91"/>
      <c r="Q24" s="91"/>
      <c r="S24" s="92"/>
    </row>
    <row r="25" spans="2:19" ht="20" customHeight="1" x14ac:dyDescent="0.2">
      <c r="B25" s="446" t="s">
        <v>403</v>
      </c>
      <c r="C25" s="91"/>
      <c r="E25" s="91"/>
      <c r="G25" s="91"/>
      <c r="I25" s="91"/>
      <c r="K25" s="91"/>
      <c r="M25" s="91"/>
      <c r="O25" s="91"/>
      <c r="Q25" s="91"/>
      <c r="S25" s="92"/>
    </row>
    <row r="26" spans="2:19" ht="20" customHeight="1" x14ac:dyDescent="0.2">
      <c r="B26" s="446" t="s">
        <v>404</v>
      </c>
      <c r="C26" s="91"/>
      <c r="E26" s="91"/>
      <c r="G26" s="91"/>
      <c r="I26" s="91"/>
      <c r="K26" s="91"/>
      <c r="M26" s="91"/>
      <c r="O26" s="91"/>
      <c r="Q26" s="91"/>
      <c r="S26" s="92"/>
    </row>
    <row r="27" spans="2:19" ht="20" customHeight="1" x14ac:dyDescent="0.2">
      <c r="B27" s="446" t="s">
        <v>404</v>
      </c>
      <c r="C27" s="91"/>
      <c r="E27" s="91"/>
      <c r="G27" s="91"/>
      <c r="I27" s="91"/>
      <c r="K27" s="91"/>
      <c r="M27" s="91"/>
      <c r="O27" s="91"/>
      <c r="Q27" s="91"/>
      <c r="S27" s="92"/>
    </row>
    <row r="28" spans="2:19" ht="20" customHeight="1" x14ac:dyDescent="0.2">
      <c r="B28" s="96"/>
      <c r="C28" s="91"/>
      <c r="E28" s="91"/>
      <c r="G28" s="91"/>
      <c r="I28" s="91"/>
      <c r="K28" s="91"/>
      <c r="M28" s="91"/>
      <c r="O28" s="91"/>
      <c r="Q28" s="91"/>
      <c r="S28" s="92"/>
    </row>
    <row r="29" spans="2:19" ht="20" customHeight="1" x14ac:dyDescent="0.2">
      <c r="B29" s="98" t="s">
        <v>67</v>
      </c>
      <c r="C29" s="91"/>
      <c r="E29" s="91"/>
      <c r="G29" s="91"/>
      <c r="I29" s="91"/>
      <c r="K29" s="91"/>
      <c r="M29" s="91"/>
      <c r="O29" s="91"/>
      <c r="Q29" s="91"/>
      <c r="S29" s="92"/>
    </row>
    <row r="30" spans="2:19" ht="20" customHeight="1" x14ac:dyDescent="0.2">
      <c r="B30" s="96" t="s">
        <v>68</v>
      </c>
      <c r="C30" s="91"/>
      <c r="E30" s="91"/>
      <c r="G30" s="91"/>
      <c r="I30" s="91"/>
      <c r="K30" s="91"/>
      <c r="M30" s="91"/>
      <c r="O30" s="91"/>
      <c r="Q30" s="91"/>
      <c r="S30" s="92"/>
    </row>
    <row r="31" spans="2:19" ht="20" customHeight="1" x14ac:dyDescent="0.2">
      <c r="B31" s="212" t="s">
        <v>230</v>
      </c>
      <c r="C31" s="91"/>
      <c r="E31" s="91"/>
      <c r="G31" s="91"/>
      <c r="I31" s="91"/>
      <c r="K31" s="91"/>
      <c r="M31" s="91"/>
      <c r="O31" s="91"/>
      <c r="Q31" s="91"/>
      <c r="S31" s="92"/>
    </row>
    <row r="32" spans="2:19" ht="20" customHeight="1" x14ac:dyDescent="0.2">
      <c r="B32" s="96" t="s">
        <v>69</v>
      </c>
      <c r="C32" s="91"/>
      <c r="E32" s="91"/>
      <c r="G32" s="91"/>
      <c r="I32" s="91"/>
      <c r="K32" s="91"/>
      <c r="M32" s="91"/>
      <c r="O32" s="91"/>
      <c r="Q32" s="91"/>
      <c r="S32" s="92"/>
    </row>
    <row r="33" spans="2:23" ht="20" customHeight="1" x14ac:dyDescent="0.2">
      <c r="B33" s="96" t="s">
        <v>34</v>
      </c>
      <c r="C33" s="91"/>
      <c r="E33" s="91"/>
      <c r="G33" s="91"/>
      <c r="I33" s="91"/>
      <c r="K33" s="91"/>
      <c r="M33" s="91"/>
      <c r="O33" s="91"/>
      <c r="Q33" s="91"/>
      <c r="S33" s="92"/>
    </row>
    <row r="34" spans="2:23" ht="20" customHeight="1" x14ac:dyDescent="0.2">
      <c r="B34" s="96"/>
      <c r="C34" s="91"/>
      <c r="E34" s="91"/>
      <c r="G34" s="91"/>
      <c r="I34" s="91"/>
      <c r="K34" s="91"/>
      <c r="M34" s="91"/>
      <c r="O34" s="91"/>
      <c r="Q34" s="91"/>
      <c r="S34" s="92"/>
    </row>
    <row r="35" spans="2:23" ht="20" customHeight="1" x14ac:dyDescent="0.2">
      <c r="B35" s="97"/>
      <c r="C35" s="91"/>
      <c r="E35" s="91"/>
      <c r="G35" s="91"/>
      <c r="I35" s="91"/>
      <c r="K35" s="91"/>
      <c r="M35" s="91"/>
      <c r="O35" s="91"/>
      <c r="Q35" s="91"/>
      <c r="S35" s="92"/>
    </row>
    <row r="36" spans="2:23" ht="20" customHeight="1" x14ac:dyDescent="0.2">
      <c r="B36" s="98" t="s">
        <v>72</v>
      </c>
      <c r="C36" s="91"/>
      <c r="E36" s="91"/>
      <c r="G36" s="91"/>
      <c r="I36" s="91"/>
      <c r="K36" s="91"/>
      <c r="M36" s="91"/>
      <c r="O36" s="91"/>
      <c r="Q36" s="91"/>
      <c r="S36" s="92"/>
    </row>
    <row r="37" spans="2:23" ht="20" customHeight="1" x14ac:dyDescent="0.2">
      <c r="B37" s="446" t="s">
        <v>405</v>
      </c>
      <c r="C37" s="91"/>
      <c r="E37" s="91"/>
      <c r="G37" s="91"/>
      <c r="I37" s="91"/>
      <c r="K37" s="91"/>
      <c r="M37" s="91"/>
      <c r="O37" s="91"/>
      <c r="Q37" s="91"/>
      <c r="S37" s="92"/>
    </row>
    <row r="38" spans="2:23" ht="20" customHeight="1" x14ac:dyDescent="0.2">
      <c r="B38" s="446" t="s">
        <v>406</v>
      </c>
      <c r="C38" s="91"/>
      <c r="E38" s="91"/>
      <c r="G38" s="91"/>
      <c r="I38" s="91"/>
      <c r="K38" s="91"/>
      <c r="M38" s="91"/>
      <c r="O38" s="91"/>
      <c r="Q38" s="91"/>
      <c r="S38" s="92"/>
    </row>
    <row r="39" spans="2:23" ht="20" customHeight="1" x14ac:dyDescent="0.2">
      <c r="B39" s="446" t="s">
        <v>406</v>
      </c>
      <c r="C39" s="91"/>
      <c r="E39" s="91"/>
      <c r="G39" s="91"/>
      <c r="I39" s="91"/>
      <c r="K39" s="91"/>
      <c r="M39" s="91"/>
      <c r="O39" s="91"/>
      <c r="Q39" s="91"/>
      <c r="S39" s="92"/>
    </row>
    <row r="40" spans="2:23" ht="20" customHeight="1" x14ac:dyDescent="0.2">
      <c r="B40" s="212" t="s">
        <v>409</v>
      </c>
      <c r="C40" s="91"/>
      <c r="E40" s="91"/>
      <c r="G40" s="91"/>
      <c r="I40" s="91"/>
      <c r="K40" s="91"/>
      <c r="M40" s="91"/>
      <c r="O40" s="91"/>
      <c r="Q40" s="91"/>
      <c r="S40" s="92"/>
    </row>
    <row r="41" spans="2:23" ht="20" customHeight="1" x14ac:dyDescent="0.2">
      <c r="B41" s="96"/>
      <c r="C41" s="91"/>
      <c r="E41" s="91"/>
      <c r="G41" s="91"/>
      <c r="I41" s="91"/>
      <c r="K41" s="91"/>
      <c r="M41" s="91"/>
      <c r="O41" s="91"/>
      <c r="Q41" s="91"/>
      <c r="S41" s="92"/>
    </row>
    <row r="42" spans="2:23" ht="20" customHeight="1" x14ac:dyDescent="0.25">
      <c r="B42" s="90" t="s">
        <v>71</v>
      </c>
      <c r="C42" s="370">
        <v>2025</v>
      </c>
      <c r="D42" s="893">
        <v>2026</v>
      </c>
      <c r="E42" s="894"/>
      <c r="F42" s="894"/>
      <c r="G42" s="895"/>
      <c r="H42" s="892">
        <v>2027</v>
      </c>
      <c r="I42" s="892"/>
      <c r="J42" s="892"/>
      <c r="K42" s="892"/>
      <c r="L42" s="892">
        <v>2028</v>
      </c>
      <c r="M42" s="892"/>
      <c r="N42" s="892"/>
      <c r="O42" s="892"/>
      <c r="P42" s="892">
        <v>2029</v>
      </c>
      <c r="Q42" s="892"/>
      <c r="R42" s="892"/>
      <c r="S42" s="892"/>
      <c r="T42" s="892">
        <v>2030</v>
      </c>
      <c r="U42" s="892"/>
      <c r="V42" s="892"/>
      <c r="W42" s="892"/>
    </row>
    <row r="43" spans="2:23" ht="20" customHeight="1" x14ac:dyDescent="0.2">
      <c r="B43" s="96"/>
      <c r="C43" s="91"/>
      <c r="E43" s="91"/>
      <c r="G43" s="91"/>
      <c r="I43" s="91"/>
      <c r="K43" s="91"/>
      <c r="M43" s="91"/>
      <c r="O43" s="91"/>
      <c r="Q43" s="91"/>
      <c r="S43" s="92"/>
    </row>
    <row r="44" spans="2:23" ht="20" customHeight="1" x14ac:dyDescent="0.2">
      <c r="B44" s="98" t="s">
        <v>76</v>
      </c>
      <c r="C44" s="91"/>
      <c r="E44" s="91"/>
      <c r="G44" s="91"/>
      <c r="I44" s="91"/>
      <c r="K44" s="91"/>
      <c r="M44" s="91"/>
      <c r="O44" s="91"/>
      <c r="Q44" s="91"/>
      <c r="S44" s="92"/>
    </row>
    <row r="45" spans="2:23" ht="20" customHeight="1" x14ac:dyDescent="0.2">
      <c r="B45" s="212" t="s">
        <v>227</v>
      </c>
      <c r="C45" s="91"/>
      <c r="E45" s="91"/>
      <c r="G45" s="91"/>
      <c r="I45" s="91"/>
      <c r="K45" s="91"/>
      <c r="M45" s="91"/>
      <c r="O45" s="91"/>
      <c r="Q45" s="91"/>
      <c r="S45" s="92"/>
    </row>
    <row r="46" spans="2:23" ht="20" customHeight="1" x14ac:dyDescent="0.2">
      <c r="B46" s="212" t="s">
        <v>410</v>
      </c>
      <c r="C46" s="91"/>
      <c r="E46" s="91"/>
      <c r="G46" s="91"/>
      <c r="I46" s="91"/>
      <c r="K46" s="91"/>
      <c r="M46" s="91"/>
      <c r="O46" s="91"/>
      <c r="Q46" s="91"/>
      <c r="S46" s="92"/>
    </row>
    <row r="47" spans="2:23" ht="20" customHeight="1" x14ac:dyDescent="0.2">
      <c r="B47" s="446" t="s">
        <v>398</v>
      </c>
      <c r="C47" s="91"/>
      <c r="E47" s="91"/>
      <c r="G47" s="91"/>
      <c r="I47" s="91"/>
      <c r="K47" s="91"/>
      <c r="M47" s="91"/>
      <c r="O47" s="91"/>
      <c r="Q47" s="91"/>
      <c r="S47" s="92"/>
    </row>
    <row r="48" spans="2:23" ht="20" customHeight="1" x14ac:dyDescent="0.2">
      <c r="B48" s="446" t="s">
        <v>407</v>
      </c>
      <c r="C48" s="91"/>
      <c r="E48" s="91"/>
      <c r="G48" s="91"/>
      <c r="I48" s="91"/>
      <c r="K48" s="91"/>
      <c r="M48" s="91"/>
      <c r="O48" s="91"/>
      <c r="Q48" s="91"/>
      <c r="S48" s="92"/>
    </row>
    <row r="49" spans="2:19" ht="20" customHeight="1" x14ac:dyDescent="0.2">
      <c r="B49" s="96"/>
      <c r="C49" s="91"/>
      <c r="E49" s="91"/>
      <c r="G49" s="91"/>
      <c r="I49" s="91"/>
      <c r="K49" s="91"/>
      <c r="M49" s="91"/>
      <c r="O49" s="91"/>
      <c r="Q49" s="91"/>
      <c r="S49" s="92"/>
    </row>
    <row r="50" spans="2:19" ht="20" customHeight="1" x14ac:dyDescent="0.2">
      <c r="B50" s="98" t="s">
        <v>77</v>
      </c>
      <c r="C50" s="91"/>
      <c r="E50" s="91"/>
      <c r="G50" s="91"/>
      <c r="I50" s="91"/>
      <c r="K50" s="91"/>
      <c r="M50" s="91"/>
      <c r="O50" s="91"/>
      <c r="Q50" s="91"/>
      <c r="S50" s="92"/>
    </row>
    <row r="51" spans="2:19" ht="20" customHeight="1" x14ac:dyDescent="0.2">
      <c r="B51" s="446" t="s">
        <v>399</v>
      </c>
      <c r="C51" s="91"/>
      <c r="E51" s="91"/>
      <c r="G51" s="91"/>
      <c r="I51" s="91"/>
      <c r="K51" s="91"/>
      <c r="M51" s="91"/>
      <c r="O51" s="91"/>
      <c r="Q51" s="91"/>
      <c r="S51" s="92"/>
    </row>
    <row r="52" spans="2:19" ht="20" customHeight="1" x14ac:dyDescent="0.2">
      <c r="B52" s="446" t="s">
        <v>408</v>
      </c>
      <c r="C52" s="91"/>
      <c r="E52" s="91"/>
      <c r="G52" s="91"/>
      <c r="I52" s="91"/>
      <c r="K52" s="91"/>
      <c r="M52" s="91"/>
      <c r="O52" s="91"/>
      <c r="Q52" s="91"/>
      <c r="S52" s="92"/>
    </row>
    <row r="53" spans="2:19" ht="20" customHeight="1" x14ac:dyDescent="0.2">
      <c r="B53" s="96"/>
      <c r="C53" s="91"/>
      <c r="E53" s="91"/>
      <c r="G53" s="91"/>
      <c r="I53" s="91"/>
      <c r="K53" s="91"/>
      <c r="M53" s="91"/>
      <c r="O53" s="91"/>
      <c r="Q53" s="91"/>
      <c r="S53" s="92"/>
    </row>
    <row r="54" spans="2:19" ht="20" customHeight="1" x14ac:dyDescent="0.2">
      <c r="B54" s="212" t="s">
        <v>411</v>
      </c>
      <c r="C54" s="91"/>
      <c r="E54" s="91"/>
      <c r="G54" s="91"/>
      <c r="I54" s="91"/>
      <c r="K54" s="91"/>
      <c r="M54" s="91"/>
      <c r="O54" s="91"/>
      <c r="Q54" s="91"/>
      <c r="S54" s="92"/>
    </row>
    <row r="55" spans="2:19" ht="20" customHeight="1" x14ac:dyDescent="0.2">
      <c r="B55" s="96" t="s">
        <v>70</v>
      </c>
      <c r="C55" s="91"/>
      <c r="E55" s="91"/>
      <c r="G55" s="91"/>
      <c r="I55" s="91"/>
      <c r="K55" s="91"/>
      <c r="M55" s="91"/>
      <c r="O55" s="91"/>
      <c r="Q55" s="91"/>
      <c r="S55" s="92"/>
    </row>
    <row r="56" spans="2:19" ht="20" customHeight="1" x14ac:dyDescent="0.2">
      <c r="B56" s="97"/>
      <c r="C56" s="91"/>
      <c r="E56" s="91"/>
      <c r="G56" s="91"/>
      <c r="I56" s="91"/>
      <c r="K56" s="91"/>
      <c r="M56" s="91"/>
      <c r="O56" s="91"/>
      <c r="Q56" s="91"/>
      <c r="S56" s="92"/>
    </row>
    <row r="57" spans="2:19" ht="20" customHeight="1" x14ac:dyDescent="0.2">
      <c r="B57" s="98" t="s">
        <v>73</v>
      </c>
      <c r="C57" s="91"/>
      <c r="E57" s="91"/>
      <c r="G57" s="91"/>
      <c r="I57" s="91"/>
      <c r="K57" s="91"/>
      <c r="M57" s="91"/>
      <c r="O57" s="91"/>
      <c r="Q57" s="91"/>
      <c r="S57" s="92"/>
    </row>
    <row r="58" spans="2:19" ht="20" customHeight="1" x14ac:dyDescent="0.2">
      <c r="B58" s="96" t="s">
        <v>412</v>
      </c>
      <c r="C58" s="91"/>
      <c r="E58" s="91"/>
      <c r="G58" s="91"/>
      <c r="I58" s="91"/>
      <c r="K58" s="91"/>
      <c r="M58" s="91"/>
      <c r="O58" s="91"/>
      <c r="Q58" s="91"/>
      <c r="S58" s="92"/>
    </row>
    <row r="59" spans="2:19" ht="20" customHeight="1" x14ac:dyDescent="0.2">
      <c r="B59" s="446" t="s">
        <v>399</v>
      </c>
      <c r="C59" s="91"/>
      <c r="E59" s="91"/>
      <c r="G59" s="91"/>
      <c r="I59" s="91"/>
      <c r="K59" s="91"/>
      <c r="M59" s="91"/>
      <c r="O59" s="91"/>
      <c r="Q59" s="91"/>
      <c r="S59" s="92"/>
    </row>
    <row r="60" spans="2:19" ht="20" customHeight="1" x14ac:dyDescent="0.2">
      <c r="B60" s="446" t="s">
        <v>408</v>
      </c>
      <c r="C60" s="91"/>
      <c r="E60" s="91"/>
      <c r="G60" s="91"/>
      <c r="I60" s="91"/>
      <c r="K60" s="91"/>
      <c r="M60" s="91"/>
      <c r="O60" s="91"/>
      <c r="Q60" s="91"/>
      <c r="S60" s="92"/>
    </row>
    <row r="61" spans="2:19" ht="20" customHeight="1" x14ac:dyDescent="0.2">
      <c r="B61" s="212" t="s">
        <v>413</v>
      </c>
      <c r="C61" s="91"/>
      <c r="E61" s="91"/>
      <c r="G61" s="91"/>
      <c r="I61" s="91"/>
      <c r="K61" s="91"/>
      <c r="M61" s="91"/>
      <c r="O61" s="91"/>
      <c r="Q61" s="91"/>
      <c r="S61" s="92"/>
    </row>
    <row r="62" spans="2:19" ht="20" customHeight="1" x14ac:dyDescent="0.2">
      <c r="B62" s="212" t="s">
        <v>414</v>
      </c>
      <c r="C62" s="91"/>
      <c r="E62" s="91"/>
      <c r="G62" s="91"/>
      <c r="I62" s="91"/>
      <c r="K62" s="91"/>
      <c r="M62" s="91"/>
      <c r="O62" s="91"/>
      <c r="Q62" s="91"/>
      <c r="S62" s="92"/>
    </row>
    <row r="63" spans="2:19" ht="20" customHeight="1" x14ac:dyDescent="0.2">
      <c r="B63" s="97"/>
      <c r="C63" s="91"/>
      <c r="E63" s="91"/>
      <c r="G63" s="91"/>
      <c r="I63" s="91"/>
      <c r="K63" s="91"/>
      <c r="M63" s="91"/>
      <c r="O63" s="91"/>
      <c r="Q63" s="91"/>
      <c r="S63" s="92"/>
    </row>
    <row r="64" spans="2:19" ht="20" customHeight="1" x14ac:dyDescent="0.2">
      <c r="B64" s="98" t="s">
        <v>74</v>
      </c>
      <c r="C64" s="91"/>
      <c r="E64" s="91"/>
      <c r="G64" s="91"/>
      <c r="I64" s="91"/>
      <c r="K64" s="91"/>
      <c r="M64" s="91"/>
      <c r="O64" s="91"/>
      <c r="Q64" s="91"/>
      <c r="S64" s="92"/>
    </row>
    <row r="65" spans="2:19" ht="20" customHeight="1" x14ac:dyDescent="0.2">
      <c r="B65" s="96" t="s">
        <v>412</v>
      </c>
      <c r="C65" s="91"/>
      <c r="E65" s="91"/>
      <c r="G65" s="91"/>
      <c r="I65" s="91"/>
      <c r="K65" s="91"/>
      <c r="M65" s="91"/>
      <c r="O65" s="91"/>
      <c r="Q65" s="91"/>
      <c r="S65" s="92"/>
    </row>
    <row r="66" spans="2:19" ht="20" customHeight="1" x14ac:dyDescent="0.2">
      <c r="B66" s="446" t="s">
        <v>399</v>
      </c>
      <c r="C66" s="91"/>
      <c r="E66" s="91"/>
      <c r="G66" s="91"/>
      <c r="I66" s="91"/>
      <c r="K66" s="91"/>
      <c r="M66" s="91"/>
      <c r="O66" s="91"/>
      <c r="Q66" s="91"/>
      <c r="S66" s="92"/>
    </row>
    <row r="67" spans="2:19" ht="20" customHeight="1" x14ac:dyDescent="0.2">
      <c r="B67" s="446" t="s">
        <v>408</v>
      </c>
      <c r="C67" s="91"/>
      <c r="E67" s="91"/>
      <c r="G67" s="91"/>
      <c r="I67" s="91"/>
      <c r="K67" s="91"/>
      <c r="M67" s="91"/>
      <c r="O67" s="91"/>
      <c r="Q67" s="91"/>
      <c r="S67" s="92"/>
    </row>
    <row r="68" spans="2:19" ht="20" customHeight="1" x14ac:dyDescent="0.2">
      <c r="B68" s="212" t="s">
        <v>228</v>
      </c>
      <c r="C68" s="91"/>
      <c r="E68" s="91"/>
      <c r="G68" s="91"/>
      <c r="I68" s="91"/>
      <c r="K68" s="91"/>
      <c r="M68" s="91"/>
      <c r="O68" s="91"/>
      <c r="Q68" s="91"/>
      <c r="S68" s="92"/>
    </row>
    <row r="69" spans="2:19" ht="20" customHeight="1" x14ac:dyDescent="0.2">
      <c r="B69" s="212" t="s">
        <v>229</v>
      </c>
      <c r="C69" s="91"/>
      <c r="E69" s="91"/>
      <c r="G69" s="91"/>
      <c r="I69" s="91"/>
      <c r="K69" s="91"/>
      <c r="M69" s="91"/>
      <c r="O69" s="91"/>
      <c r="Q69" s="91"/>
      <c r="S69" s="92"/>
    </row>
    <row r="70" spans="2:19" ht="20" customHeight="1" x14ac:dyDescent="0.2">
      <c r="B70" s="99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1"/>
    </row>
    <row r="71" spans="2:19" ht="20" customHeight="1" x14ac:dyDescent="0.2"/>
  </sheetData>
  <mergeCells count="10">
    <mergeCell ref="D42:G42"/>
    <mergeCell ref="H42:K42"/>
    <mergeCell ref="L42:O42"/>
    <mergeCell ref="P42:S42"/>
    <mergeCell ref="T42:W42"/>
    <mergeCell ref="T7:W7"/>
    <mergeCell ref="P7:S7"/>
    <mergeCell ref="D7:G7"/>
    <mergeCell ref="H7:K7"/>
    <mergeCell ref="L7:O7"/>
  </mergeCells>
  <pageMargins left="0.7" right="0.7" top="0.75" bottom="0.75" header="0.3" footer="0.3"/>
  <pageSetup paperSize="9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Amenag, Infrastr et Equipemt </vt:lpstr>
      <vt:lpstr>Mat bureau &amp; Mat roulants</vt:lpstr>
      <vt:lpstr>Salaires &amp; Avantages</vt:lpstr>
      <vt:lpstr>Exploitation</vt:lpstr>
      <vt:lpstr>Diverses charges immobilisées</vt:lpstr>
      <vt:lpstr>Amort technique</vt:lpstr>
      <vt:lpstr>Coûts de product° Agricole</vt:lpstr>
      <vt:lpstr>Matière 1é &amp; fourni Agriculture</vt:lpstr>
      <vt:lpstr>CA Agriculture</vt:lpstr>
      <vt:lpstr>Matière 1é &amp; fourni Elevage</vt:lpstr>
      <vt:lpstr>CA Elevage</vt:lpstr>
      <vt:lpstr>CRP</vt:lpstr>
      <vt:lpstr>Schéma de financement</vt:lpstr>
      <vt:lpstr>Amort pret</vt:lpstr>
      <vt:lpstr>Impots et taxes</vt:lpstr>
      <vt:lpstr>BFR</vt:lpstr>
      <vt:lpstr>Coût</vt:lpstr>
      <vt:lpstr>Activités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2025-08-11T00:00:00Z</cp:lastPrinted>
  <dcterms:created xsi:type="dcterms:W3CDTF">2006-09-12T15:06:44Z</dcterms:created>
  <dcterms:modified xsi:type="dcterms:W3CDTF">2026-01-28T00:11:46Z</dcterms:modified>
</cp:coreProperties>
</file>