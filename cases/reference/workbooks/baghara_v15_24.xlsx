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Cover" sheetId="1" state="visible" r:id="rId3"/>
    <sheet name="01_Assumptions" sheetId="2" state="visible" r:id="rId4"/>
    <sheet name="02_Timeline" sheetId="3" state="visible" r:id="rId5"/>
    <sheet name="03_Training" sheetId="4" state="visible" r:id="rId6"/>
    <sheet name="04_Genetics" sheetId="5" state="visible" r:id="rId7"/>
    <sheet name="05_CAPEX" sheetId="6" state="visible" r:id="rId8"/>
    <sheet name="06_S&amp;U" sheetId="7" state="visible" r:id="rId9"/>
    <sheet name="07_Revenue" sheetId="8" state="visible" r:id="rId10"/>
    <sheet name="08_OpEx" sheetId="9" state="visible" r:id="rId11"/>
    <sheet name="09_Debt" sheetId="10" state="visible" r:id="rId12"/>
    <sheet name="10_CWIP" sheetId="11" state="visible" r:id="rId13"/>
    <sheet name="11_FA" sheetId="12" state="visible" r:id="rId14"/>
    <sheet name="12_WC" sheetId="13" state="visible" r:id="rId15"/>
    <sheet name="13_Tax" sheetId="14" state="visible" r:id="rId16"/>
    <sheet name="14_IS" sheetId="15" state="visible" r:id="rId17"/>
    <sheet name="15_BS" sheetId="16" state="visible" r:id="rId18"/>
    <sheet name="16_CFS" sheetId="17" state="visible" r:id="rId19"/>
    <sheet name="17_Outputs" sheetId="18" state="visible" r:id="rId20"/>
    <sheet name="18_Validation" sheetId="19" state="visible" r:id="rId21"/>
  </sheets>
  <definedNames>
    <definedName function="false" hidden="false" name="ASM_A01_N_FARMS" vbProcedure="false">'01_Assumptions'!$D$30</definedName>
    <definedName function="false" hidden="false" name="ASM_A02_SURFACE_HA_PER_FARM" vbProcedure="false">'01_Assumptions'!$D$31</definedName>
    <definedName function="false" hidden="false" name="ASM_A03_PROJ_LIFE_YEARS" vbProcedure="false">'01_Assumptions'!$D$32</definedName>
    <definedName function="false" hidden="false" name="ASM_A04_COD_YEAR" vbProcedure="false">'01_Assumptions'!$D$33</definedName>
    <definedName function="false" hidden="false" name="ASM_A05_GATE_YEAR" vbProcedure="false">'01_Assumptions'!$D$34</definedName>
    <definedName function="false" hidden="false" name="ASM_A06_TRAINING_START_YEAR" vbProcedure="false">'01_Assumptions'!$D$35</definedName>
    <definedName function="false" hidden="false" name="ASM_A07_TRAINING_STOP_YEAR" vbProcedure="false">'01_Assumptions'!$D$36</definedName>
    <definedName function="false" hidden="false" name="ASM_A08_EUR_USD" vbProcedure="false">'01_Assumptions'!$D$37</definedName>
    <definedName function="false" hidden="false" name="ASM_B01_TRAINING_SLOTS_PER_FARM" vbProcedure="false">'01_Assumptions'!$D$40</definedName>
    <definedName function="false" hidden="false" name="ASM_B02_COHORTS_PER_FARM" vbProcedure="false">'01_Assumptions'!$D$41</definedName>
    <definedName function="false" hidden="false" name="ASM_B03_TRAINEES_PER_COHORT" vbProcedure="false">'01_Assumptions'!$D$42</definedName>
    <definedName function="false" hidden="false" name="ASM_B04_THROUGHPUT_ANNUAL" vbProcedure="false">'01_Assumptions'!$D$43</definedName>
    <definedName function="false" hidden="false" name="ASM_B05_PCT_FILIERE_A" vbProcedure="false">'01_Assumptions'!$D$44</definedName>
    <definedName function="false" hidden="false" name="ASM_B06_PCT_FILIERE_B" vbProcedure="false">'01_Assumptions'!$D$45</definedName>
    <definedName function="false" hidden="false" name="ASM_B07_PCT_FILIERE_C" vbProcedure="false">'01_Assumptions'!$D$46</definedName>
    <definedName function="false" hidden="false" name="ASM_B08_PCT_FILIERE_D" vbProcedure="false">'01_Assumptions'!$D$47</definedName>
    <definedName function="false" hidden="false" name="ASM_B09_TARGET_CERTIFIED_A" vbProcedure="false">'01_Assumptions'!$D$48</definedName>
    <definedName function="false" hidden="false" name="ASM_B10_TARGET_CERTIFIED_B" vbProcedure="false">'01_Assumptions'!$D$49</definedName>
    <definedName function="false" hidden="false" name="ASM_B11_TARGET_CERTIFIED_C" vbProcedure="false">'01_Assumptions'!$D$50</definedName>
    <definedName function="false" hidden="false" name="ASM_B12_TARGET_CERTIFIED_D" vbProcedure="false">'01_Assumptions'!$D$51</definedName>
    <definedName function="false" hidden="false" name="ASM_B13_TARGET_CERTIFIED_TOTAL" vbProcedure="false">'01_Assumptions'!$D$52</definedName>
    <definedName function="false" hidden="false" name="ASM_C01_DURATION_A_MONTHS" vbProcedure="false">'01_Assumptions'!$D$55</definedName>
    <definedName function="false" hidden="false" name="ASM_C02_DURATION_B_MONTHS" vbProcedure="false">'01_Assumptions'!$D$56</definedName>
    <definedName function="false" hidden="false" name="ASM_C03_DURATION_C_MONTHS" vbProcedure="false">'01_Assumptions'!$D$57</definedName>
    <definedName function="false" hidden="false" name="ASM_C04_DURATION_D_MONTHS" vbProcedure="false">'01_Assumptions'!$D$58</definedName>
    <definedName function="false" hidden="false" name="ASM_C05_STIPEND_PER_DAY_EUR" vbProcedure="false">'01_Assumptions'!$D$59</definedName>
    <definedName function="false" hidden="false" name="ASM_C06_WORK_OFFSET_PER_DAY_EUR" vbProcedure="false">'01_Assumptions'!$D$60</definedName>
    <definedName function="false" hidden="false" name="ASM_C07_OFFSET_START_MONTH" vbProcedure="false">'01_Assumptions'!$D$61</definedName>
    <definedName function="false" hidden="false" name="ASM_C08_COST_PER_TRAINEE_A_EUR" vbProcedure="false">'01_Assumptions'!$D$62</definedName>
    <definedName function="false" hidden="false" name="ASM_C09_COST_PER_TRAINEE_B_EUR" vbProcedure="false">'01_Assumptions'!$D$63</definedName>
    <definedName function="false" hidden="false" name="ASM_C10_COST_PER_TRAINEE_C_EUR" vbProcedure="false">'01_Assumptions'!$D$64</definedName>
    <definedName function="false" hidden="false" name="ASM_C11_COST_PER_TRAINEE_D_EUR" vbProcedure="false">'01_Assumptions'!$D$65</definedName>
    <definedName function="false" hidden="false" name="ASM_D01_N_TRAINERS_FILIERE" vbProcedure="false">'01_Assumptions'!$D$68</definedName>
    <definedName function="false" hidden="false" name="ASM_D02_N_TRAINERS_SPECIALIST" vbProcedure="false">'01_Assumptions'!$D$69</definedName>
    <definedName function="false" hidden="false" name="ASM_D03_N_TRAINERS_TOTAL" vbProcedure="false">'01_Assumptions'!$D$70</definedName>
    <definedName function="false" hidden="false" name="ASM_D04_COST_TRAINER_FILIERE_YEAR" vbProcedure="false">'01_Assumptions'!$D$71</definedName>
    <definedName function="false" hidden="false" name="ASM_D05_COST_TRAINER_SPECIALIST_YEAR" vbProcedure="false">'01_Assumptions'!$D$72</definedName>
    <definedName function="false" hidden="false" name="ASM_D06_YEARS_TRAINERS_ACTIVE" vbProcedure="false">'01_Assumptions'!$D$73</definedName>
    <definedName function="false" hidden="false" name="ASM_D07_YEARS_SPECIALIST_ACTIVE" vbProcedure="false">'01_Assumptions'!$D$74</definedName>
    <definedName function="false" hidden="false" name="ASM_D08_DURATION_TOT_YEARS" vbProcedure="false">'01_Assumptions'!$D$75</definedName>
    <definedName function="false" hidden="false" name="ASM_D09_COST_TOT_PER_TRAINER_YEAR" vbProcedure="false">'01_Assumptions'!$D$76</definedName>
    <definedName function="false" hidden="false" name="ASM_D10_COST_INTL_SPECIALISTS_EUR" vbProcedure="false">'01_Assumptions'!$D$77</definedName>
    <definedName function="false" hidden="false" name="ASM_E01_SURFACE_MONITORING_PCT" vbProcedure="false">'01_Assumptions'!$D$80</definedName>
    <definedName function="false" hidden="false" name="ASM_E02_SURFACE_PEDAGOGICAL_PCT" vbProcedure="false">'01_Assumptions'!$D$81</definedName>
    <definedName function="false" hidden="false" name="ASM_E03_SURFACE_OPERATIONAL_PCT" vbProcedure="false">'01_Assumptions'!$D$82</definedName>
    <definedName function="false" hidden="false" name="ASM_E04_SURFACE_MARAICHER_HA" vbProcedure="false">'01_Assumptions'!$D$83</definedName>
    <definedName function="false" hidden="false" name="ASM_E05_SURFACE_CEREALS_HA" vbProcedure="false">'01_Assumptions'!$D$84</definedName>
    <definedName function="false" hidden="false" name="ASM_E06_SURFACE_AGROFORESTRY_HA" vbProcedure="false">'01_Assumptions'!$D$85</definedName>
    <definedName function="false" hidden="false" name="ASM_E07_N_CYCLES_MARAICHER" vbProcedure="false">'01_Assumptions'!$D$86</definedName>
    <definedName function="false" hidden="false" name="ASM_E08_N_COWS_DAIRY_PER_FARM" vbProcedure="false">'01_Assumptions'!$D$87</definedName>
    <definedName function="false" hidden="false" name="ASM_E09_YIELD_DAIRY_L_PER_COW" vbProcedure="false">'01_Assumptions'!$D$88</definedName>
    <definedName function="false" hidden="false" name="ASM_E10_N_BEEF_STOCK_PER_FARM" vbProcedure="false">'01_Assumptions'!$D$89</definedName>
    <definedName function="false" hidden="false" name="ASM_E11_OFFTAKE_RATE_BEEF" vbProcedure="false">'01_Assumptions'!$D$90</definedName>
    <definedName function="false" hidden="false" name="ASM_E12_LIVEWEIGHT_BEEF_KG" vbProcedure="false">'01_Assumptions'!$D$91</definedName>
    <definedName function="false" hidden="false" name="ASM_E13_DRESSING_PCT_BEEF" vbProcedure="false">'01_Assumptions'!$D$92</definedName>
    <definedName function="false" hidden="false" name="ASM_E14_YIELD_CEREAL_T_PER_HA" vbProcedure="false">'01_Assumptions'!$D$93</definedName>
    <definedName function="false" hidden="false" name="ASM_E15_YIELD_MARAICH_T_PER_HA" vbProcedure="false">'01_Assumptions'!$D$94</definedName>
    <definedName function="false" hidden="false" name="ASM_E16_PRICE_DAIRY_EUR_PER_L" vbProcedure="false">'01_Assumptions'!$D$95</definedName>
    <definedName function="false" hidden="false" name="ASM_E17_PRICE_BEEF_EUR_PER_KG_CARC" vbProcedure="false">'01_Assumptions'!$D$96</definedName>
    <definedName function="false" hidden="false" name="ASM_E18_PRICE_CEREAL_EUR_PER_T" vbProcedure="false">'01_Assumptions'!$D$97</definedName>
    <definedName function="false" hidden="false" name="ASM_E19_PRICE_MARAICH_EUR_PER_T" vbProcedure="false">'01_Assumptions'!$D$98</definedName>
    <definedName function="false" hidden="false" name="ASM_E20_RAMP_Y1_PCT" vbProcedure="false">'01_Assumptions'!$D$99</definedName>
    <definedName function="false" hidden="false" name="ASM_E21_RAMP_Y2_PCT" vbProcedure="false">'01_Assumptions'!$D$100</definedName>
    <definedName function="false" hidden="false" name="ASM_E22_SURFACE_FOURRAGE_HA" vbProcedure="false">'01_Assumptions'!$D$101</definedName>
    <definedName function="false" hidden="false" name="ASM_E23_YIELD_FOURRAGE_T_MS_HA" vbProcedure="false">'01_Assumptions'!$D$102</definedName>
    <definedName function="false" hidden="false" name="ASM_E24_FEED_RATE_DAIRY_T_MS_YR" vbProcedure="false">'01_Assumptions'!$D$103</definedName>
    <definedName function="false" hidden="false" name="ASM_E25_FEED_RATE_BEEF_T_MS_YR" vbProcedure="false">'01_Assumptions'!$D$104</definedName>
    <definedName function="false" hidden="false" name="ASM_E26_PRICE_FOURRAGE_EUR_T_MS" vbProcedure="false">'01_Assumptions'!$D$105</definedName>
    <definedName function="false" hidden="false" name="ASM_F01_UOF_STANDARD_CAPACITY" vbProcedure="false">'01_Assumptions'!$D$108</definedName>
    <definedName function="false" hidden="false" name="ASM_F02_ADDITIONAL_BEDS_PER_FARM" vbProcedure="false">'01_Assumptions'!$D$109</definedName>
    <definedName function="false" hidden="false" name="ASM_F03_COST_PER_TRAINEE_BED_EUR" vbProcedure="false">'01_Assumptions'!$D$110</definedName>
    <definedName function="false" hidden="false" name="ASM_F04_COST_REFECTOIRE_PER_FARM_EUR" vbProcedure="false">'01_Assumptions'!$D$111</definedName>
    <definedName function="false" hidden="false" name="ASM_F05_PCT_RESIDENTS_FAMILY_HOUSING" vbProcedure="false">'01_Assumptions'!$D$112</definedName>
    <definedName function="false" hidden="false" name="ASM_F06_N_FAMILY_UNITS" vbProcedure="false">'01_Assumptions'!$D$113</definedName>
    <definedName function="false" hidden="false" name="ASM_F07_COST_PER_FAMILY_UNIT_EUR" vbProcedure="false">'01_Assumptions'!$D$114</definedName>
    <definedName function="false" hidden="false" name="ASM_G01_COST_CURRICULUM_SETUP_EUR" vbProcedure="false">'01_Assumptions'!$D$117</definedName>
    <definedName function="false" hidden="false" name="ASM_G02A_PLATEAU_EAU_EUR" vbProcedure="false">'01_Assumptions'!$D$119</definedName>
    <definedName function="false" hidden="false" name="ASM_G02B_PLATEAU_PV_EUR" vbProcedure="false">'01_Assumptions'!$D$120</definedName>
    <definedName function="false" hidden="false" name="ASM_G02C_ATELIER_MECA_EUR" vbProcedure="false">'01_Assumptions'!$D$121</definedName>
    <definedName function="false" hidden="false" name="ASM_G02D_CLASSROOM_IT_EUR" vbProcedure="false">'01_Assumptions'!$D$122</definedName>
    <definedName function="false" hidden="false" name="ASM_G02_COST_PEDAGOGICAL_EQUIP_PER_FARM_EUR" vbProcedure="false">'01_Assumptions'!$D$118</definedName>
    <definedName function="false" hidden="false" name="ASM_G03_N_FILIERE_CURRICULA" vbProcedure="false">'01_Assumptions'!$D$123</definedName>
    <definedName function="false" hidden="false" name="ASM_G04_COST_CURRICULUM_PER_FILIERE_EUR" vbProcedure="false">'01_Assumptions'!$D$124</definedName>
    <definedName function="false" hidden="false" name="ASM_H01_COST_CERTIFICATION_SETUP_EUR" vbProcedure="false">'01_Assumptions'!$D$127</definedName>
    <definedName function="false" hidden="false" name="ASM_H02_COST_MONITORING_EQUIP_EUR" vbProcedure="false">'01_Assumptions'!$D$128</definedName>
    <definedName function="false" hidden="false" name="ASM_H03_COST_COORDINATOR_YEAR_EUR" vbProcedure="false">'01_Assumptions'!$D$129</definedName>
    <definedName function="false" hidden="false" name="ASM_H04_N_YEARS_MONITORING" vbProcedure="false">'01_Assumptions'!$D$130</definedName>
    <definedName function="false" hidden="false" name="ASM_H05_COST_COMMS_MATERIALS_EUR" vbProcedure="false">'01_Assumptions'!$D$131</definedName>
    <definedName function="false" hidden="false" name="ASM_H06_COST_COMMS_OFFICER_YEAR_EUR" vbProcedure="false">'01_Assumptions'!$D$132</definedName>
    <definedName function="false" hidden="false" name="ASM_H07_N_YEARS_O3" vbProcedure="false">'01_Assumptions'!$D$133</definedName>
    <definedName function="false" hidden="false" name="ASM_H08_N_PIEZOMETERS_PER_FARM" vbProcedure="false">'01_Assumptions'!$D$134</definedName>
    <definedName function="false" hidden="false" name="ASM_H09_COST_PER_PIEZOMETER_EUR" vbProcedure="false">'01_Assumptions'!$D$135</definedName>
    <definedName function="false" hidden="false" name="ASM_H10_COST_TELEMETRY_LUMP_EUR" vbProcedure="false">'01_Assumptions'!$D$136</definedName>
    <definedName function="false" hidden="false" name="ASM_I01A_AMENAGEMENTS_PER_FARM_EUR" vbProcedure="false">'01_Assumptions'!$D$140</definedName>
    <definedName function="false" hidden="false" name="ASM_I01B_IRRIGATION_PER_FARM_EUR" vbProcedure="false">'01_Assumptions'!$D$141</definedName>
    <definedName function="false" hidden="false" name="ASM_I01C_FONCIER_INKIND_PER_FARM_EUR" vbProcedure="false">'01_Assumptions'!$D$142</definedName>
    <definedName function="false" hidden="false" name="ASM_I01_UOF_LAND_PER_FARM_EUR" vbProcedure="false">'01_Assumptions'!$D$139</definedName>
    <definedName function="false" hidden="false" name="ASM_I02_UOF_BUILDINGS_PER_FARM_EUR" vbProcedure="false">'01_Assumptions'!$D$143</definedName>
    <definedName function="false" hidden="false" name="ASM_I03A_DAIRY_INFRA_PER_FARM_EUR" vbProcedure="false">'01_Assumptions'!$D$145</definedName>
    <definedName function="false" hidden="false" name="ASM_I03B_DAIRY_HERD_INKIND_PER_FARM_EUR" vbProcedure="false">'01_Assumptions'!$D$146</definedName>
    <definedName function="false" hidden="false" name="ASM_I03_UOF_DAIRY_PER_FARM_EUR" vbProcedure="false">'01_Assumptions'!$D$144</definedName>
    <definedName function="false" hidden="false" name="ASM_I04_UOF_FEEDLOT_PER_FARM_EUR" vbProcedure="false">'01_Assumptions'!$D$147</definedName>
    <definedName function="false" hidden="false" name="ASM_I05_TREES_PER_FARM" vbProcedure="false">'01_Assumptions'!$D$148</definedName>
    <definedName function="false" hidden="false" name="ASM_I06_COST_PER_TREE_EUR" vbProcedure="false">'01_Assumptions'!$D$149</definedName>
    <definedName function="false" hidden="false" name="ASM_I07_UOF_WATER_PER_FARM_EUR" vbProcedure="false">'01_Assumptions'!$D$150</definedName>
    <definedName function="false" hidden="false" name="ASM_I08_UOF_ENERGY_PER_FARM_EUR" vbProcedure="false">'01_Assumptions'!$D$151</definedName>
    <definedName function="false" hidden="false" name="ASM_I09_UOF_MECHANIZATION_PROGRAMME_EUR" vbProcedure="false">'01_Assumptions'!$D$152</definedName>
    <definedName function="false" hidden="false" name="ASM_J01_COST_STUDIES_EUR" vbProcedure="false">'01_Assumptions'!$D$155</definedName>
    <definedName function="false" hidden="false" name="ASM_J02_PCT_SUPERVISION_CONSTRUCTION" vbProcedure="false">'01_Assumptions'!$D$156</definedName>
    <definedName function="false" hidden="false" name="ASM_J03_COST_LEGAL_EUR" vbProcedure="false">'01_Assumptions'!$D$157</definedName>
    <definedName function="false" hidden="false" name="ASM_J04_COST_AUDIT_YEAR_EUR" vbProcedure="false">'01_Assumptions'!$D$158</definedName>
    <definedName function="false" hidden="false" name="ASM_J05_N_YEARS_AUDIT" vbProcedure="false">'01_Assumptions'!$D$159</definedName>
    <definedName function="false" hidden="false" name="ASM_J06_PCT_ARRANGEMENT_FEE" vbProcedure="false">'01_Assumptions'!$D$160</definedName>
    <definedName function="false" hidden="false" name="ASM_K01_N_MONTHS_WC" vbProcedure="false">'01_Assumptions'!$D$163</definedName>
    <definedName function="false" hidden="false" name="ASM_K02_MONTHLY_OPEX_PER_FARM_EUR" vbProcedure="false">'01_Assumptions'!$D$164</definedName>
    <definedName function="false" hidden="false" name="ASM_K03_PCT_CONTINGENCY_B1" vbProcedure="false">'01_Assumptions'!$D$165</definedName>
    <definedName function="false" hidden="false" name="ASM_K04_PCT_CONTINGENCY_B2" vbProcedure="false">'01_Assumptions'!$D$166</definedName>
    <definedName function="false" hidden="false" name="ASM_K05_DSRA_AMOUNT_EUR" vbProcedure="false">'01_Assumptions'!$D$167</definedName>
    <definedName function="false" hidden="false" name="ASM_K06_N_MONTHS_MMR" vbProcedure="false">'01_Assumptions'!$D$168</definedName>
    <definedName function="false" hidden="false" name="ASM_K07_DSRA_LC_FEE_EUR_YR" vbProcedure="false">'01_Assumptions'!$D$169</definedName>
    <definedName function="false" hidden="false" name="ASM_L01_DEBT_T1_RATE" vbProcedure="false">'01_Assumptions'!$D$172</definedName>
    <definedName function="false" hidden="false" name="ASM_L02_DEBT_T1_TENOR_YEARS" vbProcedure="false">'01_Assumptions'!$D$173</definedName>
    <definedName function="false" hidden="false" name="ASM_L03_DEBT_T1_GRACE_YEARS" vbProcedure="false">'01_Assumptions'!$D$174</definedName>
    <definedName function="false" hidden="false" name="ASM_L04B_DEBT_T2_AMOUNT_EUR" vbProcedure="false">'01_Assumptions'!$D$176</definedName>
    <definedName function="false" hidden="false" name="ASM_L04_DEBT_T1_AMOUNT_EUR" vbProcedure="false">'01_Assumptions'!$D$175</definedName>
    <definedName function="false" hidden="false" name="ASM_L05_GRANT_AMOUNT_EUR" vbProcedure="false">'01_Assumptions'!$D$177</definedName>
    <definedName function="false" hidden="false" name="ASM_L06_EQUITY_EQ1_CASH_EUR" vbProcedure="false">'01_Assumptions'!$D$178</definedName>
    <definedName function="false" hidden="false" name="ASM_L07_EQUITY_EQ2_INKIND_TERRAIN_EUR" vbProcedure="false">'01_Assumptions'!$D$179</definedName>
    <definedName function="false" hidden="false" name="ASM_L08_EQUITY_EQ2_INKIND_HERD_EUR" vbProcedure="false">'01_Assumptions'!$D$180</definedName>
    <definedName function="false" hidden="false" name="ASM_M01_TAX_RATE" vbProcedure="false">'01_Assumptions'!$D$183</definedName>
    <definedName function="false" hidden="false" name="ASM_M02_TAX_HOLIDAY_YEARS" vbProcedure="false">'01_Assumptions'!$D$184</definedName>
    <definedName function="false" hidden="false" name="ASM_M03_WACC" vbProcedure="false">'01_Assumptions'!$D$185</definedName>
    <definedName function="false" hidden="false" name="ASM_M04_DEPR_LIFE_BOOK_YEARS" vbProcedure="false">'01_Assumptions'!$D$186</definedName>
    <definedName function="false" hidden="false" name="ASM_M05_DEPR_LIFE_TAX_YEARS" vbProcedure="false">'01_Assumptions'!$D$187</definedName>
    <definedName function="false" hidden="false" name="ASM_M06_DSO_DAYS" vbProcedure="false">'01_Assumptions'!$D$188</definedName>
    <definedName function="false" hidden="false" name="ASM_M07_DPO_DAYS" vbProcedure="false">'01_Assumptions'!$D$189</definedName>
    <definedName function="false" hidden="false" name="ASM_N01_VAT_RATE" vbProcedure="false">'01_Assumptions'!$D$192</definedName>
    <definedName function="false" hidden="false" name="ASM_N02_DEBT_DRAW_YEAR" vbProcedure="false">'01_Assumptions'!$D$193</definedName>
    <definedName function="false" hidden="false" name="ASM_N03_DEBT_REPAY_START_YEAR" vbProcedure="false">'01_Assumptions'!$D$194</definedName>
    <definedName function="false" hidden="false" name="ASM_N04_DEP_LIFE_LAND_YEARS" vbProcedure="false">'01_Assumptions'!$D$195</definedName>
    <definedName function="false" hidden="false" name="ASM_N05_DEP_LIFE_HERD_YEARS" vbProcedure="false">'01_Assumptions'!$D$196</definedName>
    <definedName function="false" hidden="false" name="ASM_N06_DEP_LIFE_EQUIPMENT_YEARS" vbProcedure="false">'01_Assumptions'!$D$197</definedName>
    <definedName function="false" hidden="false" name="ASM_N07_DEP_LIFE_CIVIL_YEARS" vbProcedure="false">'01_Assumptions'!$D$198</definedName>
    <definedName function="false" hidden="false" name="ASM_N08_DEP_BASE_EQUIPMENT_EUR" vbProcedure="false">'01_Assumptions'!$D$199</definedName>
    <definedName function="false" hidden="false" name="ASM_O01_TRAINING_FEE_RATE" vbProcedure="false">'01_Assumptions'!$D$202</definedName>
    <definedName function="false" hidden="false" name="ASM_P01_COST_SEED_MARAICH_EUR_HA_CYCLE" vbProcedure="false">'01_Assumptions'!$D$205</definedName>
    <definedName function="false" hidden="false" name="ASM_P02_COST_FERT_MARAICH_EUR_HA_CYCLE" vbProcedure="false">'01_Assumptions'!$D$206</definedName>
    <definedName function="false" hidden="false" name="ASM_P03_COST_PHYTO_MARAICH_EUR_HA_CYCLE" vbProcedure="false">'01_Assumptions'!$D$207</definedName>
    <definedName function="false" hidden="false" name="ASM_P04_COST_SEED_CEREAL_EUR_HA" vbProcedure="false">'01_Assumptions'!$D$208</definedName>
    <definedName function="false" hidden="false" name="ASM_P05_COST_FERT_CEREAL_EUR_HA" vbProcedure="false">'01_Assumptions'!$D$209</definedName>
    <definedName function="false" hidden="false" name="ASM_P06_COST_PHYTO_CEREAL_EUR_HA" vbProcedure="false">'01_Assumptions'!$D$210</definedName>
    <definedName function="false" hidden="false" name="ASM_P07_COST_FERT_FOURRAGE_EUR_HA" vbProcedure="false">'01_Assumptions'!$D$211</definedName>
    <definedName function="false" hidden="false" name="ASM_P08_COST_CONC_EUR_T_MS" vbProcedure="false">'01_Assumptions'!$D$212</definedName>
    <definedName function="false" hidden="false" name="ASM_P09_COST_VET_DAIRY_EUR_HEAD_YR" vbProcedure="false">'01_Assumptions'!$D$213</definedName>
    <definedName function="false" hidden="false" name="ASM_P10_COST_VET_BEEF_EUR_HEAD_YR" vbProcedure="false">'01_Assumptions'!$D$214</definedName>
    <definedName function="false" hidden="false" name="ASM_P11_COST_INSEM_EUR_COW_YR" vbProcedure="false">'01_Assumptions'!$D$216</definedName>
    <definedName function="false" hidden="false" name="ASM_P12_N_FARM_MANAGERS" vbProcedure="false">'01_Assumptions'!$D$217</definedName>
    <definedName function="false" hidden="false" name="ASM_P13_COST_FARM_MANAGER_EUR_YR" vbProcedure="false">'01_Assumptions'!$D$218</definedName>
    <definedName function="false" hidden="false" name="ASM_P14_COST_CALF_PURCHASE_EUR_HEAD" vbProcedure="false">'01_Assumptions'!$D$215</definedName>
    <definedName function="false" hidden="false" name="ASM_Q01_DOTATION_MARAICH_M3_HA_YR" vbProcedure="false">'01_Assumptions'!$D$221</definedName>
    <definedName function="false" hidden="false" name="ASM_Q02_DOTATION_FOURRAGE_M3_HA_YR" vbProcedure="false">'01_Assumptions'!$D$222</definedName>
    <definedName function="false" hidden="false" name="ASM_Q03_ENERGIE_POMPAGE_KWH_M3" vbProcedure="false">'01_Assumptions'!$D$223</definedName>
    <definedName function="false" hidden="false" name="ASM_Q04_TARIF_ENERGIE_EUR_KWH" vbProcedure="false">'01_Assumptions'!$D$224</definedName>
    <definedName function="false" hidden="false" name="ASM_Q05_CONSO_PROCESS_KWH_FARM_YR" vbProcedure="false">'01_Assumptions'!$D$225</definedName>
    <definedName function="false" hidden="false" name="ASM_Q06_PCT_GASOIL_BACKUP" vbProcedure="false">'01_Assumptions'!$D$226</definedName>
    <definedName function="false" hidden="false" name="ASM_Q07_PRIX_GASOIL_EUR_L" vbProcedure="false">'01_Assumptions'!$D$227</definedName>
    <definedName function="false" hidden="false" name="ASM_Q08_RENDEMENT_GROUPE_KWH_L" vbProcedure="false">'01_Assumptions'!$D$228</definedName>
    <definedName function="false" hidden="false" name="ASM_R01_COST_LABOUR_SOL_EUR_HA" vbProcedure="false">'01_Assumptions'!$D$231</definedName>
    <definedName function="false" hidden="false" name="ASM_R02_COST_SEMIS_EUR_HA" vbProcedure="false">'01_Assumptions'!$D$232</definedName>
    <definedName function="false" hidden="false" name="ASM_R03_COST_RECOLTE_MARAICH_EUR_HA_CYCLE" vbProcedure="false">'01_Assumptions'!$D$233</definedName>
    <definedName function="false" hidden="false" name="ASM_R04_COST_RECOLTE_CEREAL_EUR_HA" vbProcedure="false">'01_Assumptions'!$D$234</definedName>
    <definedName function="false" hidden="false" name="ASM_R05_COST_TRANSPORT_EUR_T" vbProcedure="false">'01_Assumptions'!$D$235</definedName>
    <definedName function="false" hidden="false" name="ASM_R06_COST_COUPE_FOURRAGE_EUR_HA_COUPE" vbProcedure="false">'01_Assumptions'!$D$236</definedName>
    <definedName function="false" hidden="false" name="ASM_R07_N_COUPES_FOURRAGE_YR" vbProcedure="false">'01_Assumptions'!$D$237</definedName>
    <definedName function="false" hidden="false" name="ASM_R08_PCT_ENTRETIEN_MATERIEL_YR" vbProcedure="false">'01_Assumptions'!$D$238</definedName>
    <definedName function="false" hidden="false" name="ASM_S01_CENTRE_VETERINAIRE_EUR" vbProcedure="false">'01_Assumptions'!$D$241</definedName>
    <definedName function="false" hidden="false" name="ASM_S02_ANIMAL_EQUIPMENT_EUR" vbProcedure="false">'01_Assumptions'!$D$242</definedName>
    <definedName function="false" hidden="false" name="ASM_S03_IDENTIFICATION_EUR_PER_FARM" vbProcedure="false">'01_Assumptions'!$D$243</definedName>
    <definedName function="false" hidden="false" name="ASM_S04_IA_HARDWARE_SHARED_EUR" vbProcedure="false">'01_Assumptions'!$D$244</definedName>
    <definedName function="false" hidden="false" name="ASM_S05_CA71_ACCOMPAGNEMENT_EUR_PER_FARM" vbProcedure="false">'01_Assumptions'!$D$245</definedName>
    <definedName function="false" hidden="false" name="ASM_S06_ELVANOVIA_FORMATION_EUR" vbProcedure="false">'01_Assumptions'!$D$246</definedName>
    <definedName function="false" hidden="false" name="ASM_S07_DOSES_INITIAL_N" vbProcedure="false">'01_Assumptions'!$D$247</definedName>
    <definedName function="false" hidden="false" name="ASM_S08_DOSE_EUR_PER_PAILLETTE" vbProcedure="false">'01_Assumptions'!$D$248</definedName>
    <definedName function="false" hidden="false" name="ASM_S09_FARMBRITE_LICENCE_EUR_YR_PER_FARM" vbProcedure="false">'01_Assumptions'!$D$249</definedName>
    <definedName function="false" hidden="false" name="ASM_S10_INSEMINATOR_SALARY_EUR_YR" vbProcedure="false">'01_Assumptions'!$D$250</definedName>
    <definedName function="false" hidden="false" name="ASM_S11_ANIMAL_VET_INPUTS_EUR_PER_HEAD_YR" vbProcedure="false">'01_Assumptions'!$D$251</definedName>
    <definedName function="false" hidden="false" name="ASM_S12_ANIMAL_CHEPTEL_SIZE" vbProcedure="false">'01_Assumptions'!$D$252</definedName>
    <definedName function="false" hidden="false" name="ASM_S13_PROGRAMME_MGMT_ANIMAL_EUR_YR" vbProcedure="false">'01_Assumptions'!$D$253</definedName>
    <definedName function="false" hidden="false" name="ASM_S14_CONSUMABLES_ANIMAL_EUR_YR" vbProcedure="false">'01_Assumptions'!$D$254</definedName>
    <definedName function="false" hidden="false" name="ASM_T01_CENTRE_VEGETAL_BUILDING_EUR" vbProcedure="false">'01_Assumptions'!$D$257</definedName>
    <definedName function="false" hidden="false" name="ASM_T02_VEGETAL_EQUIPMENT_EUR" vbProcedure="false">'01_Assumptions'!$D$258</definedName>
    <definedName function="false" hidden="false" name="ASM_T03_VEGETAL_PREOP_FORMATION_EUR" vbProcedure="false">'01_Assumptions'!$D$259</definedName>
    <definedName function="false" hidden="false" name="ASM_T04_VEGETAL_PREOP_ACCOMPANYING_EUR" vbProcedure="false">'01_Assumptions'!$D$260</definedName>
    <definedName function="false" hidden="false" name="ASM_T05_SEEDS_INITIAL_STOCK_EUR" vbProcedure="false">'01_Assumptions'!$D$261</definedName>
    <definedName function="false" hidden="false" name="ASM_T06_PLANTS_INITIAL_STOCK_EUR" vbProcedure="false">'01_Assumptions'!$D$262</definedName>
    <definedName function="false" hidden="false" name="ASM_T07_GUM_ARABIC_INITIAL_STOCK_EUR" vbProcedure="false">'01_Assumptions'!$D$263</definedName>
    <definedName function="false" hidden="false" name="ASM_T08_VEGETAL_INPUTS_EUR_YR" vbProcedure="false">'01_Assumptions'!$D$264</definedName>
    <definedName function="false" hidden="false" name="ASM_T09_VEGETAL_AGRONOMIST_SALARY_EUR_YR" vbProcedure="false">'01_Assumptions'!$D$265</definedName>
    <definedName function="false" hidden="false" name="ASM_T10_PROGRAMME_MGMT_PLANT_EUR_YR" vbProcedure="false">'01_Assumptions'!$D$266</definedName>
    <definedName function="false" hidden="false" name="ASM_T11_CONSUMABLES_PLANT_EUR_YR" vbProcedure="false">'01_Assumptions'!$D$267</definedName>
    <definedName function="false" hidden="false" name="ASM_X01_PER_UOF_FERMIERS" vbProcedure="false">'01_Assumptions'!$D$5</definedName>
    <definedName function="false" hidden="false" name="ASM_X02_PER_UOF_TECH_EAU" vbProcedure="false">'01_Assumptions'!$D$6</definedName>
    <definedName function="false" hidden="false" name="ASM_X03_PER_UOF_TECH_ENERGIE" vbProcedure="false">'01_Assumptions'!$D$7</definedName>
    <definedName function="false" hidden="false" name="ASM_X04_PER_UOF_MECA" vbProcedure="false">'01_Assumptions'!$D$8</definedName>
    <definedName function="false" hidden="false" name="ASM_X05_N_UOF_PHASE_A" vbProcedure="false">'01_Assumptions'!$D$9</definedName>
    <definedName function="false" hidden="false" name="ASM_X06_N_UOF_FULL_PROGRAMME" vbProcedure="false">'01_Assumptions'!$D$10</definedName>
    <definedName function="false" hidden="false" name="ASM_X07_COHORTE_0_TRAINEES" vbProcedure="false">'01_Assumptions'!$D$11</definedName>
    <definedName function="false" hidden="false" name="ASM_X08_DAYS_PER_MONTH" vbProcedure="false">'01_Assumptions'!$D$12</definedName>
    <definedName function="false" hidden="false" name="ASM_X10_N_SPECIALISTS_INTL" vbProcedure="false">'01_Assumptions'!$D$13</definedName>
    <definedName function="false" hidden="false" name="ASM_X11_COST_SPECIALIST_INTL_EUR_YR" vbProcedure="false">'01_Assumptions'!$D$14</definedName>
    <definedName function="false" hidden="false" name="ASM_X12_PHASE_A_TOTAL_BEDS" vbProcedure="false">'01_Assumptions'!$D$15</definedName>
    <definedName function="false" hidden="false" name="ASM_X13_PHASE_A_RESIDENTS" vbProcedure="false">'01_Assumptions'!$D$16</definedName>
    <definedName function="false" hidden="false" name="ASM_X14_SENIOR_DEBT_PCT" vbProcedure="false">'01_Assumptions'!$D$17</definedName>
    <definedName function="false" hidden="false" name="ASM_X15_JUNIOR_DEBT_PCT" vbProcedure="false">'01_Assumptions'!$D$18</definedName>
    <definedName function="false" hidden="false" name="ASM_X17_DOLLAR_UOF_LAND_PER_FARM" vbProcedure="false">'01_Assumptions'!$D$19</definedName>
    <definedName function="false" hidden="false" name="ASM_X18_DOLLAR_UOF_BUILDINGS_PER_FARM" vbProcedure="false">'01_Assumptions'!$D$20</definedName>
    <definedName function="false" hidden="false" name="ASM_X19_DOLLAR_UOF_DAIRY_PER_FARM" vbProcedure="false">'01_Assumptions'!$D$21</definedName>
    <definedName function="false" hidden="false" name="ASM_X20_DOLLAR_UOF_FEEDLOT_PER_FARM" vbProcedure="false">'01_Assumptions'!$D$22</definedName>
    <definedName function="false" hidden="false" name="ASM_X21_DOLLAR_INKIND_TERRAIN" vbProcedure="false">'01_Assumptions'!$D$23</definedName>
    <definedName function="false" hidden="false" name="ASM_X22_DOLLAR_INKIND_HERD" vbProcedure="false">'01_Assumptions'!$D$24</definedName>
    <definedName function="false" hidden="false" name="ASM_X23_DOLLAR_PRICE_FOURRAGE_PER_KG" vbProcedure="false">'01_Assumptions'!$D$25</definedName>
    <definedName function="false" hidden="false" name="ASM_X24_DOLLAR_PRICE_CONCENTRATE_PER_KG" vbProcedure="false">'01_Assumptions'!$D$26</definedName>
    <definedName function="false" hidden="false" name="ASM_X25_DOLLAR_DIESEL_PER_L" vbProcedure="false">'01_Assumptions'!$D$27</definedName>
    <definedName function="false" hidden="false" name="BS_CASH_Y0" vbProcedure="false">'15_BS'!$F$8</definedName>
    <definedName function="false" hidden="false" name="BS_CASH_Y1" vbProcedure="false">'15_BS'!$G$8</definedName>
    <definedName function="false" hidden="false" name="BS_CASH_Y2" vbProcedure="false">'15_BS'!$H$8</definedName>
    <definedName function="false" hidden="false" name="BS_CASH_Y3" vbProcedure="false">'15_BS'!$I$8</definedName>
    <definedName function="false" hidden="false" name="BS_CASH_Y4" vbProcedure="false">'15_BS'!$J$8</definedName>
    <definedName function="false" hidden="false" name="BS_CASH_Y5" vbProcedure="false">'15_BS'!$K$8</definedName>
    <definedName function="false" hidden="false" name="BS_CASH_Y6" vbProcedure="false">'15_BS'!$L$8</definedName>
    <definedName function="false" hidden="false" name="BS_CASH_YM1" vbProcedure="false">'15_BS'!$E$8</definedName>
    <definedName function="false" hidden="false" name="BS_DEFERRED_Y0" vbProcedure="false">'15_BS'!$F$19</definedName>
    <definedName function="false" hidden="false" name="BS_DEFERRED_Y1" vbProcedure="false">'15_BS'!$G$19</definedName>
    <definedName function="false" hidden="false" name="BS_DEFERRED_Y2" vbProcedure="false">'15_BS'!$H$19</definedName>
    <definedName function="false" hidden="false" name="BS_DEFERRED_Y3" vbProcedure="false">'15_BS'!$I$19</definedName>
    <definedName function="false" hidden="false" name="BS_DEFERRED_Y4" vbProcedure="false">'15_BS'!$J$19</definedName>
    <definedName function="false" hidden="false" name="BS_DEFERRED_Y5" vbProcedure="false">'15_BS'!$K$19</definedName>
    <definedName function="false" hidden="false" name="BS_DEFERRED_Y6" vbProcedure="false">'15_BS'!$L$19</definedName>
    <definedName function="false" hidden="false" name="BS_DEFERRED_YM1" vbProcedure="false">'15_BS'!$E$19</definedName>
    <definedName function="false" hidden="false" name="BS_RE_Y0" vbProcedure="false">'15_BS'!$F$24</definedName>
    <definedName function="false" hidden="false" name="BS_RE_Y1" vbProcedure="false">'15_BS'!$G$24</definedName>
    <definedName function="false" hidden="false" name="BS_RE_Y2" vbProcedure="false">'15_BS'!$H$24</definedName>
    <definedName function="false" hidden="false" name="BS_RE_Y3" vbProcedure="false">'15_BS'!$I$24</definedName>
    <definedName function="false" hidden="false" name="BS_RE_Y4" vbProcedure="false">'15_BS'!$J$24</definedName>
    <definedName function="false" hidden="false" name="BS_RE_Y5" vbProcedure="false">'15_BS'!$K$24</definedName>
    <definedName function="false" hidden="false" name="BS_RE_Y6" vbProcedure="false">'15_BS'!$L$24</definedName>
    <definedName function="false" hidden="false" name="BS_RE_YM1" vbProcedure="false">'15_BS'!$E$24</definedName>
    <definedName function="false" hidden="false" name="BS_TASSETS_Y0" vbProcedure="false">'15_BS'!$F$13</definedName>
    <definedName function="false" hidden="false" name="BS_TASSETS_Y1" vbProcedure="false">'15_BS'!$G$13</definedName>
    <definedName function="false" hidden="false" name="BS_TASSETS_Y2" vbProcedure="false">'15_BS'!$H$13</definedName>
    <definedName function="false" hidden="false" name="BS_TASSETS_Y3" vbProcedure="false">'15_BS'!$I$13</definedName>
    <definedName function="false" hidden="false" name="BS_TASSETS_Y4" vbProcedure="false">'15_BS'!$J$13</definedName>
    <definedName function="false" hidden="false" name="BS_TASSETS_Y5" vbProcedure="false">'15_BS'!$K$13</definedName>
    <definedName function="false" hidden="false" name="BS_TASSETS_Y6" vbProcedure="false">'15_BS'!$L$13</definedName>
    <definedName function="false" hidden="false" name="BS_TASSETS_YM1" vbProcedure="false">'15_BS'!$E$13</definedName>
    <definedName function="false" hidden="false" name="BS_TEQ_Y0" vbProcedure="false">'15_BS'!$F$26</definedName>
    <definedName function="false" hidden="false" name="BS_TEQ_Y1" vbProcedure="false">'15_BS'!$G$26</definedName>
    <definedName function="false" hidden="false" name="BS_TEQ_Y2" vbProcedure="false">'15_BS'!$H$26</definedName>
    <definedName function="false" hidden="false" name="BS_TEQ_Y3" vbProcedure="false">'15_BS'!$I$26</definedName>
    <definedName function="false" hidden="false" name="BS_TEQ_Y4" vbProcedure="false">'15_BS'!$J$26</definedName>
    <definedName function="false" hidden="false" name="BS_TEQ_Y5" vbProcedure="false">'15_BS'!$K$26</definedName>
    <definedName function="false" hidden="false" name="BS_TEQ_Y6" vbProcedure="false">'15_BS'!$L$26</definedName>
    <definedName function="false" hidden="false" name="BS_TEQ_YM1" vbProcedure="false">'15_BS'!$E$26</definedName>
    <definedName function="false" hidden="false" name="BS_TLE_Y0" vbProcedure="false">'15_BS'!$F$27</definedName>
    <definedName function="false" hidden="false" name="BS_TLE_Y1" vbProcedure="false">'15_BS'!$G$27</definedName>
    <definedName function="false" hidden="false" name="BS_TLE_Y2" vbProcedure="false">'15_BS'!$H$27</definedName>
    <definedName function="false" hidden="false" name="BS_TLE_Y3" vbProcedure="false">'15_BS'!$I$27</definedName>
    <definedName function="false" hidden="false" name="BS_TLE_Y4" vbProcedure="false">'15_BS'!$J$27</definedName>
    <definedName function="false" hidden="false" name="BS_TLE_Y5" vbProcedure="false">'15_BS'!$K$27</definedName>
    <definedName function="false" hidden="false" name="BS_TLE_Y6" vbProcedure="false">'15_BS'!$L$27</definedName>
    <definedName function="false" hidden="false" name="BS_TLE_YM1" vbProcedure="false">'15_BS'!$E$27</definedName>
    <definedName function="false" hidden="false" name="BS_TLIAB_Y0" vbProcedure="false">'15_BS'!$F$20</definedName>
    <definedName function="false" hidden="false" name="BS_TLIAB_Y1" vbProcedure="false">'15_BS'!$G$20</definedName>
    <definedName function="false" hidden="false" name="BS_TLIAB_Y2" vbProcedure="false">'15_BS'!$H$20</definedName>
    <definedName function="false" hidden="false" name="BS_TLIAB_Y3" vbProcedure="false">'15_BS'!$I$20</definedName>
    <definedName function="false" hidden="false" name="BS_TLIAB_Y4" vbProcedure="false">'15_BS'!$J$20</definedName>
    <definedName function="false" hidden="false" name="BS_TLIAB_Y5" vbProcedure="false">'15_BS'!$K$20</definedName>
    <definedName function="false" hidden="false" name="BS_TLIAB_Y6" vbProcedure="false">'15_BS'!$L$20</definedName>
    <definedName function="false" hidden="false" name="BS_TLIAB_YM1" vbProcedure="false">'15_BS'!$E$20</definedName>
    <definedName function="false" hidden="false" name="CAPEX_B1_Y0" vbProcedure="false">'05_CAPEX'!$F$7</definedName>
    <definedName function="false" hidden="false" name="CAPEX_B1_Y1" vbProcedure="false">'05_CAPEX'!$G$7</definedName>
    <definedName function="false" hidden="false" name="CAPEX_B1_Y2" vbProcedure="false">'05_CAPEX'!$H$7</definedName>
    <definedName function="false" hidden="false" name="CAPEX_B1_Y3" vbProcedure="false">'05_CAPEX'!$I$7</definedName>
    <definedName function="false" hidden="false" name="CAPEX_B1_Y4" vbProcedure="false">'05_CAPEX'!$J$7</definedName>
    <definedName function="false" hidden="false" name="CAPEX_B1_Y5" vbProcedure="false">'05_CAPEX'!$K$7</definedName>
    <definedName function="false" hidden="false" name="CAPEX_B1_Y6" vbProcedure="false">'05_CAPEX'!$L$7</definedName>
    <definedName function="false" hidden="false" name="CAPEX_B1_YM1" vbProcedure="false">'05_CAPEX'!$E$7</definedName>
    <definedName function="false" hidden="false" name="CAPEX_B2_Y0" vbProcedure="false">'05_CAPEX'!$F$8</definedName>
    <definedName function="false" hidden="false" name="CAPEX_B2_Y1" vbProcedure="false">'05_CAPEX'!$G$8</definedName>
    <definedName function="false" hidden="false" name="CAPEX_B2_Y2" vbProcedure="false">'05_CAPEX'!$H$8</definedName>
    <definedName function="false" hidden="false" name="CAPEX_B2_Y3" vbProcedure="false">'05_CAPEX'!$I$8</definedName>
    <definedName function="false" hidden="false" name="CAPEX_B2_Y4" vbProcedure="false">'05_CAPEX'!$J$8</definedName>
    <definedName function="false" hidden="false" name="CAPEX_B2_Y5" vbProcedure="false">'05_CAPEX'!$K$8</definedName>
    <definedName function="false" hidden="false" name="CAPEX_B2_Y6" vbProcedure="false">'05_CAPEX'!$L$8</definedName>
    <definedName function="false" hidden="false" name="CAPEX_B2_YM1" vbProcedure="false">'05_CAPEX'!$E$8</definedName>
    <definedName function="false" hidden="false" name="CAPEX_B3A_Y0" vbProcedure="false">'05_CAPEX'!$F$62</definedName>
    <definedName function="false" hidden="false" name="CAPEX_B3A_Y1" vbProcedure="false">'05_CAPEX'!$G$62</definedName>
    <definedName function="false" hidden="false" name="CAPEX_B3A_Y2" vbProcedure="false">'05_CAPEX'!$H$62</definedName>
    <definedName function="false" hidden="false" name="CAPEX_B3A_Y3" vbProcedure="false">'05_CAPEX'!$I$62</definedName>
    <definedName function="false" hidden="false" name="CAPEX_B3A_Y4" vbProcedure="false">'05_CAPEX'!$J$62</definedName>
    <definedName function="false" hidden="false" name="CAPEX_B3A_Y5" vbProcedure="false">'05_CAPEX'!$K$62</definedName>
    <definedName function="false" hidden="false" name="CAPEX_B3A_Y6" vbProcedure="false">'05_CAPEX'!$L$62</definedName>
    <definedName function="false" hidden="false" name="CAPEX_B3A_YM1" vbProcedure="false">'05_CAPEX'!$E$62</definedName>
    <definedName function="false" hidden="false" name="CAPEX_B3B_Y0" vbProcedure="false">'05_CAPEX'!$F$67</definedName>
    <definedName function="false" hidden="false" name="CAPEX_B3B_Y1" vbProcedure="false">'05_CAPEX'!$G$67</definedName>
    <definedName function="false" hidden="false" name="CAPEX_B3B_Y2" vbProcedure="false">'05_CAPEX'!$H$67</definedName>
    <definedName function="false" hidden="false" name="CAPEX_B3B_Y3" vbProcedure="false">'05_CAPEX'!$I$67</definedName>
    <definedName function="false" hidden="false" name="CAPEX_B3B_Y4" vbProcedure="false">'05_CAPEX'!$J$67</definedName>
    <definedName function="false" hidden="false" name="CAPEX_B3B_Y5" vbProcedure="false">'05_CAPEX'!$K$67</definedName>
    <definedName function="false" hidden="false" name="CAPEX_B3B_Y6" vbProcedure="false">'05_CAPEX'!$L$67</definedName>
    <definedName function="false" hidden="false" name="CAPEX_B3B_YM1" vbProcedure="false">'05_CAPEX'!$E$67</definedName>
    <definedName function="false" hidden="false" name="CAPEX_B4_Y0" vbProcedure="false">'05_CAPEX'!$F$10</definedName>
    <definedName function="false" hidden="false" name="CAPEX_B4_Y1" vbProcedure="false">'05_CAPEX'!$G$10</definedName>
    <definedName function="false" hidden="false" name="CAPEX_B4_Y2" vbProcedure="false">'05_CAPEX'!$H$10</definedName>
    <definedName function="false" hidden="false" name="CAPEX_B4_Y3" vbProcedure="false">'05_CAPEX'!$I$10</definedName>
    <definedName function="false" hidden="false" name="CAPEX_B4_Y4" vbProcedure="false">'05_CAPEX'!$J$10</definedName>
    <definedName function="false" hidden="false" name="CAPEX_B4_Y5" vbProcedure="false">'05_CAPEX'!$K$10</definedName>
    <definedName function="false" hidden="false" name="CAPEX_B4_Y6" vbProcedure="false">'05_CAPEX'!$L$10</definedName>
    <definedName function="false" hidden="false" name="CAPEX_B4_YM1" vbProcedure="false">'05_CAPEX'!$E$10</definedName>
    <definedName function="false" hidden="false" name="CAPEX_B5_Y0" vbProcedure="false">'05_CAPEX'!$F$11</definedName>
    <definedName function="false" hidden="false" name="CAPEX_B5_Y1" vbProcedure="false">'05_CAPEX'!$G$11</definedName>
    <definedName function="false" hidden="false" name="CAPEX_B5_Y2" vbProcedure="false">'05_CAPEX'!$H$11</definedName>
    <definedName function="false" hidden="false" name="CAPEX_B5_Y3" vbProcedure="false">'05_CAPEX'!$I$11</definedName>
    <definedName function="false" hidden="false" name="CAPEX_B5_Y4" vbProcedure="false">'05_CAPEX'!$J$11</definedName>
    <definedName function="false" hidden="false" name="CAPEX_B5_Y5" vbProcedure="false">'05_CAPEX'!$K$11</definedName>
    <definedName function="false" hidden="false" name="CAPEX_B5_Y6" vbProcedure="false">'05_CAPEX'!$L$11</definedName>
    <definedName function="false" hidden="false" name="CAPEX_B5_YM1" vbProcedure="false">'05_CAPEX'!$E$11</definedName>
    <definedName function="false" hidden="false" name="CAPEX_GENETICS_TOTAL_Y0" vbProcedure="false">'05_CAPEX'!$F$9</definedName>
    <definedName function="false" hidden="false" name="CAPEX_GENETICS_TOTAL_Y1" vbProcedure="false">'05_CAPEX'!$G$9</definedName>
    <definedName function="false" hidden="false" name="CAPEX_GENETICS_TOTAL_Y2" vbProcedure="false">'05_CAPEX'!$H$9</definedName>
    <definedName function="false" hidden="false" name="CAPEX_GENETICS_TOTAL_Y3" vbProcedure="false">'05_CAPEX'!$I$9</definedName>
    <definedName function="false" hidden="false" name="CAPEX_GENETICS_TOTAL_Y4" vbProcedure="false">'05_CAPEX'!$J$9</definedName>
    <definedName function="false" hidden="false" name="CAPEX_GENETICS_TOTAL_Y5" vbProcedure="false">'05_CAPEX'!$K$9</definedName>
    <definedName function="false" hidden="false" name="CAPEX_GENETICS_TOTAL_Y6" vbProcedure="false">'05_CAPEX'!$L$9</definedName>
    <definedName function="false" hidden="false" name="CAPEX_GENETICS_TOTAL_YM1" vbProcedure="false">'05_CAPEX'!$E$9</definedName>
    <definedName function="false" hidden="false" name="CAPEX_TOTAL_Y0" vbProcedure="false">'05_CAPEX'!$F$12</definedName>
    <definedName function="false" hidden="false" name="CAPEX_TOTAL_Y1" vbProcedure="false">'05_CAPEX'!$G$12</definedName>
    <definedName function="false" hidden="false" name="CAPEX_TOTAL_Y2" vbProcedure="false">'05_CAPEX'!$H$12</definedName>
    <definedName function="false" hidden="false" name="CAPEX_TOTAL_Y3" vbProcedure="false">'05_CAPEX'!$I$12</definedName>
    <definedName function="false" hidden="false" name="CAPEX_TOTAL_Y4" vbProcedure="false">'05_CAPEX'!$J$12</definedName>
    <definedName function="false" hidden="false" name="CAPEX_TOTAL_Y5" vbProcedure="false">'05_CAPEX'!$K$12</definedName>
    <definedName function="false" hidden="false" name="CAPEX_TOTAL_Y6" vbProcedure="false">'05_CAPEX'!$L$12</definedName>
    <definedName function="false" hidden="false" name="CAPEX_TOTAL_YM1" vbProcedure="false">'05_CAPEX'!$E$12</definedName>
    <definedName function="false" hidden="false" name="CFADS_Y0" vbProcedure="false">'17_Outputs'!$F$8</definedName>
    <definedName function="false" hidden="false" name="CFADS_Y1" vbProcedure="false">'17_Outputs'!$G$8</definedName>
    <definedName function="false" hidden="false" name="CFADS_Y2" vbProcedure="false">'17_Outputs'!$H$8</definedName>
    <definedName function="false" hidden="false" name="CFADS_Y3" vbProcedure="false">'17_Outputs'!$I$8</definedName>
    <definedName function="false" hidden="false" name="CFADS_Y4" vbProcedure="false">'17_Outputs'!$J$8</definedName>
    <definedName function="false" hidden="false" name="CFADS_Y5" vbProcedure="false">'17_Outputs'!$K$8</definedName>
    <definedName function="false" hidden="false" name="CFADS_Y6" vbProcedure="false">'17_Outputs'!$L$8</definedName>
    <definedName function="false" hidden="false" name="CFADS_YM1" vbProcedure="false">'17_Outputs'!$E$8</definedName>
    <definedName function="false" hidden="false" name="CFS_CLOSE_Y0" vbProcedure="false">'16_CFS'!$F$29</definedName>
    <definedName function="false" hidden="false" name="CFS_CLOSE_Y1" vbProcedure="false">'16_CFS'!$G$29</definedName>
    <definedName function="false" hidden="false" name="CFS_CLOSE_Y2" vbProcedure="false">'16_CFS'!$H$29</definedName>
    <definedName function="false" hidden="false" name="CFS_CLOSE_Y3" vbProcedure="false">'16_CFS'!$I$29</definedName>
    <definedName function="false" hidden="false" name="CFS_CLOSE_Y4" vbProcedure="false">'16_CFS'!$J$29</definedName>
    <definedName function="false" hidden="false" name="CFS_CLOSE_Y5" vbProcedure="false">'16_CFS'!$K$29</definedName>
    <definedName function="false" hidden="false" name="CFS_CLOSE_Y6" vbProcedure="false">'16_CFS'!$L$29</definedName>
    <definedName function="false" hidden="false" name="CFS_CLOSE_YM1" vbProcedure="false">'16_CFS'!$E$29</definedName>
    <definedName function="false" hidden="false" name="CFS_FIN_Y0" vbProcedure="false">'16_CFS'!$F$24</definedName>
    <definedName function="false" hidden="false" name="CFS_FIN_Y1" vbProcedure="false">'16_CFS'!$G$24</definedName>
    <definedName function="false" hidden="false" name="CFS_FIN_Y2" vbProcedure="false">'16_CFS'!$H$24</definedName>
    <definedName function="false" hidden="false" name="CFS_FIN_Y3" vbProcedure="false">'16_CFS'!$I$24</definedName>
    <definedName function="false" hidden="false" name="CFS_FIN_Y4" vbProcedure="false">'16_CFS'!$J$24</definedName>
    <definedName function="false" hidden="false" name="CFS_FIN_Y5" vbProcedure="false">'16_CFS'!$K$24</definedName>
    <definedName function="false" hidden="false" name="CFS_FIN_Y6" vbProcedure="false">'16_CFS'!$L$24</definedName>
    <definedName function="false" hidden="false" name="CFS_FIN_YM1" vbProcedure="false">'16_CFS'!$E$24</definedName>
    <definedName function="false" hidden="false" name="CFS_INV_Y0" vbProcedure="false">'16_CFS'!$F$18</definedName>
    <definedName function="false" hidden="false" name="CFS_INV_Y1" vbProcedure="false">'16_CFS'!$G$18</definedName>
    <definedName function="false" hidden="false" name="CFS_INV_Y2" vbProcedure="false">'16_CFS'!$H$18</definedName>
    <definedName function="false" hidden="false" name="CFS_INV_Y3" vbProcedure="false">'16_CFS'!$I$18</definedName>
    <definedName function="false" hidden="false" name="CFS_INV_Y4" vbProcedure="false">'16_CFS'!$J$18</definedName>
    <definedName function="false" hidden="false" name="CFS_INV_Y5" vbProcedure="false">'16_CFS'!$K$18</definedName>
    <definedName function="false" hidden="false" name="CFS_INV_Y6" vbProcedure="false">'16_CFS'!$L$18</definedName>
    <definedName function="false" hidden="false" name="CFS_INV_YM1" vbProcedure="false">'16_CFS'!$E$18</definedName>
    <definedName function="false" hidden="false" name="CFS_NET_Y0" vbProcedure="false">'16_CFS'!$F$26</definedName>
    <definedName function="false" hidden="false" name="CFS_NET_Y1" vbProcedure="false">'16_CFS'!$G$26</definedName>
    <definedName function="false" hidden="false" name="CFS_NET_Y2" vbProcedure="false">'16_CFS'!$H$26</definedName>
    <definedName function="false" hidden="false" name="CFS_NET_Y3" vbProcedure="false">'16_CFS'!$I$26</definedName>
    <definedName function="false" hidden="false" name="CFS_NET_Y4" vbProcedure="false">'16_CFS'!$J$26</definedName>
    <definedName function="false" hidden="false" name="CFS_NET_Y5" vbProcedure="false">'16_CFS'!$K$26</definedName>
    <definedName function="false" hidden="false" name="CFS_NET_Y6" vbProcedure="false">'16_CFS'!$L$26</definedName>
    <definedName function="false" hidden="false" name="CFS_NET_YM1" vbProcedure="false">'16_CFS'!$E$26</definedName>
    <definedName function="false" hidden="false" name="CFS_OPS_Y0" vbProcedure="false">'16_CFS'!$F$13</definedName>
    <definedName function="false" hidden="false" name="CFS_OPS_Y1" vbProcedure="false">'16_CFS'!$G$13</definedName>
    <definedName function="false" hidden="false" name="CFS_OPS_Y2" vbProcedure="false">'16_CFS'!$H$13</definedName>
    <definedName function="false" hidden="false" name="CFS_OPS_Y3" vbProcedure="false">'16_CFS'!$I$13</definedName>
    <definedName function="false" hidden="false" name="CFS_OPS_Y4" vbProcedure="false">'16_CFS'!$J$13</definedName>
    <definedName function="false" hidden="false" name="CFS_OPS_Y5" vbProcedure="false">'16_CFS'!$K$13</definedName>
    <definedName function="false" hidden="false" name="CFS_OPS_Y6" vbProcedure="false">'16_CFS'!$L$13</definedName>
    <definedName function="false" hidden="false" name="CFS_OPS_YM1" vbProcedure="false">'16_CFS'!$E$13</definedName>
    <definedName function="false" hidden="false" name="CWIP_ADD_TOTAL_Y0" vbProcedure="false">'10_CWIP'!$F$13</definedName>
    <definedName function="false" hidden="false" name="CWIP_ADD_TOTAL_Y1" vbProcedure="false">'10_CWIP'!$G$13</definedName>
    <definedName function="false" hidden="false" name="CWIP_ADD_TOTAL_Y2" vbProcedure="false">'10_CWIP'!$H$13</definedName>
    <definedName function="false" hidden="false" name="CWIP_ADD_TOTAL_Y3" vbProcedure="false">'10_CWIP'!$I$13</definedName>
    <definedName function="false" hidden="false" name="CWIP_ADD_TOTAL_Y4" vbProcedure="false">'10_CWIP'!$J$13</definedName>
    <definedName function="false" hidden="false" name="CWIP_ADD_TOTAL_Y5" vbProcedure="false">'10_CWIP'!$K$13</definedName>
    <definedName function="false" hidden="false" name="CWIP_ADD_TOTAL_Y6" vbProcedure="false">'10_CWIP'!$L$13</definedName>
    <definedName function="false" hidden="false" name="CWIP_ADD_TOTAL_YM1" vbProcedure="false">'10_CWIP'!$E$13</definedName>
    <definedName function="false" hidden="false" name="CWIP_ADD_Y0" vbProcedure="false">'10_CWIP'!$F$13</definedName>
    <definedName function="false" hidden="false" name="CWIP_ADD_Y0_Y0" vbProcedure="false">'10_CWIP'!$F$10</definedName>
    <definedName function="false" hidden="false" name="CWIP_ADD_Y0_Y1" vbProcedure="false">'10_CWIP'!$G$10</definedName>
    <definedName function="false" hidden="false" name="CWIP_ADD_Y0_Y2" vbProcedure="false">'10_CWIP'!$H$10</definedName>
    <definedName function="false" hidden="false" name="CWIP_ADD_Y0_Y3" vbProcedure="false">'10_CWIP'!$I$10</definedName>
    <definedName function="false" hidden="false" name="CWIP_ADD_Y0_Y4" vbProcedure="false">'10_CWIP'!$J$10</definedName>
    <definedName function="false" hidden="false" name="CWIP_ADD_Y0_Y5" vbProcedure="false">'10_CWIP'!$K$10</definedName>
    <definedName function="false" hidden="false" name="CWIP_ADD_Y0_Y6" vbProcedure="false">'10_CWIP'!$L$10</definedName>
    <definedName function="false" hidden="false" name="CWIP_ADD_Y0_YM1" vbProcedure="false">'10_CWIP'!$E$10</definedName>
    <definedName function="false" hidden="false" name="CWIP_ADD_Y1" vbProcedure="false">'10_CWIP'!$G$13</definedName>
    <definedName function="false" hidden="false" name="CWIP_ADD_Y2" vbProcedure="false">'10_CWIP'!$H$13</definedName>
    <definedName function="false" hidden="false" name="CWIP_ADD_Y3" vbProcedure="false">'10_CWIP'!$I$13</definedName>
    <definedName function="false" hidden="false" name="CWIP_ADD_Y4" vbProcedure="false">'10_CWIP'!$J$13</definedName>
    <definedName function="false" hidden="false" name="CWIP_ADD_Y5" vbProcedure="false">'10_CWIP'!$K$13</definedName>
    <definedName function="false" hidden="false" name="CWIP_ADD_Y6" vbProcedure="false">'10_CWIP'!$L$13</definedName>
    <definedName function="false" hidden="false" name="CWIP_ADD_YM1" vbProcedure="false">'10_CWIP'!$E$13</definedName>
    <definedName function="false" hidden="false" name="CWIP_ADD_YM1_Y0" vbProcedure="false">'10_CWIP'!$F$9</definedName>
    <definedName function="false" hidden="false" name="CWIP_ADD_YM1_Y1" vbProcedure="false">'10_CWIP'!$G$9</definedName>
    <definedName function="false" hidden="false" name="CWIP_ADD_YM1_Y2" vbProcedure="false">'10_CWIP'!$H$9</definedName>
    <definedName function="false" hidden="false" name="CWIP_ADD_YM1_Y3" vbProcedure="false">'10_CWIP'!$I$9</definedName>
    <definedName function="false" hidden="false" name="CWIP_ADD_YM1_Y4" vbProcedure="false">'10_CWIP'!$J$9</definedName>
    <definedName function="false" hidden="false" name="CWIP_ADD_YM1_Y5" vbProcedure="false">'10_CWIP'!$K$9</definedName>
    <definedName function="false" hidden="false" name="CWIP_ADD_YM1_Y6" vbProcedure="false">'10_CWIP'!$L$9</definedName>
    <definedName function="false" hidden="false" name="CWIP_ADD_YM1_YM1" vbProcedure="false">'10_CWIP'!$E$9</definedName>
    <definedName function="false" hidden="false" name="CWIP_CLOSE_Y0" vbProcedure="false">'10_CWIP'!$F$12</definedName>
    <definedName function="false" hidden="false" name="CWIP_CLOSE_Y1" vbProcedure="false">'10_CWIP'!$G$12</definedName>
    <definedName function="false" hidden="false" name="CWIP_CLOSE_Y2" vbProcedure="false">'10_CWIP'!$H$12</definedName>
    <definedName function="false" hidden="false" name="CWIP_CLOSE_Y3" vbProcedure="false">'10_CWIP'!$I$12</definedName>
    <definedName function="false" hidden="false" name="CWIP_CLOSE_Y4" vbProcedure="false">'10_CWIP'!$J$12</definedName>
    <definedName function="false" hidden="false" name="CWIP_CLOSE_Y5" vbProcedure="false">'10_CWIP'!$K$12</definedName>
    <definedName function="false" hidden="false" name="CWIP_CLOSE_Y6" vbProcedure="false">'10_CWIP'!$L$12</definedName>
    <definedName function="false" hidden="false" name="CWIP_CLOSE_YM1" vbProcedure="false">'10_CWIP'!$E$12</definedName>
    <definedName function="false" hidden="false" name="CWIP_OPEN_Y0" vbProcedure="false">'10_CWIP'!$F$7</definedName>
    <definedName function="false" hidden="false" name="CWIP_OPEN_Y1" vbProcedure="false">'10_CWIP'!$G$7</definedName>
    <definedName function="false" hidden="false" name="CWIP_OPEN_Y2" vbProcedure="false">'10_CWIP'!$H$7</definedName>
    <definedName function="false" hidden="false" name="CWIP_OPEN_Y3" vbProcedure="false">'10_CWIP'!$I$7</definedName>
    <definedName function="false" hidden="false" name="CWIP_OPEN_Y4" vbProcedure="false">'10_CWIP'!$J$7</definedName>
    <definedName function="false" hidden="false" name="CWIP_OPEN_Y5" vbProcedure="false">'10_CWIP'!$K$7</definedName>
    <definedName function="false" hidden="false" name="CWIP_OPEN_Y6" vbProcedure="false">'10_CWIP'!$L$7</definedName>
    <definedName function="false" hidden="false" name="CWIP_OPEN_YM1" vbProcedure="false">'10_CWIP'!$E$7</definedName>
    <definedName function="false" hidden="false" name="CWIP_TRANSFER_Y0" vbProcedure="false">'10_CWIP'!$F$11</definedName>
    <definedName function="false" hidden="false" name="CWIP_TRANSFER_Y1" vbProcedure="false">'10_CWIP'!$G$11</definedName>
    <definedName function="false" hidden="false" name="CWIP_TRANSFER_Y2" vbProcedure="false">'10_CWIP'!$H$11</definedName>
    <definedName function="false" hidden="false" name="CWIP_TRANSFER_Y3" vbProcedure="false">'10_CWIP'!$I$11</definedName>
    <definedName function="false" hidden="false" name="CWIP_TRANSFER_Y4" vbProcedure="false">'10_CWIP'!$J$11</definedName>
    <definedName function="false" hidden="false" name="CWIP_TRANSFER_Y5" vbProcedure="false">'10_CWIP'!$K$11</definedName>
    <definedName function="false" hidden="false" name="CWIP_TRANSFER_Y6" vbProcedure="false">'10_CWIP'!$L$11</definedName>
    <definedName function="false" hidden="false" name="CWIP_TRANSFER_YM1" vbProcedure="false">'10_CWIP'!$E$11</definedName>
    <definedName function="false" hidden="false" name="DEBT_CLOSE_Y0" vbProcedure="false">'09_Debt'!$F$11</definedName>
    <definedName function="false" hidden="false" name="DEBT_CLOSE_Y1" vbProcedure="false">'09_Debt'!$G$11</definedName>
    <definedName function="false" hidden="false" name="DEBT_CLOSE_Y2" vbProcedure="false">'09_Debt'!$H$11</definedName>
    <definedName function="false" hidden="false" name="DEBT_CLOSE_Y3" vbProcedure="false">'09_Debt'!$I$11</definedName>
    <definedName function="false" hidden="false" name="DEBT_CLOSE_Y4" vbProcedure="false">'09_Debt'!$J$11</definedName>
    <definedName function="false" hidden="false" name="DEBT_CLOSE_Y5" vbProcedure="false">'09_Debt'!$K$11</definedName>
    <definedName function="false" hidden="false" name="DEBT_CLOSE_Y6" vbProcedure="false">'09_Debt'!$L$11</definedName>
    <definedName function="false" hidden="false" name="DEBT_CLOSE_YM1" vbProcedure="false">'09_Debt'!$E$11</definedName>
    <definedName function="false" hidden="false" name="DEBT_DRAW_Y0" vbProcedure="false">'09_Debt'!$F$9</definedName>
    <definedName function="false" hidden="false" name="DEBT_DRAW_Y1" vbProcedure="false">'09_Debt'!$G$9</definedName>
    <definedName function="false" hidden="false" name="DEBT_DRAW_Y2" vbProcedure="false">'09_Debt'!$H$9</definedName>
    <definedName function="false" hidden="false" name="DEBT_DRAW_Y3" vbProcedure="false">'09_Debt'!$I$9</definedName>
    <definedName function="false" hidden="false" name="DEBT_DRAW_Y4" vbProcedure="false">'09_Debt'!$J$9</definedName>
    <definedName function="false" hidden="false" name="DEBT_DRAW_Y5" vbProcedure="false">'09_Debt'!$K$9</definedName>
    <definedName function="false" hidden="false" name="DEBT_DRAW_Y6" vbProcedure="false">'09_Debt'!$L$9</definedName>
    <definedName function="false" hidden="false" name="DEBT_DRAW_YM1" vbProcedure="false">'09_Debt'!$E$9</definedName>
    <definedName function="false" hidden="false" name="DEBT_INT_Y0" vbProcedure="false">'09_Debt'!$F$13</definedName>
    <definedName function="false" hidden="false" name="DEBT_INT_Y1" vbProcedure="false">'09_Debt'!$G$13</definedName>
    <definedName function="false" hidden="false" name="DEBT_INT_Y2" vbProcedure="false">'09_Debt'!$H$13</definedName>
    <definedName function="false" hidden="false" name="DEBT_INT_Y3" vbProcedure="false">'09_Debt'!$I$13</definedName>
    <definedName function="false" hidden="false" name="DEBT_INT_Y4" vbProcedure="false">'09_Debt'!$J$13</definedName>
    <definedName function="false" hidden="false" name="DEBT_INT_Y5" vbProcedure="false">'09_Debt'!$K$13</definedName>
    <definedName function="false" hidden="false" name="DEBT_INT_Y6" vbProcedure="false">'09_Debt'!$L$13</definedName>
    <definedName function="false" hidden="false" name="DEBT_INT_YM1" vbProcedure="false">'09_Debt'!$E$13</definedName>
    <definedName function="false" hidden="false" name="DEBT_OPEN_Y0" vbProcedure="false">'09_Debt'!$F$8</definedName>
    <definedName function="false" hidden="false" name="DEBT_OPEN_Y1" vbProcedure="false">'09_Debt'!$G$8</definedName>
    <definedName function="false" hidden="false" name="DEBT_OPEN_Y2" vbProcedure="false">'09_Debt'!$H$8</definedName>
    <definedName function="false" hidden="false" name="DEBT_OPEN_Y3" vbProcedure="false">'09_Debt'!$I$8</definedName>
    <definedName function="false" hidden="false" name="DEBT_OPEN_Y4" vbProcedure="false">'09_Debt'!$J$8</definedName>
    <definedName function="false" hidden="false" name="DEBT_OPEN_Y5" vbProcedure="false">'09_Debt'!$K$8</definedName>
    <definedName function="false" hidden="false" name="DEBT_OPEN_Y6" vbProcedure="false">'09_Debt'!$L$8</definedName>
    <definedName function="false" hidden="false" name="DEBT_OPEN_YM1" vbProcedure="false">'09_Debt'!$E$8</definedName>
    <definedName function="false" hidden="false" name="DEBT_REPAY_Y0" vbProcedure="false">'09_Debt'!$F$10</definedName>
    <definedName function="false" hidden="false" name="DEBT_REPAY_Y1" vbProcedure="false">'09_Debt'!$G$10</definedName>
    <definedName function="false" hidden="false" name="DEBT_REPAY_Y2" vbProcedure="false">'09_Debt'!$H$10</definedName>
    <definedName function="false" hidden="false" name="DEBT_REPAY_Y3" vbProcedure="false">'09_Debt'!$I$10</definedName>
    <definedName function="false" hidden="false" name="DEBT_REPAY_Y4" vbProcedure="false">'09_Debt'!$J$10</definedName>
    <definedName function="false" hidden="false" name="DEBT_REPAY_Y5" vbProcedure="false">'09_Debt'!$K$10</definedName>
    <definedName function="false" hidden="false" name="DEBT_REPAY_Y6" vbProcedure="false">'09_Debt'!$L$10</definedName>
    <definedName function="false" hidden="false" name="DEBT_REPAY_YM1" vbProcedure="false">'09_Debt'!$E$10</definedName>
    <definedName function="false" hidden="false" name="FA_BOOK_ADD_Y0" vbProcedure="false">'11_FA'!$F$9</definedName>
    <definedName function="false" hidden="false" name="FA_BOOK_ADD_Y1" vbProcedure="false">'11_FA'!$G$9</definedName>
    <definedName function="false" hidden="false" name="FA_BOOK_ADD_Y2" vbProcedure="false">'11_FA'!$H$9</definedName>
    <definedName function="false" hidden="false" name="FA_BOOK_ADD_Y3" vbProcedure="false">'11_FA'!$I$9</definedName>
    <definedName function="false" hidden="false" name="FA_BOOK_ADD_Y4" vbProcedure="false">'11_FA'!$J$9</definedName>
    <definedName function="false" hidden="false" name="FA_BOOK_ADD_Y5" vbProcedure="false">'11_FA'!$K$9</definedName>
    <definedName function="false" hidden="false" name="FA_BOOK_ADD_Y6" vbProcedure="false">'11_FA'!$L$9</definedName>
    <definedName function="false" hidden="false" name="FA_BOOK_ADD_YM1" vbProcedure="false">'11_FA'!$E$9</definedName>
    <definedName function="false" hidden="false" name="FA_BOOK_CLOSE_Y0" vbProcedure="false">'11_FA'!$F$11</definedName>
    <definedName function="false" hidden="false" name="FA_BOOK_CLOSE_Y1" vbProcedure="false">'11_FA'!$G$11</definedName>
    <definedName function="false" hidden="false" name="FA_BOOK_CLOSE_Y2" vbProcedure="false">'11_FA'!$H$11</definedName>
    <definedName function="false" hidden="false" name="FA_BOOK_CLOSE_Y3" vbProcedure="false">'11_FA'!$I$11</definedName>
    <definedName function="false" hidden="false" name="FA_BOOK_CLOSE_Y4" vbProcedure="false">'11_FA'!$J$11</definedName>
    <definedName function="false" hidden="false" name="FA_BOOK_CLOSE_Y5" vbProcedure="false">'11_FA'!$K$11</definedName>
    <definedName function="false" hidden="false" name="FA_BOOK_CLOSE_Y6" vbProcedure="false">'11_FA'!$L$11</definedName>
    <definedName function="false" hidden="false" name="FA_BOOK_CLOSE_YM1" vbProcedure="false">'11_FA'!$E$11</definedName>
    <definedName function="false" hidden="false" name="FA_BOOK_DEP_Y0" vbProcedure="false">'11_FA'!$F$10</definedName>
    <definedName function="false" hidden="false" name="FA_BOOK_DEP_Y1" vbProcedure="false">'11_FA'!$G$10</definedName>
    <definedName function="false" hidden="false" name="FA_BOOK_DEP_Y2" vbProcedure="false">'11_FA'!$H$10</definedName>
    <definedName function="false" hidden="false" name="FA_BOOK_DEP_Y3" vbProcedure="false">'11_FA'!$I$10</definedName>
    <definedName function="false" hidden="false" name="FA_BOOK_DEP_Y4" vbProcedure="false">'11_FA'!$J$10</definedName>
    <definedName function="false" hidden="false" name="FA_BOOK_DEP_Y5" vbProcedure="false">'11_FA'!$K$10</definedName>
    <definedName function="false" hidden="false" name="FA_BOOK_DEP_Y6" vbProcedure="false">'11_FA'!$L$10</definedName>
    <definedName function="false" hidden="false" name="FA_BOOK_DEP_YM1" vbProcedure="false">'11_FA'!$E$10</definedName>
    <definedName function="false" hidden="false" name="FA_BOOK_OPEN_Y0" vbProcedure="false">'11_FA'!$F$8</definedName>
    <definedName function="false" hidden="false" name="FA_BOOK_OPEN_Y1" vbProcedure="false">'11_FA'!$G$8</definedName>
    <definedName function="false" hidden="false" name="FA_BOOK_OPEN_Y2" vbProcedure="false">'11_FA'!$H$8</definedName>
    <definedName function="false" hidden="false" name="FA_BOOK_OPEN_Y3" vbProcedure="false">'11_FA'!$I$8</definedName>
    <definedName function="false" hidden="false" name="FA_BOOK_OPEN_Y4" vbProcedure="false">'11_FA'!$J$8</definedName>
    <definedName function="false" hidden="false" name="FA_BOOK_OPEN_Y5" vbProcedure="false">'11_FA'!$K$8</definedName>
    <definedName function="false" hidden="false" name="FA_BOOK_OPEN_Y6" vbProcedure="false">'11_FA'!$L$8</definedName>
    <definedName function="false" hidden="false" name="FA_BOOK_OPEN_YM1" vbProcedure="false">'11_FA'!$E$8</definedName>
    <definedName function="false" hidden="false" name="FA_CLOSE_Y0" vbProcedure="false">'11_FA'!$F$11</definedName>
    <definedName function="false" hidden="false" name="FA_CLOSE_Y1" vbProcedure="false">'11_FA'!$G$11</definedName>
    <definedName function="false" hidden="false" name="FA_CLOSE_Y2" vbProcedure="false">'11_FA'!$H$11</definedName>
    <definedName function="false" hidden="false" name="FA_CLOSE_Y3" vbProcedure="false">'11_FA'!$I$11</definedName>
    <definedName function="false" hidden="false" name="FA_CLOSE_Y4" vbProcedure="false">'11_FA'!$J$11</definedName>
    <definedName function="false" hidden="false" name="FA_CLOSE_Y5" vbProcedure="false">'11_FA'!$K$11</definedName>
    <definedName function="false" hidden="false" name="FA_CLOSE_Y6" vbProcedure="false">'11_FA'!$L$11</definedName>
    <definedName function="false" hidden="false" name="FA_CLOSE_YM1" vbProcedure="false">'11_FA'!$E$11</definedName>
    <definedName function="false" hidden="false" name="FA_DTL_Y0" vbProcedure="false">'11_FA'!$F$21</definedName>
    <definedName function="false" hidden="false" name="FA_DTL_Y1" vbProcedure="false">'11_FA'!$G$21</definedName>
    <definedName function="false" hidden="false" name="FA_DTL_Y2" vbProcedure="false">'11_FA'!$H$21</definedName>
    <definedName function="false" hidden="false" name="FA_DTL_Y3" vbProcedure="false">'11_FA'!$I$21</definedName>
    <definedName function="false" hidden="false" name="FA_DTL_Y4" vbProcedure="false">'11_FA'!$J$21</definedName>
    <definedName function="false" hidden="false" name="FA_DTL_Y5" vbProcedure="false">'11_FA'!$K$21</definedName>
    <definedName function="false" hidden="false" name="FA_DTL_Y6" vbProcedure="false">'11_FA'!$L$21</definedName>
    <definedName function="false" hidden="false" name="FA_DTL_YM1" vbProcedure="false">'11_FA'!$E$21</definedName>
    <definedName function="false" hidden="false" name="FA_TAX_ADD_Y0" vbProcedure="false">'11_FA'!$F$15</definedName>
    <definedName function="false" hidden="false" name="FA_TAX_ADD_Y1" vbProcedure="false">'11_FA'!$G$15</definedName>
    <definedName function="false" hidden="false" name="FA_TAX_ADD_Y2" vbProcedure="false">'11_FA'!$H$15</definedName>
    <definedName function="false" hidden="false" name="FA_TAX_ADD_Y3" vbProcedure="false">'11_FA'!$I$15</definedName>
    <definedName function="false" hidden="false" name="FA_TAX_ADD_Y4" vbProcedure="false">'11_FA'!$J$15</definedName>
    <definedName function="false" hidden="false" name="FA_TAX_ADD_Y5" vbProcedure="false">'11_FA'!$K$15</definedName>
    <definedName function="false" hidden="false" name="FA_TAX_ADD_Y6" vbProcedure="false">'11_FA'!$L$15</definedName>
    <definedName function="false" hidden="false" name="FA_TAX_ADD_YM1" vbProcedure="false">'11_FA'!$E$15</definedName>
    <definedName function="false" hidden="false" name="FA_TAX_CLOSE_Y0" vbProcedure="false">'11_FA'!$F$17</definedName>
    <definedName function="false" hidden="false" name="FA_TAX_CLOSE_Y1" vbProcedure="false">'11_FA'!$G$17</definedName>
    <definedName function="false" hidden="false" name="FA_TAX_CLOSE_Y2" vbProcedure="false">'11_FA'!$H$17</definedName>
    <definedName function="false" hidden="false" name="FA_TAX_CLOSE_Y3" vbProcedure="false">'11_FA'!$I$17</definedName>
    <definedName function="false" hidden="false" name="FA_TAX_CLOSE_Y4" vbProcedure="false">'11_FA'!$J$17</definedName>
    <definedName function="false" hidden="false" name="FA_TAX_CLOSE_Y5" vbProcedure="false">'11_FA'!$K$17</definedName>
    <definedName function="false" hidden="false" name="FA_TAX_CLOSE_Y6" vbProcedure="false">'11_FA'!$L$17</definedName>
    <definedName function="false" hidden="false" name="FA_TAX_CLOSE_YM1" vbProcedure="false">'11_FA'!$E$17</definedName>
    <definedName function="false" hidden="false" name="FA_TAX_DEP_Y0" vbProcedure="false">'11_FA'!$F$16</definedName>
    <definedName function="false" hidden="false" name="FA_TAX_DEP_Y1" vbProcedure="false">'11_FA'!$G$16</definedName>
    <definedName function="false" hidden="false" name="FA_TAX_DEP_Y2" vbProcedure="false">'11_FA'!$H$16</definedName>
    <definedName function="false" hidden="false" name="FA_TAX_DEP_Y3" vbProcedure="false">'11_FA'!$I$16</definedName>
    <definedName function="false" hidden="false" name="FA_TAX_DEP_Y4" vbProcedure="false">'11_FA'!$J$16</definedName>
    <definedName function="false" hidden="false" name="FA_TAX_DEP_Y5" vbProcedure="false">'11_FA'!$K$16</definedName>
    <definedName function="false" hidden="false" name="FA_TAX_DEP_Y6" vbProcedure="false">'11_FA'!$L$16</definedName>
    <definedName function="false" hidden="false" name="FA_TAX_DEP_YM1" vbProcedure="false">'11_FA'!$E$16</definedName>
    <definedName function="false" hidden="false" name="FA_TAX_OPEN_Y0" vbProcedure="false">'11_FA'!$F$14</definedName>
    <definedName function="false" hidden="false" name="FA_TAX_OPEN_Y1" vbProcedure="false">'11_FA'!$G$14</definedName>
    <definedName function="false" hidden="false" name="FA_TAX_OPEN_Y2" vbProcedure="false">'11_FA'!$H$14</definedName>
    <definedName function="false" hidden="false" name="FA_TAX_OPEN_Y3" vbProcedure="false">'11_FA'!$I$14</definedName>
    <definedName function="false" hidden="false" name="FA_TAX_OPEN_Y4" vbProcedure="false">'11_FA'!$J$14</definedName>
    <definedName function="false" hidden="false" name="FA_TAX_OPEN_Y5" vbProcedure="false">'11_FA'!$K$14</definedName>
    <definedName function="false" hidden="false" name="FA_TAX_OPEN_Y6" vbProcedure="false">'11_FA'!$L$14</definedName>
    <definedName function="false" hidden="false" name="FA_TAX_OPEN_YM1" vbProcedure="false">'11_FA'!$E$14</definedName>
    <definedName function="false" hidden="false" name="FLAG_CONSTRUCT_Y0" vbProcedure="false">'02_Timeline'!$F$9</definedName>
    <definedName function="false" hidden="false" name="FLAG_CONSTRUCT_Y1" vbProcedure="false">'02_Timeline'!$G$9</definedName>
    <definedName function="false" hidden="false" name="FLAG_CONSTRUCT_Y2" vbProcedure="false">'02_Timeline'!$H$9</definedName>
    <definedName function="false" hidden="false" name="FLAG_CONSTRUCT_Y3" vbProcedure="false">'02_Timeline'!$I$9</definedName>
    <definedName function="false" hidden="false" name="FLAG_CONSTRUCT_Y4" vbProcedure="false">'02_Timeline'!$J$9</definedName>
    <definedName function="false" hidden="false" name="FLAG_CONSTRUCT_Y5" vbProcedure="false">'02_Timeline'!$K$9</definedName>
    <definedName function="false" hidden="false" name="FLAG_CONSTRUCT_Y6" vbProcedure="false">'02_Timeline'!$L$9</definedName>
    <definedName function="false" hidden="false" name="FLAG_CONSTRUCT_YM1" vbProcedure="false">'02_Timeline'!$E$9</definedName>
    <definedName function="false" hidden="false" name="FLAG_DEPLOYMENT_Y0" vbProcedure="false">'02_Timeline'!$F$11</definedName>
    <definedName function="false" hidden="false" name="FLAG_DEPLOYMENT_Y1" vbProcedure="false">'02_Timeline'!$G$11</definedName>
    <definedName function="false" hidden="false" name="FLAG_DEPLOYMENT_Y2" vbProcedure="false">'02_Timeline'!$H$11</definedName>
    <definedName function="false" hidden="false" name="FLAG_DEPLOYMENT_Y3" vbProcedure="false">'02_Timeline'!$I$11</definedName>
    <definedName function="false" hidden="false" name="FLAG_DEPLOYMENT_Y4" vbProcedure="false">'02_Timeline'!$J$11</definedName>
    <definedName function="false" hidden="false" name="FLAG_DEPLOYMENT_Y5" vbProcedure="false">'02_Timeline'!$K$11</definedName>
    <definedName function="false" hidden="false" name="FLAG_DEPLOYMENT_Y6" vbProcedure="false">'02_Timeline'!$L$11</definedName>
    <definedName function="false" hidden="false" name="FLAG_DEPLOYMENT_YM1" vbProcedure="false">'02_Timeline'!$E$11</definedName>
    <definedName function="false" hidden="false" name="FLAG_POST_COD_Y0" vbProcedure="false">'02_Timeline'!$F$12</definedName>
    <definedName function="false" hidden="false" name="FLAG_POST_COD_Y1" vbProcedure="false">'02_Timeline'!$G$12</definedName>
    <definedName function="false" hidden="false" name="FLAG_POST_COD_Y2" vbProcedure="false">'02_Timeline'!$H$12</definedName>
    <definedName function="false" hidden="false" name="FLAG_POST_COD_Y3" vbProcedure="false">'02_Timeline'!$I$12</definedName>
    <definedName function="false" hidden="false" name="FLAG_POST_COD_Y4" vbProcedure="false">'02_Timeline'!$J$12</definedName>
    <definedName function="false" hidden="false" name="FLAG_POST_COD_Y5" vbProcedure="false">'02_Timeline'!$K$12</definedName>
    <definedName function="false" hidden="false" name="FLAG_POST_COD_Y6" vbProcedure="false">'02_Timeline'!$L$12</definedName>
    <definedName function="false" hidden="false" name="FLAG_POST_COD_YM1" vbProcedure="false">'02_Timeline'!$E$12</definedName>
    <definedName function="false" hidden="false" name="FLAG_PREPROG_Y0" vbProcedure="false">'02_Timeline'!$F$8</definedName>
    <definedName function="false" hidden="false" name="FLAG_PREPROG_Y1" vbProcedure="false">'02_Timeline'!$G$8</definedName>
    <definedName function="false" hidden="false" name="FLAG_PREPROG_Y2" vbProcedure="false">'02_Timeline'!$H$8</definedName>
    <definedName function="false" hidden="false" name="FLAG_PREPROG_Y3" vbProcedure="false">'02_Timeline'!$I$8</definedName>
    <definedName function="false" hidden="false" name="FLAG_PREPROG_Y4" vbProcedure="false">'02_Timeline'!$J$8</definedName>
    <definedName function="false" hidden="false" name="FLAG_PREPROG_Y5" vbProcedure="false">'02_Timeline'!$K$8</definedName>
    <definedName function="false" hidden="false" name="FLAG_PREPROG_Y6" vbProcedure="false">'02_Timeline'!$L$8</definedName>
    <definedName function="false" hidden="false" name="FLAG_PREPROG_YM1" vbProcedure="false">'02_Timeline'!$E$8</definedName>
    <definedName function="false" hidden="false" name="FLAG_VALIDATION_Y0" vbProcedure="false">'02_Timeline'!$F$10</definedName>
    <definedName function="false" hidden="false" name="FLAG_VALIDATION_Y1" vbProcedure="false">'02_Timeline'!$G$10</definedName>
    <definedName function="false" hidden="false" name="FLAG_VALIDATION_Y2" vbProcedure="false">'02_Timeline'!$H$10</definedName>
    <definedName function="false" hidden="false" name="FLAG_VALIDATION_Y3" vbProcedure="false">'02_Timeline'!$I$10</definedName>
    <definedName function="false" hidden="false" name="FLAG_VALIDATION_Y4" vbProcedure="false">'02_Timeline'!$J$10</definedName>
    <definedName function="false" hidden="false" name="FLAG_VALIDATION_Y5" vbProcedure="false">'02_Timeline'!$K$10</definedName>
    <definedName function="false" hidden="false" name="FLAG_VALIDATION_Y6" vbProcedure="false">'02_Timeline'!$L$10</definedName>
    <definedName function="false" hidden="false" name="FLAG_VALIDATION_YM1" vbProcedure="false">'02_Timeline'!$E$10</definedName>
    <definedName function="false" hidden="false" name="GEN_A_CAP_TOTAL_Y0" vbProcedure="false">'04_Genetics'!$F$7</definedName>
    <definedName function="false" hidden="false" name="GEN_A_CAP_TOTAL_Y1" vbProcedure="false">'04_Genetics'!$G$7</definedName>
    <definedName function="false" hidden="false" name="GEN_A_CAP_TOTAL_Y2" vbProcedure="false">'04_Genetics'!$H$7</definedName>
    <definedName function="false" hidden="false" name="GEN_A_CAP_TOTAL_Y3" vbProcedure="false">'04_Genetics'!$I$7</definedName>
    <definedName function="false" hidden="false" name="GEN_A_CAP_TOTAL_Y4" vbProcedure="false">'04_Genetics'!$J$7</definedName>
    <definedName function="false" hidden="false" name="GEN_A_CAP_TOTAL_Y5" vbProcedure="false">'04_Genetics'!$K$7</definedName>
    <definedName function="false" hidden="false" name="GEN_A_CAP_TOTAL_Y6" vbProcedure="false">'04_Genetics'!$L$7</definedName>
    <definedName function="false" hidden="false" name="GEN_A_CAP_TOTAL_YM1" vbProcedure="false">'04_Genetics'!$E$7</definedName>
    <definedName function="false" hidden="false" name="GEN_A_OPEX_TOTAL_Y0" vbProcedure="false">'04_Genetics'!$F$8</definedName>
    <definedName function="false" hidden="false" name="GEN_A_OPEX_TOTAL_Y1" vbProcedure="false">'04_Genetics'!$G$8</definedName>
    <definedName function="false" hidden="false" name="GEN_A_OPEX_TOTAL_Y2" vbProcedure="false">'04_Genetics'!$H$8</definedName>
    <definedName function="false" hidden="false" name="GEN_A_OPEX_TOTAL_Y3" vbProcedure="false">'04_Genetics'!$I$8</definedName>
    <definedName function="false" hidden="false" name="GEN_A_OPEX_TOTAL_Y4" vbProcedure="false">'04_Genetics'!$J$8</definedName>
    <definedName function="false" hidden="false" name="GEN_A_OPEX_TOTAL_Y5" vbProcedure="false">'04_Genetics'!$K$8</definedName>
    <definedName function="false" hidden="false" name="GEN_A_OPEX_TOTAL_Y6" vbProcedure="false">'04_Genetics'!$L$8</definedName>
    <definedName function="false" hidden="false" name="GEN_A_OPEX_TOTAL_YM1" vbProcedure="false">'04_Genetics'!$E$8</definedName>
    <definedName function="false" hidden="false" name="GEN_A_OPEX_Y0_Y0" vbProcedure="false">'04_Genetics'!$F$26</definedName>
    <definedName function="false" hidden="false" name="GEN_A_OPEX_Y0_Y1" vbProcedure="false">'04_Genetics'!$G$26</definedName>
    <definedName function="false" hidden="false" name="GEN_A_OPEX_Y0_Y2" vbProcedure="false">'04_Genetics'!$H$26</definedName>
    <definedName function="false" hidden="false" name="GEN_A_OPEX_Y0_Y3" vbProcedure="false">'04_Genetics'!$I$26</definedName>
    <definedName function="false" hidden="false" name="GEN_A_OPEX_Y0_Y4" vbProcedure="false">'04_Genetics'!$J$26</definedName>
    <definedName function="false" hidden="false" name="GEN_A_OPEX_Y0_Y5" vbProcedure="false">'04_Genetics'!$K$26</definedName>
    <definedName function="false" hidden="false" name="GEN_A_OPEX_Y0_Y6" vbProcedure="false">'04_Genetics'!$L$26</definedName>
    <definedName function="false" hidden="false" name="GEN_A_OPEX_Y0_YM1" vbProcedure="false">'04_Genetics'!$E$26</definedName>
    <definedName function="false" hidden="false" name="GEN_B_CAP_TOTAL_Y0" vbProcedure="false">'04_Genetics'!$F$9</definedName>
    <definedName function="false" hidden="false" name="GEN_B_CAP_TOTAL_Y1" vbProcedure="false">'04_Genetics'!$G$9</definedName>
    <definedName function="false" hidden="false" name="GEN_B_CAP_TOTAL_Y2" vbProcedure="false">'04_Genetics'!$H$9</definedName>
    <definedName function="false" hidden="false" name="GEN_B_CAP_TOTAL_Y3" vbProcedure="false">'04_Genetics'!$I$9</definedName>
    <definedName function="false" hidden="false" name="GEN_B_CAP_TOTAL_Y4" vbProcedure="false">'04_Genetics'!$J$9</definedName>
    <definedName function="false" hidden="false" name="GEN_B_CAP_TOTAL_Y5" vbProcedure="false">'04_Genetics'!$K$9</definedName>
    <definedName function="false" hidden="false" name="GEN_B_CAP_TOTAL_Y6" vbProcedure="false">'04_Genetics'!$L$9</definedName>
    <definedName function="false" hidden="false" name="GEN_B_CAP_TOTAL_YM1" vbProcedure="false">'04_Genetics'!$E$9</definedName>
    <definedName function="false" hidden="false" name="GEN_B_OPEX_TOTAL_Y0" vbProcedure="false">'04_Genetics'!$F$10</definedName>
    <definedName function="false" hidden="false" name="GEN_B_OPEX_TOTAL_Y1" vbProcedure="false">'04_Genetics'!$G$10</definedName>
    <definedName function="false" hidden="false" name="GEN_B_OPEX_TOTAL_Y2" vbProcedure="false">'04_Genetics'!$H$10</definedName>
    <definedName function="false" hidden="false" name="GEN_B_OPEX_TOTAL_Y3" vbProcedure="false">'04_Genetics'!$I$10</definedName>
    <definedName function="false" hidden="false" name="GEN_B_OPEX_TOTAL_Y4" vbProcedure="false">'04_Genetics'!$J$10</definedName>
    <definedName function="false" hidden="false" name="GEN_B_OPEX_TOTAL_Y5" vbProcedure="false">'04_Genetics'!$K$10</definedName>
    <definedName function="false" hidden="false" name="GEN_B_OPEX_TOTAL_Y6" vbProcedure="false">'04_Genetics'!$L$10</definedName>
    <definedName function="false" hidden="false" name="GEN_B_OPEX_TOTAL_YM1" vbProcedure="false">'04_Genetics'!$E$10</definedName>
    <definedName function="false" hidden="false" name="GEN_B_OPEX_Y0_Y0" vbProcedure="false">'04_Genetics'!$F$48</definedName>
    <definedName function="false" hidden="false" name="GEN_B_OPEX_Y0_Y1" vbProcedure="false">'04_Genetics'!$G$48</definedName>
    <definedName function="false" hidden="false" name="GEN_B_OPEX_Y0_Y2" vbProcedure="false">'04_Genetics'!$H$48</definedName>
    <definedName function="false" hidden="false" name="GEN_B_OPEX_Y0_Y3" vbProcedure="false">'04_Genetics'!$I$48</definedName>
    <definedName function="false" hidden="false" name="GEN_B_OPEX_Y0_Y4" vbProcedure="false">'04_Genetics'!$J$48</definedName>
    <definedName function="false" hidden="false" name="GEN_B_OPEX_Y0_Y5" vbProcedure="false">'04_Genetics'!$K$48</definedName>
    <definedName function="false" hidden="false" name="GEN_B_OPEX_Y0_Y6" vbProcedure="false">'04_Genetics'!$L$48</definedName>
    <definedName function="false" hidden="false" name="GEN_B_OPEX_Y0_YM1" vbProcedure="false">'04_Genetics'!$E$48</definedName>
    <definedName function="false" hidden="false" name="GEN_REVENUE_Y0" vbProcedure="false">'04_Genetics'!$F$11</definedName>
    <definedName function="false" hidden="false" name="GEN_REVENUE_Y1" vbProcedure="false">'04_Genetics'!$G$11</definedName>
    <definedName function="false" hidden="false" name="GEN_REVENUE_Y2" vbProcedure="false">'04_Genetics'!$H$11</definedName>
    <definedName function="false" hidden="false" name="GEN_REVENUE_Y3" vbProcedure="false">'04_Genetics'!$I$11</definedName>
    <definedName function="false" hidden="false" name="GEN_REVENUE_Y4" vbProcedure="false">'04_Genetics'!$J$11</definedName>
    <definedName function="false" hidden="false" name="GEN_REVENUE_Y5" vbProcedure="false">'04_Genetics'!$K$11</definedName>
    <definedName function="false" hidden="false" name="GEN_REVENUE_Y6" vbProcedure="false">'04_Genetics'!$L$11</definedName>
    <definedName function="false" hidden="false" name="GEN_REVENUE_YM1" vbProcedure="false">'04_Genetics'!$E$11</definedName>
    <definedName function="false" hidden="false" name="IS_DEP_Y0" vbProcedure="false">'14_IS'!$F$12</definedName>
    <definedName function="false" hidden="false" name="IS_DEP_Y1" vbProcedure="false">'14_IS'!$G$12</definedName>
    <definedName function="false" hidden="false" name="IS_DEP_Y2" vbProcedure="false">'14_IS'!$H$12</definedName>
    <definedName function="false" hidden="false" name="IS_DEP_Y3" vbProcedure="false">'14_IS'!$I$12</definedName>
    <definedName function="false" hidden="false" name="IS_DEP_Y4" vbProcedure="false">'14_IS'!$J$12</definedName>
    <definedName function="false" hidden="false" name="IS_DEP_Y5" vbProcedure="false">'14_IS'!$K$12</definedName>
    <definedName function="false" hidden="false" name="IS_DEP_Y6" vbProcedure="false">'14_IS'!$L$12</definedName>
    <definedName function="false" hidden="false" name="IS_DEP_YM1" vbProcedure="false">'14_IS'!$E$12</definedName>
    <definedName function="false" hidden="false" name="IS_EBITDA_Y0" vbProcedure="false">'14_IS'!$F$9</definedName>
    <definedName function="false" hidden="false" name="IS_EBITDA_Y1" vbProcedure="false">'14_IS'!$G$9</definedName>
    <definedName function="false" hidden="false" name="IS_EBITDA_Y2" vbProcedure="false">'14_IS'!$H$9</definedName>
    <definedName function="false" hidden="false" name="IS_EBITDA_Y3" vbProcedure="false">'14_IS'!$I$9</definedName>
    <definedName function="false" hidden="false" name="IS_EBITDA_Y4" vbProcedure="false">'14_IS'!$J$9</definedName>
    <definedName function="false" hidden="false" name="IS_EBITDA_Y5" vbProcedure="false">'14_IS'!$K$9</definedName>
    <definedName function="false" hidden="false" name="IS_EBITDA_Y6" vbProcedure="false">'14_IS'!$L$9</definedName>
    <definedName function="false" hidden="false" name="IS_EBITDA_YM1" vbProcedure="false">'14_IS'!$E$9</definedName>
    <definedName function="false" hidden="false" name="IS_EBIT_Y0" vbProcedure="false">'14_IS'!$F$18</definedName>
    <definedName function="false" hidden="false" name="IS_EBIT_Y1" vbProcedure="false">'14_IS'!$G$18</definedName>
    <definedName function="false" hidden="false" name="IS_EBIT_Y2" vbProcedure="false">'14_IS'!$H$18</definedName>
    <definedName function="false" hidden="false" name="IS_EBIT_Y3" vbProcedure="false">'14_IS'!$I$18</definedName>
    <definedName function="false" hidden="false" name="IS_EBIT_Y4" vbProcedure="false">'14_IS'!$J$18</definedName>
    <definedName function="false" hidden="false" name="IS_EBIT_Y5" vbProcedure="false">'14_IS'!$K$18</definedName>
    <definedName function="false" hidden="false" name="IS_EBIT_Y6" vbProcedure="false">'14_IS'!$L$18</definedName>
    <definedName function="false" hidden="false" name="IS_EBIT_YM1" vbProcedure="false">'14_IS'!$E$18</definedName>
    <definedName function="false" hidden="false" name="IS_GRANT_INC_Y0" vbProcedure="false">'14_IS'!$F$26</definedName>
    <definedName function="false" hidden="false" name="IS_GRANT_INC_Y1" vbProcedure="false">'14_IS'!$G$26</definedName>
    <definedName function="false" hidden="false" name="IS_GRANT_INC_Y2" vbProcedure="false">'14_IS'!$H$26</definedName>
    <definedName function="false" hidden="false" name="IS_GRANT_INC_Y3" vbProcedure="false">'14_IS'!$I$26</definedName>
    <definedName function="false" hidden="false" name="IS_GRANT_INC_Y4" vbProcedure="false">'14_IS'!$J$26</definedName>
    <definedName function="false" hidden="false" name="IS_GRANT_INC_Y5" vbProcedure="false">'14_IS'!$K$26</definedName>
    <definedName function="false" hidden="false" name="IS_GRANT_INC_Y6" vbProcedure="false">'14_IS'!$L$26</definedName>
    <definedName function="false" hidden="false" name="IS_GRANT_INC_YM1" vbProcedure="false">'14_IS'!$E$26</definedName>
    <definedName function="false" hidden="false" name="IS_INT_Y0" vbProcedure="false">'14_IS'!$F$21</definedName>
    <definedName function="false" hidden="false" name="IS_INT_Y1" vbProcedure="false">'14_IS'!$G$21</definedName>
    <definedName function="false" hidden="false" name="IS_INT_Y2" vbProcedure="false">'14_IS'!$H$21</definedName>
    <definedName function="false" hidden="false" name="IS_INT_Y3" vbProcedure="false">'14_IS'!$I$21</definedName>
    <definedName function="false" hidden="false" name="IS_INT_Y4" vbProcedure="false">'14_IS'!$J$21</definedName>
    <definedName function="false" hidden="false" name="IS_INT_Y5" vbProcedure="false">'14_IS'!$K$21</definedName>
    <definedName function="false" hidden="false" name="IS_INT_Y6" vbProcedure="false">'14_IS'!$L$21</definedName>
    <definedName function="false" hidden="false" name="IS_INT_YM1" vbProcedure="false">'14_IS'!$E$21</definedName>
    <definedName function="false" hidden="false" name="IS_NETINC_Y0" vbProcedure="false">'14_IS'!$F$27</definedName>
    <definedName function="false" hidden="false" name="IS_NETINC_Y1" vbProcedure="false">'14_IS'!$G$27</definedName>
    <definedName function="false" hidden="false" name="IS_NETINC_Y2" vbProcedure="false">'14_IS'!$H$27</definedName>
    <definedName function="false" hidden="false" name="IS_NETINC_Y3" vbProcedure="false">'14_IS'!$I$27</definedName>
    <definedName function="false" hidden="false" name="IS_NETINC_Y4" vbProcedure="false">'14_IS'!$J$27</definedName>
    <definedName function="false" hidden="false" name="IS_NETINC_Y5" vbProcedure="false">'14_IS'!$K$27</definedName>
    <definedName function="false" hidden="false" name="IS_NETINC_Y6" vbProcedure="false">'14_IS'!$L$27</definedName>
    <definedName function="false" hidden="false" name="IS_NETINC_YM1" vbProcedure="false">'14_IS'!$E$27</definedName>
    <definedName function="false" hidden="false" name="IS_OPEX_GEN_Y0" vbProcedure="false">'14_IS'!$F$17</definedName>
    <definedName function="false" hidden="false" name="IS_OPEX_GEN_Y1" vbProcedure="false">'14_IS'!$G$17</definedName>
    <definedName function="false" hidden="false" name="IS_OPEX_GEN_Y2" vbProcedure="false">'14_IS'!$H$17</definedName>
    <definedName function="false" hidden="false" name="IS_OPEX_GEN_Y3" vbProcedure="false">'14_IS'!$I$17</definedName>
    <definedName function="false" hidden="false" name="IS_OPEX_GEN_Y4" vbProcedure="false">'14_IS'!$J$17</definedName>
    <definedName function="false" hidden="false" name="IS_OPEX_GEN_Y5" vbProcedure="false">'14_IS'!$K$17</definedName>
    <definedName function="false" hidden="false" name="IS_OPEX_GEN_Y6" vbProcedure="false">'14_IS'!$L$17</definedName>
    <definedName function="false" hidden="false" name="IS_OPEX_GEN_YM1" vbProcedure="false">'14_IS'!$E$17</definedName>
    <definedName function="false" hidden="false" name="IS_OPEX_TRAIN_Y0" vbProcedure="false">'14_IS'!$F$16</definedName>
    <definedName function="false" hidden="false" name="IS_OPEX_TRAIN_Y1" vbProcedure="false">'14_IS'!$G$16</definedName>
    <definedName function="false" hidden="false" name="IS_OPEX_TRAIN_Y2" vbProcedure="false">'14_IS'!$H$16</definedName>
    <definedName function="false" hidden="false" name="IS_OPEX_TRAIN_Y3" vbProcedure="false">'14_IS'!$I$16</definedName>
    <definedName function="false" hidden="false" name="IS_OPEX_TRAIN_Y4" vbProcedure="false">'14_IS'!$J$16</definedName>
    <definedName function="false" hidden="false" name="IS_OPEX_TRAIN_Y5" vbProcedure="false">'14_IS'!$K$16</definedName>
    <definedName function="false" hidden="false" name="IS_OPEX_TRAIN_Y6" vbProcedure="false">'14_IS'!$L$16</definedName>
    <definedName function="false" hidden="false" name="IS_OPEX_TRAIN_YM1" vbProcedure="false">'14_IS'!$E$16</definedName>
    <definedName function="false" hidden="false" name="IS_OPEX_Y0" vbProcedure="false">'14_IS'!$F$8</definedName>
    <definedName function="false" hidden="false" name="IS_OPEX_Y1" vbProcedure="false">'14_IS'!$G$8</definedName>
    <definedName function="false" hidden="false" name="IS_OPEX_Y2" vbProcedure="false">'14_IS'!$H$8</definedName>
    <definedName function="false" hidden="false" name="IS_OPEX_Y3" vbProcedure="false">'14_IS'!$I$8</definedName>
    <definedName function="false" hidden="false" name="IS_OPEX_Y4" vbProcedure="false">'14_IS'!$J$8</definedName>
    <definedName function="false" hidden="false" name="IS_OPEX_Y5" vbProcedure="false">'14_IS'!$K$8</definedName>
    <definedName function="false" hidden="false" name="IS_OPEX_Y6" vbProcedure="false">'14_IS'!$L$8</definedName>
    <definedName function="false" hidden="false" name="IS_OPEX_YM1" vbProcedure="false">'14_IS'!$E$8</definedName>
    <definedName function="false" hidden="false" name="IS_PRETAX_Y0" vbProcedure="false">'14_IS'!$F$22</definedName>
    <definedName function="false" hidden="false" name="IS_PRETAX_Y1" vbProcedure="false">'14_IS'!$G$22</definedName>
    <definedName function="false" hidden="false" name="IS_PRETAX_Y2" vbProcedure="false">'14_IS'!$H$22</definedName>
    <definedName function="false" hidden="false" name="IS_PRETAX_Y3" vbProcedure="false">'14_IS'!$I$22</definedName>
    <definedName function="false" hidden="false" name="IS_PRETAX_Y4" vbProcedure="false">'14_IS'!$J$22</definedName>
    <definedName function="false" hidden="false" name="IS_PRETAX_Y5" vbProcedure="false">'14_IS'!$K$22</definedName>
    <definedName function="false" hidden="false" name="IS_PRETAX_Y6" vbProcedure="false">'14_IS'!$L$22</definedName>
    <definedName function="false" hidden="false" name="IS_PRETAX_YM1" vbProcedure="false">'14_IS'!$E$22</definedName>
    <definedName function="false" hidden="false" name="IS_REV_Y0" vbProcedure="false">'14_IS'!$F$7</definedName>
    <definedName function="false" hidden="false" name="IS_REV_Y1" vbProcedure="false">'14_IS'!$G$7</definedName>
    <definedName function="false" hidden="false" name="IS_REV_Y2" vbProcedure="false">'14_IS'!$H$7</definedName>
    <definedName function="false" hidden="false" name="IS_REV_Y3" vbProcedure="false">'14_IS'!$I$7</definedName>
    <definedName function="false" hidden="false" name="IS_REV_Y4" vbProcedure="false">'14_IS'!$J$7</definedName>
    <definedName function="false" hidden="false" name="IS_REV_Y5" vbProcedure="false">'14_IS'!$K$7</definedName>
    <definedName function="false" hidden="false" name="IS_REV_Y6" vbProcedure="false">'14_IS'!$L$7</definedName>
    <definedName function="false" hidden="false" name="IS_REV_YM1" vbProcedure="false">'14_IS'!$E$7</definedName>
    <definedName function="false" hidden="false" name="IS_TAX_Y0" vbProcedure="false">'14_IS'!$F$25</definedName>
    <definedName function="false" hidden="false" name="IS_TAX_Y1" vbProcedure="false">'14_IS'!$G$25</definedName>
    <definedName function="false" hidden="false" name="IS_TAX_Y2" vbProcedure="false">'14_IS'!$H$25</definedName>
    <definedName function="false" hidden="false" name="IS_TAX_Y3" vbProcedure="false">'14_IS'!$I$25</definedName>
    <definedName function="false" hidden="false" name="IS_TAX_Y4" vbProcedure="false">'14_IS'!$J$25</definedName>
    <definedName function="false" hidden="false" name="IS_TAX_Y5" vbProcedure="false">'14_IS'!$K$25</definedName>
    <definedName function="false" hidden="false" name="IS_TAX_Y6" vbProcedure="false">'14_IS'!$L$25</definedName>
    <definedName function="false" hidden="false" name="IS_TAX_YM1" vbProcedure="false">'14_IS'!$E$25</definedName>
    <definedName function="false" hidden="false" name="OPEX_FARMING_B1_Y0" vbProcedure="false">'08_OpEx'!$F$39</definedName>
    <definedName function="false" hidden="false" name="OPEX_FARMING_B1_Y1" vbProcedure="false">'08_OpEx'!$G$39</definedName>
    <definedName function="false" hidden="false" name="OPEX_FARMING_B1_Y2" vbProcedure="false">'08_OpEx'!$H$39</definedName>
    <definedName function="false" hidden="false" name="OPEX_FARMING_B1_Y3" vbProcedure="false">'08_OpEx'!$I$39</definedName>
    <definedName function="false" hidden="false" name="OPEX_FARMING_B1_Y4" vbProcedure="false">'08_OpEx'!$J$39</definedName>
    <definedName function="false" hidden="false" name="OPEX_FARMING_B1_Y5" vbProcedure="false">'08_OpEx'!$K$39</definedName>
    <definedName function="false" hidden="false" name="OPEX_FARMING_B1_Y6" vbProcedure="false">'08_OpEx'!$L$39</definedName>
    <definedName function="false" hidden="false" name="OPEX_FARMING_B1_YM1" vbProcedure="false">'08_OpEx'!$E$39</definedName>
    <definedName function="false" hidden="false" name="OPEX_FARMING_B2_Y0" vbProcedure="false">'08_OpEx'!$F$49</definedName>
    <definedName function="false" hidden="false" name="OPEX_FARMING_B2_Y1" vbProcedure="false">'08_OpEx'!$G$49</definedName>
    <definedName function="false" hidden="false" name="OPEX_FARMING_B2_Y2" vbProcedure="false">'08_OpEx'!$H$49</definedName>
    <definedName function="false" hidden="false" name="OPEX_FARMING_B2_Y3" vbProcedure="false">'08_OpEx'!$I$49</definedName>
    <definedName function="false" hidden="false" name="OPEX_FARMING_B2_Y4" vbProcedure="false">'08_OpEx'!$J$49</definedName>
    <definedName function="false" hidden="false" name="OPEX_FARMING_B2_Y5" vbProcedure="false">'08_OpEx'!$K$49</definedName>
    <definedName function="false" hidden="false" name="OPEX_FARMING_B2_Y6" vbProcedure="false">'08_OpEx'!$L$49</definedName>
    <definedName function="false" hidden="false" name="OPEX_FARMING_B2_YM1" vbProcedure="false">'08_OpEx'!$E$49</definedName>
    <definedName function="false" hidden="false" name="OPEX_FARMING_B3_Y0" vbProcedure="false">'08_OpEx'!$F$63</definedName>
    <definedName function="false" hidden="false" name="OPEX_FARMING_B3_Y1" vbProcedure="false">'08_OpEx'!$G$63</definedName>
    <definedName function="false" hidden="false" name="OPEX_FARMING_B3_Y2" vbProcedure="false">'08_OpEx'!$H$63</definedName>
    <definedName function="false" hidden="false" name="OPEX_FARMING_B3_Y3" vbProcedure="false">'08_OpEx'!$I$63</definedName>
    <definedName function="false" hidden="false" name="OPEX_FARMING_B3_Y4" vbProcedure="false">'08_OpEx'!$J$63</definedName>
    <definedName function="false" hidden="false" name="OPEX_FARMING_B3_Y5" vbProcedure="false">'08_OpEx'!$K$63</definedName>
    <definedName function="false" hidden="false" name="OPEX_FARMING_B3_Y6" vbProcedure="false">'08_OpEx'!$L$63</definedName>
    <definedName function="false" hidden="false" name="OPEX_FARMING_B3_YM1" vbProcedure="false">'08_OpEx'!$E$63</definedName>
    <definedName function="false" hidden="false" name="OPEX_GENETICS_Y0" vbProcedure="false">'08_OpEx'!$F$68</definedName>
    <definedName function="false" hidden="false" name="OPEX_GENETICS_Y1" vbProcedure="false">'08_OpEx'!$G$68</definedName>
    <definedName function="false" hidden="false" name="OPEX_GENETICS_Y2" vbProcedure="false">'08_OpEx'!$H$68</definedName>
    <definedName function="false" hidden="false" name="OPEX_GENETICS_Y3" vbProcedure="false">'08_OpEx'!$I$68</definedName>
    <definedName function="false" hidden="false" name="OPEX_GENETICS_Y4" vbProcedure="false">'08_OpEx'!$J$68</definedName>
    <definedName function="false" hidden="false" name="OPEX_GENETICS_Y5" vbProcedure="false">'08_OpEx'!$K$68</definedName>
    <definedName function="false" hidden="false" name="OPEX_GENETICS_Y6" vbProcedure="false">'08_OpEx'!$L$68</definedName>
    <definedName function="false" hidden="false" name="OPEX_GENETICS_YM1" vbProcedure="false">'08_OpEx'!$E$68</definedName>
    <definedName function="false" hidden="false" name="OPEX_TOTAL_Y0" vbProcedure="false">'08_OpEx'!$F$71</definedName>
    <definedName function="false" hidden="false" name="OPEX_TOTAL_Y1" vbProcedure="false">'08_OpEx'!$G$71</definedName>
    <definedName function="false" hidden="false" name="OPEX_TOTAL_Y2" vbProcedure="false">'08_OpEx'!$H$71</definedName>
    <definedName function="false" hidden="false" name="OPEX_TOTAL_Y3" vbProcedure="false">'08_OpEx'!$I$71</definedName>
    <definedName function="false" hidden="false" name="OPEX_TOTAL_Y4" vbProcedure="false">'08_OpEx'!$J$71</definedName>
    <definedName function="false" hidden="false" name="OPEX_TOTAL_Y5" vbProcedure="false">'08_OpEx'!$K$71</definedName>
    <definedName function="false" hidden="false" name="OPEX_TOTAL_Y6" vbProcedure="false">'08_OpEx'!$L$71</definedName>
    <definedName function="false" hidden="false" name="OPEX_TOTAL_YM1" vbProcedure="false">'08_OpEx'!$E$71</definedName>
    <definedName function="false" hidden="false" name="OUT_CFADS_Y0" vbProcedure="false">'17_Outputs'!$F$11</definedName>
    <definedName function="false" hidden="false" name="OUT_CFADS_Y1" vbProcedure="false">'17_Outputs'!$G$11</definedName>
    <definedName function="false" hidden="false" name="OUT_CFADS_Y2" vbProcedure="false">'17_Outputs'!$H$11</definedName>
    <definedName function="false" hidden="false" name="OUT_CFADS_Y3" vbProcedure="false">'17_Outputs'!$I$11</definedName>
    <definedName function="false" hidden="false" name="OUT_CFADS_Y4" vbProcedure="false">'17_Outputs'!$J$11</definedName>
    <definedName function="false" hidden="false" name="OUT_CFADS_Y5" vbProcedure="false">'17_Outputs'!$K$11</definedName>
    <definedName function="false" hidden="false" name="OUT_CFADS_Y6" vbProcedure="false">'17_Outputs'!$L$11</definedName>
    <definedName function="false" hidden="false" name="OUT_CFADS_YM1" vbProcedure="false">'17_Outputs'!$E$11</definedName>
    <definedName function="false" hidden="false" name="OUT_DSCR_Y0" vbProcedure="false">'17_Outputs'!$F$22</definedName>
    <definedName function="false" hidden="false" name="OUT_DSCR_Y1" vbProcedure="false">'17_Outputs'!$G$22</definedName>
    <definedName function="false" hidden="false" name="OUT_DSCR_Y2" vbProcedure="false">'17_Outputs'!$H$22</definedName>
    <definedName function="false" hidden="false" name="OUT_DSCR_Y3" vbProcedure="false">'17_Outputs'!$I$22</definedName>
    <definedName function="false" hidden="false" name="OUT_DSCR_Y4" vbProcedure="false">'17_Outputs'!$J$22</definedName>
    <definedName function="false" hidden="false" name="OUT_DSCR_Y5" vbProcedure="false">'17_Outputs'!$K$22</definedName>
    <definedName function="false" hidden="false" name="OUT_DSCR_Y6" vbProcedure="false">'17_Outputs'!$L$22</definedName>
    <definedName function="false" hidden="false" name="OUT_DSCR_YM1" vbProcedure="false">'17_Outputs'!$E$22</definedName>
    <definedName function="false" hidden="false" name="OUT_DS_Y0" vbProcedure="false">'17_Outputs'!$F$21</definedName>
    <definedName function="false" hidden="false" name="OUT_DS_Y1" vbProcedure="false">'17_Outputs'!$G$21</definedName>
    <definedName function="false" hidden="false" name="OUT_DS_Y2" vbProcedure="false">'17_Outputs'!$H$21</definedName>
    <definedName function="false" hidden="false" name="OUT_DS_Y3" vbProcedure="false">'17_Outputs'!$I$21</definedName>
    <definedName function="false" hidden="false" name="OUT_DS_Y4" vbProcedure="false">'17_Outputs'!$J$21</definedName>
    <definedName function="false" hidden="false" name="OUT_DS_Y5" vbProcedure="false">'17_Outputs'!$K$21</definedName>
    <definedName function="false" hidden="false" name="OUT_DS_Y6" vbProcedure="false">'17_Outputs'!$L$21</definedName>
    <definedName function="false" hidden="false" name="OUT_DS_YM1" vbProcedure="false">'17_Outputs'!$E$21</definedName>
    <definedName function="false" hidden="false" name="OUT_RETAINED_Y0" vbProcedure="false">'17_Outputs'!$F$18</definedName>
    <definedName function="false" hidden="false" name="OUT_RETAINED_Y1" vbProcedure="false">'17_Outputs'!$G$18</definedName>
    <definedName function="false" hidden="false" name="OUT_RETAINED_Y2" vbProcedure="false">'17_Outputs'!$H$18</definedName>
    <definedName function="false" hidden="false" name="OUT_RETAINED_Y3" vbProcedure="false">'17_Outputs'!$I$18</definedName>
    <definedName function="false" hidden="false" name="OUT_RETAINED_Y4" vbProcedure="false">'17_Outputs'!$J$18</definedName>
    <definedName function="false" hidden="false" name="OUT_RETAINED_Y5" vbProcedure="false">'17_Outputs'!$K$18</definedName>
    <definedName function="false" hidden="false" name="OUT_RETAINED_Y6" vbProcedure="false">'17_Outputs'!$L$18</definedName>
    <definedName function="false" hidden="false" name="OUT_RETAINED_YM1" vbProcedure="false">'17_Outputs'!$E$18</definedName>
    <definedName function="false" hidden="false" name="REVENUE_BEEF_Y0" vbProcedure="false">'07_Revenue'!$F$27</definedName>
    <definedName function="false" hidden="false" name="REVENUE_BEEF_Y1" vbProcedure="false">'07_Revenue'!$G$27</definedName>
    <definedName function="false" hidden="false" name="REVENUE_BEEF_Y2" vbProcedure="false">'07_Revenue'!$H$27</definedName>
    <definedName function="false" hidden="false" name="REVENUE_BEEF_Y3" vbProcedure="false">'07_Revenue'!$I$27</definedName>
    <definedName function="false" hidden="false" name="REVENUE_BEEF_Y4" vbProcedure="false">'07_Revenue'!$J$27</definedName>
    <definedName function="false" hidden="false" name="REVENUE_BEEF_Y5" vbProcedure="false">'07_Revenue'!$K$27</definedName>
    <definedName function="false" hidden="false" name="REVENUE_BEEF_Y6" vbProcedure="false">'07_Revenue'!$L$27</definedName>
    <definedName function="false" hidden="false" name="REVENUE_BEEF_YM1" vbProcedure="false">'07_Revenue'!$E$27</definedName>
    <definedName function="false" hidden="false" name="REVENUE_CEREALS_Y0" vbProcedure="false">'07_Revenue'!$F$42</definedName>
    <definedName function="false" hidden="false" name="REVENUE_CEREALS_Y1" vbProcedure="false">'07_Revenue'!$G$42</definedName>
    <definedName function="false" hidden="false" name="REVENUE_CEREALS_Y2" vbProcedure="false">'07_Revenue'!$H$42</definedName>
    <definedName function="false" hidden="false" name="REVENUE_CEREALS_Y3" vbProcedure="false">'07_Revenue'!$I$42</definedName>
    <definedName function="false" hidden="false" name="REVENUE_CEREALS_Y4" vbProcedure="false">'07_Revenue'!$J$42</definedName>
    <definedName function="false" hidden="false" name="REVENUE_CEREALS_Y5" vbProcedure="false">'07_Revenue'!$K$42</definedName>
    <definedName function="false" hidden="false" name="REVENUE_CEREALS_Y6" vbProcedure="false">'07_Revenue'!$L$42</definedName>
    <definedName function="false" hidden="false" name="REVENUE_CEREALS_YM1" vbProcedure="false">'07_Revenue'!$E$42</definedName>
    <definedName function="false" hidden="false" name="REVENUE_DAIRY_Y0" vbProcedure="false">'07_Revenue'!$F$17</definedName>
    <definedName function="false" hidden="false" name="REVENUE_DAIRY_Y1" vbProcedure="false">'07_Revenue'!$G$17</definedName>
    <definedName function="false" hidden="false" name="REVENUE_DAIRY_Y2" vbProcedure="false">'07_Revenue'!$H$17</definedName>
    <definedName function="false" hidden="false" name="REVENUE_DAIRY_Y3" vbProcedure="false">'07_Revenue'!$I$17</definedName>
    <definedName function="false" hidden="false" name="REVENUE_DAIRY_Y4" vbProcedure="false">'07_Revenue'!$J$17</definedName>
    <definedName function="false" hidden="false" name="REVENUE_DAIRY_Y5" vbProcedure="false">'07_Revenue'!$K$17</definedName>
    <definedName function="false" hidden="false" name="REVENUE_DAIRY_Y6" vbProcedure="false">'07_Revenue'!$L$17</definedName>
    <definedName function="false" hidden="false" name="REVENUE_DAIRY_YM1" vbProcedure="false">'07_Revenue'!$E$17</definedName>
    <definedName function="false" hidden="false" name="REVENUE_TOTAL_Y0" vbProcedure="false">'07_Revenue'!$F$51</definedName>
    <definedName function="false" hidden="false" name="REVENUE_TOTAL_Y1" vbProcedure="false">'07_Revenue'!$G$51</definedName>
    <definedName function="false" hidden="false" name="REVENUE_TOTAL_Y2" vbProcedure="false">'07_Revenue'!$H$51</definedName>
    <definedName function="false" hidden="false" name="REVENUE_TOTAL_Y3" vbProcedure="false">'07_Revenue'!$I$51</definedName>
    <definedName function="false" hidden="false" name="REVENUE_TOTAL_Y4" vbProcedure="false">'07_Revenue'!$J$51</definedName>
    <definedName function="false" hidden="false" name="REVENUE_TOTAL_Y5" vbProcedure="false">'07_Revenue'!$K$51</definedName>
    <definedName function="false" hidden="false" name="REVENUE_TOTAL_Y6" vbProcedure="false">'07_Revenue'!$L$51</definedName>
    <definedName function="false" hidden="false" name="REVENUE_TOTAL_YM1" vbProcedure="false">'07_Revenue'!$E$51</definedName>
    <definedName function="false" hidden="false" name="REVENUE_VEGETABLES_Y0" vbProcedure="false">'07_Revenue'!$F$35</definedName>
    <definedName function="false" hidden="false" name="REVENUE_VEGETABLES_Y1" vbProcedure="false">'07_Revenue'!$G$35</definedName>
    <definedName function="false" hidden="false" name="REVENUE_VEGETABLES_Y2" vbProcedure="false">'07_Revenue'!$H$35</definedName>
    <definedName function="false" hidden="false" name="REVENUE_VEGETABLES_Y3" vbProcedure="false">'07_Revenue'!$I$35</definedName>
    <definedName function="false" hidden="false" name="REVENUE_VEGETABLES_Y4" vbProcedure="false">'07_Revenue'!$J$35</definedName>
    <definedName function="false" hidden="false" name="REVENUE_VEGETABLES_Y5" vbProcedure="false">'07_Revenue'!$K$35</definedName>
    <definedName function="false" hidden="false" name="REVENUE_VEGETABLES_Y6" vbProcedure="false">'07_Revenue'!$L$35</definedName>
    <definedName function="false" hidden="false" name="REVENUE_VEGETABLES_YM1" vbProcedure="false">'07_Revenue'!$E$35</definedName>
    <definedName function="false" hidden="false" name="REV_TOTAL_Y0" vbProcedure="false">'07_Revenue'!$F$51</definedName>
    <definedName function="false" hidden="false" name="REV_TOTAL_Y1" vbProcedure="false">'07_Revenue'!$G$51</definedName>
    <definedName function="false" hidden="false" name="REV_TOTAL_Y2" vbProcedure="false">'07_Revenue'!$H$51</definedName>
    <definedName function="false" hidden="false" name="REV_TOTAL_Y3" vbProcedure="false">'07_Revenue'!$I$51</definedName>
    <definedName function="false" hidden="false" name="REV_TOTAL_Y4" vbProcedure="false">'07_Revenue'!$J$51</definedName>
    <definedName function="false" hidden="false" name="REV_TOTAL_Y5" vbProcedure="false">'07_Revenue'!$K$51</definedName>
    <definedName function="false" hidden="false" name="REV_TOTAL_Y6" vbProcedure="false">'07_Revenue'!$L$51</definedName>
    <definedName function="false" hidden="false" name="REV_TOTAL_YM1" vbProcedure="false">'07_Revenue'!$E$51</definedName>
    <definedName function="false" hidden="false" name="SU_CHECK_Y0" vbProcedure="false">'06_S&amp;U'!$F$86</definedName>
    <definedName function="false" hidden="false" name="SU_CHECK_Y1" vbProcedure="false">'06_S&amp;U'!$G$86</definedName>
    <definedName function="false" hidden="false" name="SU_CHECK_Y2" vbProcedure="false">'06_S&amp;U'!$H$86</definedName>
    <definedName function="false" hidden="false" name="SU_CHECK_Y3" vbProcedure="false">'06_S&amp;U'!$I$86</definedName>
    <definedName function="false" hidden="false" name="SU_CHECK_Y4" vbProcedure="false">'06_S&amp;U'!$J$86</definedName>
    <definedName function="false" hidden="false" name="SU_CHECK_Y5" vbProcedure="false">'06_S&amp;U'!$K$86</definedName>
    <definedName function="false" hidden="false" name="SU_CHECK_Y6" vbProcedure="false">'06_S&amp;U'!$L$86</definedName>
    <definedName function="false" hidden="false" name="SU_CHECK_YM1" vbProcedure="false">'06_S&amp;U'!$E$86</definedName>
    <definedName function="false" hidden="false" name="SU_GAP_Y0" vbProcedure="false">'06_S&amp;U'!$F$80</definedName>
    <definedName function="false" hidden="false" name="SU_GAP_Y1" vbProcedure="false">'06_S&amp;U'!$G$80</definedName>
    <definedName function="false" hidden="false" name="SU_GAP_Y2" vbProcedure="false">'06_S&amp;U'!$H$80</definedName>
    <definedName function="false" hidden="false" name="SU_GAP_Y3" vbProcedure="false">'06_S&amp;U'!$I$80</definedName>
    <definedName function="false" hidden="false" name="SU_GAP_Y4" vbProcedure="false">'06_S&amp;U'!$J$80</definedName>
    <definedName function="false" hidden="false" name="SU_GAP_Y5" vbProcedure="false">'06_S&amp;U'!$K$80</definedName>
    <definedName function="false" hidden="false" name="SU_GAP_Y6" vbProcedure="false">'06_S&amp;U'!$L$80</definedName>
    <definedName function="false" hidden="false" name="SU_GAP_YM1" vbProcedure="false">'06_S&amp;U'!$E$80</definedName>
    <definedName function="false" hidden="false" name="SU_TOTAL_SOURCES_Y0" vbProcedure="false">'06_S&amp;U'!$F$82</definedName>
    <definedName function="false" hidden="false" name="SU_TOTAL_SOURCES_Y1" vbProcedure="false">'06_S&amp;U'!$G$82</definedName>
    <definedName function="false" hidden="false" name="SU_TOTAL_SOURCES_Y2" vbProcedure="false">'06_S&amp;U'!$H$82</definedName>
    <definedName function="false" hidden="false" name="SU_TOTAL_SOURCES_Y3" vbProcedure="false">'06_S&amp;U'!$I$82</definedName>
    <definedName function="false" hidden="false" name="SU_TOTAL_SOURCES_Y4" vbProcedure="false">'06_S&amp;U'!$J$82</definedName>
    <definedName function="false" hidden="false" name="SU_TOTAL_SOURCES_Y5" vbProcedure="false">'06_S&amp;U'!$K$82</definedName>
    <definedName function="false" hidden="false" name="SU_TOTAL_SOURCES_Y6" vbProcedure="false">'06_S&amp;U'!$L$82</definedName>
    <definedName function="false" hidden="false" name="SU_TOTAL_SOURCES_YM1" vbProcedure="false">'06_S&amp;U'!$E$82</definedName>
    <definedName function="false" hidden="false" name="SU_TOTAL_USES_Y0" vbProcedure="false">'06_S&amp;U'!$F$52</definedName>
    <definedName function="false" hidden="false" name="SU_TOTAL_USES_Y1" vbProcedure="false">'06_S&amp;U'!$G$52</definedName>
    <definedName function="false" hidden="false" name="SU_TOTAL_USES_Y2" vbProcedure="false">'06_S&amp;U'!$H$52</definedName>
    <definedName function="false" hidden="false" name="SU_TOTAL_USES_Y3" vbProcedure="false">'06_S&amp;U'!$I$52</definedName>
    <definedName function="false" hidden="false" name="SU_TOTAL_USES_Y4" vbProcedure="false">'06_S&amp;U'!$J$52</definedName>
    <definedName function="false" hidden="false" name="SU_TOTAL_USES_Y5" vbProcedure="false">'06_S&amp;U'!$K$52</definedName>
    <definedName function="false" hidden="false" name="SU_TOTAL_USES_Y6" vbProcedure="false">'06_S&amp;U'!$L$52</definedName>
    <definedName function="false" hidden="false" name="SU_TOTAL_USES_YM1" vbProcedure="false">'06_S&amp;U'!$E$52</definedName>
    <definedName function="false" hidden="false" name="TAX_CURRENT_Y0" vbProcedure="false">'13_Tax'!$F$22</definedName>
    <definedName function="false" hidden="false" name="TAX_CURRENT_Y1" vbProcedure="false">'13_Tax'!$G$22</definedName>
    <definedName function="false" hidden="false" name="TAX_CURRENT_Y2" vbProcedure="false">'13_Tax'!$H$22</definedName>
    <definedName function="false" hidden="false" name="TAX_CURRENT_Y3" vbProcedure="false">'13_Tax'!$I$22</definedName>
    <definedName function="false" hidden="false" name="TAX_CURRENT_Y4" vbProcedure="false">'13_Tax'!$J$22</definedName>
    <definedName function="false" hidden="false" name="TAX_CURRENT_Y5" vbProcedure="false">'13_Tax'!$K$22</definedName>
    <definedName function="false" hidden="false" name="TAX_CURRENT_Y6" vbProcedure="false">'13_Tax'!$L$22</definedName>
    <definedName function="false" hidden="false" name="TAX_CURRENT_YM1" vbProcedure="false">'13_Tax'!$E$22</definedName>
    <definedName function="false" hidden="false" name="TAX_CUR_Y0" vbProcedure="false">'13_Tax'!$F$22</definedName>
    <definedName function="false" hidden="false" name="TAX_CUR_Y1" vbProcedure="false">'13_Tax'!$G$22</definedName>
    <definedName function="false" hidden="false" name="TAX_CUR_Y2" vbProcedure="false">'13_Tax'!$H$22</definedName>
    <definedName function="false" hidden="false" name="TAX_CUR_Y3" vbProcedure="false">'13_Tax'!$I$22</definedName>
    <definedName function="false" hidden="false" name="TAX_CUR_Y4" vbProcedure="false">'13_Tax'!$J$22</definedName>
    <definedName function="false" hidden="false" name="TAX_CUR_Y5" vbProcedure="false">'13_Tax'!$K$22</definedName>
    <definedName function="false" hidden="false" name="TAX_CUR_Y6" vbProcedure="false">'13_Tax'!$L$22</definedName>
    <definedName function="false" hidden="false" name="TAX_CUR_YM1" vbProcedure="false">'13_Tax'!$E$22</definedName>
    <definedName function="false" hidden="false" name="TAX_DTL_MV_Y0" vbProcedure="false">'13_Tax'!$F$25</definedName>
    <definedName function="false" hidden="false" name="TAX_DTL_MV_Y1" vbProcedure="false">'13_Tax'!$G$25</definedName>
    <definedName function="false" hidden="false" name="TAX_DTL_MV_Y2" vbProcedure="false">'13_Tax'!$H$25</definedName>
    <definedName function="false" hidden="false" name="TAX_DTL_MV_Y3" vbProcedure="false">'13_Tax'!$I$25</definedName>
    <definedName function="false" hidden="false" name="TAX_DTL_MV_Y4" vbProcedure="false">'13_Tax'!$J$25</definedName>
    <definedName function="false" hidden="false" name="TAX_DTL_MV_Y5" vbProcedure="false">'13_Tax'!$K$25</definedName>
    <definedName function="false" hidden="false" name="TAX_DTL_MV_Y6" vbProcedure="false">'13_Tax'!$L$25</definedName>
    <definedName function="false" hidden="false" name="TAX_DTL_MV_YM1" vbProcedure="false">'13_Tax'!$E$25</definedName>
    <definedName function="false" hidden="false" name="TAX_HOLIDAY_Y0" vbProcedure="false">'13_Tax'!$F$14</definedName>
    <definedName function="false" hidden="false" name="TAX_HOLIDAY_Y1" vbProcedure="false">'13_Tax'!$G$14</definedName>
    <definedName function="false" hidden="false" name="TAX_HOLIDAY_Y2" vbProcedure="false">'13_Tax'!$H$14</definedName>
    <definedName function="false" hidden="false" name="TAX_HOLIDAY_Y3" vbProcedure="false">'13_Tax'!$I$14</definedName>
    <definedName function="false" hidden="false" name="TAX_HOLIDAY_Y4" vbProcedure="false">'13_Tax'!$J$14</definedName>
    <definedName function="false" hidden="false" name="TAX_HOLIDAY_Y5" vbProcedure="false">'13_Tax'!$K$14</definedName>
    <definedName function="false" hidden="false" name="TAX_HOLIDAY_Y6" vbProcedure="false">'13_Tax'!$L$14</definedName>
    <definedName function="false" hidden="false" name="TAX_HOLIDAY_YM1" vbProcedure="false">'13_Tax'!$E$14</definedName>
    <definedName function="false" hidden="false" name="TAX_NOL_Y0" vbProcedure="false">'13_Tax'!$F$19</definedName>
    <definedName function="false" hidden="false" name="TAX_NOL_Y1" vbProcedure="false">'13_Tax'!$G$19</definedName>
    <definedName function="false" hidden="false" name="TAX_NOL_Y2" vbProcedure="false">'13_Tax'!$H$19</definedName>
    <definedName function="false" hidden="false" name="TAX_NOL_Y3" vbProcedure="false">'13_Tax'!$I$19</definedName>
    <definedName function="false" hidden="false" name="TAX_NOL_Y4" vbProcedure="false">'13_Tax'!$J$19</definedName>
    <definedName function="false" hidden="false" name="TAX_NOL_Y5" vbProcedure="false">'13_Tax'!$K$19</definedName>
    <definedName function="false" hidden="false" name="TAX_NOL_Y6" vbProcedure="false">'13_Tax'!$L$19</definedName>
    <definedName function="false" hidden="false" name="TAX_NOL_YM1" vbProcedure="false">'13_Tax'!$E$19</definedName>
    <definedName function="false" hidden="false" name="TAX_PRETAX_Y0" vbProcedure="false">'13_Tax'!$F$12</definedName>
    <definedName function="false" hidden="false" name="TAX_PRETAX_Y1" vbProcedure="false">'13_Tax'!$G$12</definedName>
    <definedName function="false" hidden="false" name="TAX_PRETAX_Y2" vbProcedure="false">'13_Tax'!$H$12</definedName>
    <definedName function="false" hidden="false" name="TAX_PRETAX_Y3" vbProcedure="false">'13_Tax'!$I$12</definedName>
    <definedName function="false" hidden="false" name="TAX_PRETAX_Y4" vbProcedure="false">'13_Tax'!$J$12</definedName>
    <definedName function="false" hidden="false" name="TAX_PRETAX_Y5" vbProcedure="false">'13_Tax'!$K$12</definedName>
    <definedName function="false" hidden="false" name="TAX_PRETAX_Y6" vbProcedure="false">'13_Tax'!$L$12</definedName>
    <definedName function="false" hidden="false" name="TAX_PRETAX_YM1" vbProcedure="false">'13_Tax'!$E$12</definedName>
    <definedName function="false" hidden="false" name="TAX_TAXABLE_Y0" vbProcedure="false">'13_Tax'!$F$21</definedName>
    <definedName function="false" hidden="false" name="TAX_TAXABLE_Y1" vbProcedure="false">'13_Tax'!$G$21</definedName>
    <definedName function="false" hidden="false" name="TAX_TAXABLE_Y2" vbProcedure="false">'13_Tax'!$H$21</definedName>
    <definedName function="false" hidden="false" name="TAX_TAXABLE_Y3" vbProcedure="false">'13_Tax'!$I$21</definedName>
    <definedName function="false" hidden="false" name="TAX_TAXABLE_Y4" vbProcedure="false">'13_Tax'!$J$21</definedName>
    <definedName function="false" hidden="false" name="TAX_TAXABLE_Y5" vbProcedure="false">'13_Tax'!$K$21</definedName>
    <definedName function="false" hidden="false" name="TAX_TAXABLE_Y6" vbProcedure="false">'13_Tax'!$L$21</definedName>
    <definedName function="false" hidden="false" name="TAX_TAXABLE_YM1" vbProcedure="false">'13_Tax'!$E$21</definedName>
    <definedName function="false" hidden="false" name="TAX_TOTAL_Y0" vbProcedure="false">'13_Tax'!$F$26</definedName>
    <definedName function="false" hidden="false" name="TAX_TOTAL_Y1" vbProcedure="false">'13_Tax'!$G$26</definedName>
    <definedName function="false" hidden="false" name="TAX_TOTAL_Y2" vbProcedure="false">'13_Tax'!$H$26</definedName>
    <definedName function="false" hidden="false" name="TAX_TOTAL_Y3" vbProcedure="false">'13_Tax'!$I$26</definedName>
    <definedName function="false" hidden="false" name="TAX_TOTAL_Y4" vbProcedure="false">'13_Tax'!$J$26</definedName>
    <definedName function="false" hidden="false" name="TAX_TOTAL_Y5" vbProcedure="false">'13_Tax'!$K$26</definedName>
    <definedName function="false" hidden="false" name="TAX_TOTAL_Y6" vbProcedure="false">'13_Tax'!$L$26</definedName>
    <definedName function="false" hidden="false" name="TAX_TOTAL_YM1" vbProcedure="false">'13_Tax'!$E$26</definedName>
    <definedName function="false" hidden="false" name="TRAIN_CAP_ACCOMMODATION_Y0" vbProcedure="false">'03_Training'!$F$32</definedName>
    <definedName function="false" hidden="false" name="TRAIN_CAP_ACCOMMODATION_Y1" vbProcedure="false">'03_Training'!$G$32</definedName>
    <definedName function="false" hidden="false" name="TRAIN_CAP_ACCOMMODATION_Y2" vbProcedure="false">'03_Training'!$H$32</definedName>
    <definedName function="false" hidden="false" name="TRAIN_CAP_ACCOMMODATION_Y3" vbProcedure="false">'03_Training'!$I$32</definedName>
    <definedName function="false" hidden="false" name="TRAIN_CAP_ACCOMMODATION_Y4" vbProcedure="false">'03_Training'!$J$32</definedName>
    <definedName function="false" hidden="false" name="TRAIN_CAP_ACCOMMODATION_Y5" vbProcedure="false">'03_Training'!$K$32</definedName>
    <definedName function="false" hidden="false" name="TRAIN_CAP_ACCOMMODATION_Y6" vbProcedure="false">'03_Training'!$L$32</definedName>
    <definedName function="false" hidden="false" name="TRAIN_CAP_ACCOMMODATION_YM1" vbProcedure="false">'03_Training'!$E$32</definedName>
    <definedName function="false" hidden="false" name="TRAIN_CAP_CURRICULUM_Y0" vbProcedure="false">'03_Training'!$F$18</definedName>
    <definedName function="false" hidden="false" name="TRAIN_CAP_CURRICULUM_Y1" vbProcedure="false">'03_Training'!$G$18</definedName>
    <definedName function="false" hidden="false" name="TRAIN_CAP_CURRICULUM_Y2" vbProcedure="false">'03_Training'!$H$18</definedName>
    <definedName function="false" hidden="false" name="TRAIN_CAP_CURRICULUM_Y3" vbProcedure="false">'03_Training'!$I$18</definedName>
    <definedName function="false" hidden="false" name="TRAIN_CAP_CURRICULUM_Y4" vbProcedure="false">'03_Training'!$J$18</definedName>
    <definedName function="false" hidden="false" name="TRAIN_CAP_CURRICULUM_Y5" vbProcedure="false">'03_Training'!$K$18</definedName>
    <definedName function="false" hidden="false" name="TRAIN_CAP_CURRICULUM_Y6" vbProcedure="false">'03_Training'!$L$18</definedName>
    <definedName function="false" hidden="false" name="TRAIN_CAP_CURRICULUM_YM1" vbProcedure="false">'03_Training'!$E$18</definedName>
    <definedName function="false" hidden="false" name="TRAIN_CAP_MONITORING_Y0" vbProcedure="false">'03_Training'!$F$37</definedName>
    <definedName function="false" hidden="false" name="TRAIN_CAP_MONITORING_Y1" vbProcedure="false">'03_Training'!$G$37</definedName>
    <definedName function="false" hidden="false" name="TRAIN_CAP_MONITORING_Y2" vbProcedure="false">'03_Training'!$H$37</definedName>
    <definedName function="false" hidden="false" name="TRAIN_CAP_MONITORING_Y3" vbProcedure="false">'03_Training'!$I$37</definedName>
    <definedName function="false" hidden="false" name="TRAIN_CAP_MONITORING_Y4" vbProcedure="false">'03_Training'!$J$37</definedName>
    <definedName function="false" hidden="false" name="TRAIN_CAP_MONITORING_Y5" vbProcedure="false">'03_Training'!$K$37</definedName>
    <definedName function="false" hidden="false" name="TRAIN_CAP_MONITORING_Y6" vbProcedure="false">'03_Training'!$L$37</definedName>
    <definedName function="false" hidden="false" name="TRAIN_CAP_MONITORING_YM1" vbProcedure="false">'03_Training'!$E$37</definedName>
    <definedName function="false" hidden="false" name="TRAIN_CAP_PLATEAUX_Y0" vbProcedure="false">'03_Training'!$F$26</definedName>
    <definedName function="false" hidden="false" name="TRAIN_CAP_PLATEAUX_Y1" vbProcedure="false">'03_Training'!$G$26</definedName>
    <definedName function="false" hidden="false" name="TRAIN_CAP_PLATEAUX_Y2" vbProcedure="false">'03_Training'!$H$26</definedName>
    <definedName function="false" hidden="false" name="TRAIN_CAP_PLATEAUX_Y3" vbProcedure="false">'03_Training'!$I$26</definedName>
    <definedName function="false" hidden="false" name="TRAIN_CAP_PLATEAUX_Y4" vbProcedure="false">'03_Training'!$J$26</definedName>
    <definedName function="false" hidden="false" name="TRAIN_CAP_PLATEAUX_Y5" vbProcedure="false">'03_Training'!$K$26</definedName>
    <definedName function="false" hidden="false" name="TRAIN_CAP_PLATEAUX_Y6" vbProcedure="false">'03_Training'!$L$26</definedName>
    <definedName function="false" hidden="false" name="TRAIN_CAP_PLATEAUX_YM1" vbProcedure="false">'03_Training'!$E$26</definedName>
    <definedName function="false" hidden="false" name="TRAIN_CAP_TOTAL_Y0" vbProcedure="false">'03_Training'!$F$7</definedName>
    <definedName function="false" hidden="false" name="TRAIN_CAP_TOTAL_Y1" vbProcedure="false">'03_Training'!$G$7</definedName>
    <definedName function="false" hidden="false" name="TRAIN_CAP_TOTAL_Y2" vbProcedure="false">'03_Training'!$H$7</definedName>
    <definedName function="false" hidden="false" name="TRAIN_CAP_TOTAL_Y3" vbProcedure="false">'03_Training'!$I$7</definedName>
    <definedName function="false" hidden="false" name="TRAIN_CAP_TOTAL_Y4" vbProcedure="false">'03_Training'!$J$7</definedName>
    <definedName function="false" hidden="false" name="TRAIN_CAP_TOTAL_Y5" vbProcedure="false">'03_Training'!$K$7</definedName>
    <definedName function="false" hidden="false" name="TRAIN_CAP_TOTAL_Y6" vbProcedure="false">'03_Training'!$L$7</definedName>
    <definedName function="false" hidden="false" name="TRAIN_CAP_TOTAL_YM1" vbProcedure="false">'03_Training'!$E$7</definedName>
    <definedName function="false" hidden="false" name="TRAIN_REC_TOTAL_Y0" vbProcedure="false">'03_Training'!$F$8</definedName>
    <definedName function="false" hidden="false" name="TRAIN_REC_TOTAL_Y1" vbProcedure="false">'03_Training'!$G$8</definedName>
    <definedName function="false" hidden="false" name="TRAIN_REC_TOTAL_Y2" vbProcedure="false">'03_Training'!$H$8</definedName>
    <definedName function="false" hidden="false" name="TRAIN_REC_TOTAL_Y3" vbProcedure="false">'03_Training'!$I$8</definedName>
    <definedName function="false" hidden="false" name="TRAIN_REC_TOTAL_Y4" vbProcedure="false">'03_Training'!$J$8</definedName>
    <definedName function="false" hidden="false" name="TRAIN_REC_TOTAL_Y5" vbProcedure="false">'03_Training'!$K$8</definedName>
    <definedName function="false" hidden="false" name="TRAIN_REC_TOTAL_Y6" vbProcedure="false">'03_Training'!$L$8</definedName>
    <definedName function="false" hidden="false" name="TRAIN_REC_TOTAL_YM1" vbProcedure="false">'03_Training'!$E$8</definedName>
    <definedName function="false" hidden="false" name="TRAIN_REVENUE_Y0" vbProcedure="false">'03_Training'!$F$9</definedName>
    <definedName function="false" hidden="false" name="TRAIN_REVENUE_Y1" vbProcedure="false">'03_Training'!$G$9</definedName>
    <definedName function="false" hidden="false" name="TRAIN_REVENUE_Y2" vbProcedure="false">'03_Training'!$H$9</definedName>
    <definedName function="false" hidden="false" name="TRAIN_REVENUE_Y3" vbProcedure="false">'03_Training'!$I$9</definedName>
    <definedName function="false" hidden="false" name="TRAIN_REVENUE_Y4" vbProcedure="false">'03_Training'!$J$9</definedName>
    <definedName function="false" hidden="false" name="TRAIN_REVENUE_Y5" vbProcedure="false">'03_Training'!$K$9</definedName>
    <definedName function="false" hidden="false" name="TRAIN_REVENUE_Y6" vbProcedure="false">'03_Training'!$L$9</definedName>
    <definedName function="false" hidden="false" name="TRAIN_REVENUE_YM1" vbProcedure="false">'03_Training'!$E$9</definedName>
    <definedName function="false" hidden="false" name="WC_AP_D_Y0" vbProcedure="false">'12_WC'!$F$13</definedName>
    <definedName function="false" hidden="false" name="WC_AP_D_Y1" vbProcedure="false">'12_WC'!$G$13</definedName>
    <definedName function="false" hidden="false" name="WC_AP_D_Y2" vbProcedure="false">'12_WC'!$H$13</definedName>
    <definedName function="false" hidden="false" name="WC_AP_D_Y3" vbProcedure="false">'12_WC'!$I$13</definedName>
    <definedName function="false" hidden="false" name="WC_AP_D_Y4" vbProcedure="false">'12_WC'!$J$13</definedName>
    <definedName function="false" hidden="false" name="WC_AP_D_Y5" vbProcedure="false">'12_WC'!$K$13</definedName>
    <definedName function="false" hidden="false" name="WC_AP_D_Y6" vbProcedure="false">'12_WC'!$L$13</definedName>
    <definedName function="false" hidden="false" name="WC_AP_D_YM1" vbProcedure="false">'12_WC'!$E$13</definedName>
    <definedName function="false" hidden="false" name="WC_AP_Y0" vbProcedure="false">'12_WC'!$F$9</definedName>
    <definedName function="false" hidden="false" name="WC_AP_Y1" vbProcedure="false">'12_WC'!$G$9</definedName>
    <definedName function="false" hidden="false" name="WC_AP_Y2" vbProcedure="false">'12_WC'!$H$9</definedName>
    <definedName function="false" hidden="false" name="WC_AP_Y3" vbProcedure="false">'12_WC'!$I$9</definedName>
    <definedName function="false" hidden="false" name="WC_AP_Y4" vbProcedure="false">'12_WC'!$J$9</definedName>
    <definedName function="false" hidden="false" name="WC_AP_Y5" vbProcedure="false">'12_WC'!$K$9</definedName>
    <definedName function="false" hidden="false" name="WC_AP_Y6" vbProcedure="false">'12_WC'!$L$9</definedName>
    <definedName function="false" hidden="false" name="WC_AP_YM1" vbProcedure="false">'12_WC'!$E$9</definedName>
    <definedName function="false" hidden="false" name="WC_AR_D_Y0" vbProcedure="false">'12_WC'!$F$12</definedName>
    <definedName function="false" hidden="false" name="WC_AR_D_Y1" vbProcedure="false">'12_WC'!$G$12</definedName>
    <definedName function="false" hidden="false" name="WC_AR_D_Y2" vbProcedure="false">'12_WC'!$H$12</definedName>
    <definedName function="false" hidden="false" name="WC_AR_D_Y3" vbProcedure="false">'12_WC'!$I$12</definedName>
    <definedName function="false" hidden="false" name="WC_AR_D_Y4" vbProcedure="false">'12_WC'!$J$12</definedName>
    <definedName function="false" hidden="false" name="WC_AR_D_Y5" vbProcedure="false">'12_WC'!$K$12</definedName>
    <definedName function="false" hidden="false" name="WC_AR_D_Y6" vbProcedure="false">'12_WC'!$L$12</definedName>
    <definedName function="false" hidden="false" name="WC_AR_D_YM1" vbProcedure="false">'12_WC'!$E$12</definedName>
    <definedName function="false" hidden="false" name="WC_AR_Y0" vbProcedure="false">'12_WC'!$F$8</definedName>
    <definedName function="false" hidden="false" name="WC_AR_Y1" vbProcedure="false">'12_WC'!$G$8</definedName>
    <definedName function="false" hidden="false" name="WC_AR_Y2" vbProcedure="false">'12_WC'!$H$8</definedName>
    <definedName function="false" hidden="false" name="WC_AR_Y3" vbProcedure="false">'12_WC'!$I$8</definedName>
    <definedName function="false" hidden="false" name="WC_AR_Y4" vbProcedure="false">'12_WC'!$J$8</definedName>
    <definedName function="false" hidden="false" name="WC_AR_Y5" vbProcedure="false">'12_WC'!$K$8</definedName>
    <definedName function="false" hidden="false" name="WC_AR_Y6" vbProcedure="false">'12_WC'!$L$8</definedName>
    <definedName function="false" hidden="false" name="WC_AR_YM1" vbProcedure="false">'12_WC'!$E$8</definedName>
    <definedName function="false" hidden="false" name="WC_IMPACT_Y0" vbProcedure="false">'12_WC'!$F$15</definedName>
    <definedName function="false" hidden="false" name="WC_IMPACT_Y1" vbProcedure="false">'12_WC'!$G$15</definedName>
    <definedName function="false" hidden="false" name="WC_IMPACT_Y2" vbProcedure="false">'12_WC'!$H$15</definedName>
    <definedName function="false" hidden="false" name="WC_IMPACT_Y3" vbProcedure="false">'12_WC'!$I$15</definedName>
    <definedName function="false" hidden="false" name="WC_IMPACT_Y4" vbProcedure="false">'12_WC'!$J$15</definedName>
    <definedName function="false" hidden="false" name="WC_IMPACT_Y5" vbProcedure="false">'12_WC'!$K$15</definedName>
    <definedName function="false" hidden="false" name="WC_IMPACT_Y6" vbProcedure="false">'12_WC'!$L$15</definedName>
    <definedName function="false" hidden="false" name="WC_IMPACT_YM1" vbProcedure="false">'12_WC'!$E$15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framework</author>
  </authors>
  <commentList>
    <comment ref="D5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Assumption: parameter from incubateur_l1_assumptions.yaml. Section: X — Programme primitives (derivations source of truth).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Assumption: parameter from incubateur_l1_assumptions.yaml. Section: A — Programme structure.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Assumption: parameter from incubateur_l1_assumptions.yaml. Section: B — Training throughput (O1).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Assumption: parameter from incubateur_l1_assumptions.yaml. Section: C — Cost per trainee by filière.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Assumption: parameter from incubateur_l1_assumptions.yaml. Section: D — Trainer team.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Assumption: parameter from incubateur_l1_assumptions.yaml. Section: E — Agriculture &amp; livestock (O2).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Assumption: parameter from incubateur_l1_assumptions.yaml. Section: F — Housing.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Assumption: parameter from incubateur_l1_assumptions.yaml. Section: F — Housing.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Assumption: parameter from incubateur_l1_assumptions.yaml. Section: F — Housing.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Assumption: parameter from incubateur_l1_assumptions.yaml. Section: F — Housing.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Assumption: parameter from incubateur_l1_assumptions.yaml. Section: F — Housing.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Assumption: parameter from incubateur_l1_assumptions.yaml. Section: F — Housing.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Assumption: parameter from incubateur_l1_assumptions.yaml. Section: F — Housing.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Assumption: parameter from incubateur_l1_assumptions.yaml. Section: G — Pre-programme B2.0 (Y-1).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Assumption: parameter from incubateur_l1_assumptions.yaml. Section: H — Monitoring, certification, communication (B2.7).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Assumption: parameter from incubateur_l1_assumptions.yaml. Section: I — Physical CAPEX unit costs B1 (Track 1 per-UOF modules).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Assumption: parameter from incubateur_l1_assumptions.yaml. Section: J — Structuration B3.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Assumption: parameter from incubateur_l1_assumptions.yaml. Section: J — Structuration B3.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Assumption: parameter from incubateur_l1_assumptions.yaml. Section: J — Structuration B3.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Assumption: parameter from incubateur_l1_assumptions.yaml. Section: J — Structuration B3.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Assumption: parameter from incubateur_l1_assumptions.yaml. Section: J — Structuration B3.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Assumption: parameter from incubateur_l1_assumptions.yaml. Section: J — Structuration B3.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Assumption: parameter from incubateur_l1_assumptions.yaml. Section: K — Reserves B4.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Assumption: parameter from incubateur_l1_assumptions.yaml. Section: K — Reserves B4.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Assumption: parameter from incubateur_l1_assumptions.yaml. Section: K — Reserves B4.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Assumption: parameter from incubateur_l1_assumptions.yaml. Section: K — Reserves B4.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Assumption: parameter from incubateur_l1_assumptions.yaml. Section: K — Reserves B4.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Assumption: parameter from incubateur_l1_assumptions.yaml. Section: K — Reserves B4.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Assumption: parameter from incubateur_l1_assumptions.yaml. Section: K — Reserves B4.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Assumption: parameter from incubateur_l1_assumptions.yaml. Section: L — Funding (provider-agnostic).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Assumption: parameter from incubateur_l1_assumptions.yaml. Section: M — Financial parameters.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Assumption: parameter from incubateur_l1_assumptions.yaml. Section: M — Financial parameters.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Assumption: parameter from incubateur_l1_assumptions.yaml. Section: M — Financial parameters.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Assumption: parameter from incubateur_l1_assumptions.yaml. Section: M — Financial parameters.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Assumption: parameter from incubateur_l1_assumptions.yaml. Section: M — Financial parameters.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Assumption: parameter from incubateur_l1_assumptions.yaml. Section: M — Financial parameters.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Assumption: parameter from incubateur_l1_assumptions.yaml. Section: M — Financial parameters.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Assumption: parameter from incubateur_l1_assumptions.yaml. Section: N — Financial schedule parameters (tabs 06–11).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Assumption: parameter from incubateur_l1_assumptions.yaml. Section: O — Training programme economics.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Assumption: parameter from incubateur_l1_assumptions.yaml. Section: P — Farming direct — crop inputs &amp; livestock.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Assumption: parameter from incubateur_l1_assumptions.yaml. Section: Q — Énergie / Eau (E4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Assumption: parameter from incubateur_l1_assumptions.yaml. Section: R — Mécanisation (E5 cost model, direct).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Assumption: parameter from incubateur_l1_assumptions.yaml. Section: S — Génétique animale (Bloc 3.A — TDR + D-ARCH-004/006/007).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Assumption: parameter from incubateur_l1_assumptions.yaml. Section: T — Génétique végétale (Bloc 3.B — D-ARCH-005/007/008/009). v11 placeholder — replace with citation in Phase 2.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2</xdr:col>
                <xdr:colOff>-132</xdr:colOff>
                <xdr:row>3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<sst xmlns="http://schemas.openxmlformats.org/spreadsheetml/2006/main" count="1897" uniqueCount="999">
  <si>
    <t xml:space="preserve">3 Fermes Incubatrices  ·  Financial Model L1 v11</t>
  </si>
  <si>
    <t xml:space="preserve">Built via xlsx_build/ framework (declarative TabSpec + procedural helpers)</t>
  </si>
  <si>
    <t xml:space="preserve">MODEL STATUS</t>
  </si>
  <si>
    <t xml:space="preserve">Check</t>
  </si>
  <si>
    <t xml:space="preserve">Description</t>
  </si>
  <si>
    <t xml:space="preserve">Fails</t>
  </si>
  <si>
    <t xml:space="preserve">L1</t>
  </si>
  <si>
    <t xml:space="preserve">S&amp;U balance</t>
  </si>
  <si>
    <t xml:space="preserve">L2</t>
  </si>
  <si>
    <t xml:space="preserve">CWIP zero at COD</t>
  </si>
  <si>
    <t xml:space="preserve">L3</t>
  </si>
  <si>
    <t xml:space="preserve">Book NBV ≥ 0</t>
  </si>
  <si>
    <t xml:space="preserve">L4</t>
  </si>
  <si>
    <t xml:space="preserve">DTL ≥ 0</t>
  </si>
  <si>
    <t xml:space="preserve">L5</t>
  </si>
  <si>
    <t xml:space="preserve">Debt ≥ 0</t>
  </si>
  <si>
    <t xml:space="preserve">L6</t>
  </si>
  <si>
    <t xml:space="preserve">BS balance</t>
  </si>
  <si>
    <t xml:space="preserve">L7</t>
  </si>
  <si>
    <t xml:space="preserve">Cash floor ≥ 0</t>
  </si>
  <si>
    <t xml:space="preserve">L8</t>
  </si>
  <si>
    <t xml:space="preserve">NOL ≥ 0</t>
  </si>
  <si>
    <t xml:space="preserve">L9</t>
  </si>
  <si>
    <t xml:space="preserve">DTL closing ≥ 0</t>
  </si>
  <si>
    <t xml:space="preserve">L11</t>
  </si>
  <si>
    <t xml:space="preserve">CFS reconciliation</t>
  </si>
  <si>
    <t xml:space="preserve">L12</t>
  </si>
  <si>
    <t xml:space="preserve">IS EBITDA arithmetic</t>
  </si>
  <si>
    <t xml:space="preserve">L13</t>
  </si>
  <si>
    <t xml:space="preserve">IS pre-tax consistency</t>
  </si>
  <si>
    <t xml:space="preserve">L14</t>
  </si>
  <si>
    <t xml:space="preserve">Named range smoke test</t>
  </si>
  <si>
    <t xml:space="preserve">KPI SNAPSHOT — steady-state (Y6)</t>
  </si>
  <si>
    <t xml:space="preserve">Revenue SS</t>
  </si>
  <si>
    <t xml:space="preserve">OpEx SS  (farming)</t>
  </si>
  <si>
    <t xml:space="preserve">EBITDA SS</t>
  </si>
  <si>
    <t xml:space="preserve">CFADS SS</t>
  </si>
  <si>
    <t xml:space="preserve">Debt outstanding Y6</t>
  </si>
  <si>
    <t xml:space="preserve">Total CAPEX</t>
  </si>
  <si>
    <t xml:space="preserve">Note: Senior debt not yet sized — DSCR and returns are indicative only</t>
  </si>
  <si>
    <t xml:space="preserve">01 — Assumptions</t>
  </si>
  <si>
    <t xml:space="preserve">Parameter</t>
  </si>
  <si>
    <t xml:space="preserve">Unit</t>
  </si>
  <si>
    <t xml:space="preserve">Value</t>
  </si>
  <si>
    <t xml:space="preserve">Engine inputs  (computed parameters)</t>
  </si>
  <si>
    <t xml:space="preserve">Farmers per cooperative farm  (filière A)</t>
  </si>
  <si>
    <t xml:space="preserve">persons</t>
  </si>
  <si>
    <t xml:space="preserve">Water technicians per farm  (filière B)</t>
  </si>
  <si>
    <t xml:space="preserve">Energy technicians per farm  (filière C)</t>
  </si>
  <si>
    <t xml:space="preserve">Mechanisation operators per farm  (filière D)</t>
  </si>
  <si>
    <t xml:space="preserve">Number of cooperative farms — Phase A wave</t>
  </si>
  <si>
    <t xml:space="preserve">UOFs</t>
  </si>
  <si>
    <t xml:space="preserve">Number of cooperative farms — full programme</t>
  </si>
  <si>
    <t xml:space="preserve">Bootstrap cohort — number of trainees</t>
  </si>
  <si>
    <t xml:space="preserve">Calendar days per month</t>
  </si>
  <si>
    <t xml:space="preserve">days</t>
  </si>
  <si>
    <t xml:space="preserve">International specialist trainers</t>
  </si>
  <si>
    <t xml:space="preserve">International specialist — annual cost</t>
  </si>
  <si>
    <t xml:space="preserve">€/yr</t>
  </si>
  <si>
    <t xml:space="preserve">Total beds — Phase A</t>
  </si>
  <si>
    <t xml:space="preserve">beds</t>
  </si>
  <si>
    <t xml:space="preserve">Resident trainees — Phase A</t>
  </si>
  <si>
    <t xml:space="preserve">Senior debt share of farm CAPEX</t>
  </si>
  <si>
    <t xml:space="preserve">%</t>
  </si>
  <si>
    <t xml:space="preserve">Junior debt share of farm CAPEX</t>
  </si>
  <si>
    <t xml:space="preserve">USD source — land &amp; site works per farm</t>
  </si>
  <si>
    <t xml:space="preserve">USD/farm</t>
  </si>
  <si>
    <t xml:space="preserve">USD source — farm buildings per farm</t>
  </si>
  <si>
    <t xml:space="preserve">USD source — dairy unit per farm</t>
  </si>
  <si>
    <t xml:space="preserve">USD source — feedlot per farm</t>
  </si>
  <si>
    <t xml:space="preserve">USD source — land in-kind contribution</t>
  </si>
  <si>
    <t xml:space="preserve">USD</t>
  </si>
  <si>
    <t xml:space="preserve">USD source — dairy herd in-kind contribution</t>
  </si>
  <si>
    <t xml:space="preserve">USD source — forage transfer price</t>
  </si>
  <si>
    <t xml:space="preserve">USD/kg</t>
  </si>
  <si>
    <t xml:space="preserve">USD source — concentrate feed price</t>
  </si>
  <si>
    <t xml:space="preserve">USD source — diesel price</t>
  </si>
  <si>
    <t xml:space="preserve">USD/L</t>
  </si>
  <si>
    <t xml:space="preserve">Programme structure</t>
  </si>
  <si>
    <t xml:space="preserve">Number of incubator farms</t>
  </si>
  <si>
    <t xml:space="preserve">count</t>
  </si>
  <si>
    <t xml:space="preserve">Surface area per farm</t>
  </si>
  <si>
    <t xml:space="preserve">ha</t>
  </si>
  <si>
    <t xml:space="preserve">Project life  (Y-1 → Y6)</t>
  </si>
  <si>
    <t xml:space="preserve">years</t>
  </si>
  <si>
    <t xml:space="preserve">Commissioning year  (COD)</t>
  </si>
  <si>
    <t xml:space="preserve">year</t>
  </si>
  <si>
    <t xml:space="preserve">Gate evaluation year</t>
  </si>
  <si>
    <t xml:space="preserve">Training start year</t>
  </si>
  <si>
    <t xml:space="preserve">Training stop year</t>
  </si>
  <si>
    <t xml:space="preserve">EUR / USD exchange rate</t>
  </si>
  <si>
    <t xml:space="preserve">EUR/USD</t>
  </si>
  <si>
    <t xml:space="preserve">Training throughput</t>
  </si>
  <si>
    <t xml:space="preserve">Simultaneous training slots per farm</t>
  </si>
  <si>
    <t xml:space="preserve">Staggered cohorts per farm</t>
  </si>
  <si>
    <t xml:space="preserve">cohorts</t>
  </si>
  <si>
    <t xml:space="preserve">Trainees per cohort</t>
  </si>
  <si>
    <t xml:space="preserve">Annual throughput at steady state</t>
  </si>
  <si>
    <t xml:space="preserve">persons/yr</t>
  </si>
  <si>
    <t xml:space="preserve">Filière A share — farmers</t>
  </si>
  <si>
    <t xml:space="preserve">Filière B share — water technicians</t>
  </si>
  <si>
    <t xml:space="preserve">Filière C share — energy technicians</t>
  </si>
  <si>
    <t xml:space="preserve">Filière D share — mechanisation operators</t>
  </si>
  <si>
    <t xml:space="preserve">Programme target — filière A graduates</t>
  </si>
  <si>
    <t xml:space="preserve">Programme target — filière B graduates</t>
  </si>
  <si>
    <t xml:space="preserve">Programme target — filière C graduates</t>
  </si>
  <si>
    <t xml:space="preserve">Programme target — filière D graduates</t>
  </si>
  <si>
    <t xml:space="preserve">Programme target — total graduates</t>
  </si>
  <si>
    <t xml:space="preserve">Cost per trainee by filière</t>
  </si>
  <si>
    <t xml:space="preserve">Duration — filière A</t>
  </si>
  <si>
    <t xml:space="preserve">months</t>
  </si>
  <si>
    <t xml:space="preserve">Duration — filière B</t>
  </si>
  <si>
    <t xml:space="preserve">Duration — filière C</t>
  </si>
  <si>
    <t xml:space="preserve">Duration — filière D</t>
  </si>
  <si>
    <t xml:space="preserve">Gross daily stipend</t>
  </si>
  <si>
    <t xml:space="preserve">€/day</t>
  </si>
  <si>
    <t xml:space="preserve">Productive work offset  (from month 4)</t>
  </si>
  <si>
    <t xml:space="preserve">Work offset starts at month</t>
  </si>
  <si>
    <t xml:space="preserve">month</t>
  </si>
  <si>
    <t xml:space="preserve">Net cost per trainee — filière A</t>
  </si>
  <si>
    <t xml:space="preserve">€/person</t>
  </si>
  <si>
    <t xml:space="preserve">Net cost per trainee — filière B</t>
  </si>
  <si>
    <t xml:space="preserve">Net cost per trainee — filière C</t>
  </si>
  <si>
    <t xml:space="preserve">Net cost per trainee — filière D</t>
  </si>
  <si>
    <t xml:space="preserve">Trainer team</t>
  </si>
  <si>
    <t xml:space="preserve">Filière trainers  (12 per farm × 3 farms)</t>
  </si>
  <si>
    <t xml:space="preserve">Specialist trainers  (shared pool)</t>
  </si>
  <si>
    <t xml:space="preserve">Total trainers</t>
  </si>
  <si>
    <t xml:space="preserve">Filière trainer — annual cost</t>
  </si>
  <si>
    <t xml:space="preserve">Specialist trainer — annual cost</t>
  </si>
  <si>
    <t xml:space="preserve">Filière trainers active years</t>
  </si>
  <si>
    <t xml:space="preserve">Specialist trainers active years</t>
  </si>
  <si>
    <t xml:space="preserve">Train-the-Trainer duration</t>
  </si>
  <si>
    <t xml:space="preserve">Train-the-Trainer cost per trainer per year</t>
  </si>
  <si>
    <t xml:space="preserve">€/trainer-yr</t>
  </si>
  <si>
    <t xml:space="preserve">International specialist experts  (one-time)</t>
  </si>
  <si>
    <t xml:space="preserve">€</t>
  </si>
  <si>
    <t xml:space="preserve">Agriculture &amp; livestock</t>
  </si>
  <si>
    <t xml:space="preserve">Monitoring plots  (% of farm area)</t>
  </si>
  <si>
    <t xml:space="preserve">Pedagogical plots  (% of farm area)</t>
  </si>
  <si>
    <t xml:space="preserve">Infrastructure &amp; housing  (% of farm area)</t>
  </si>
  <si>
    <t xml:space="preserve">Market garden surface per farm</t>
  </si>
  <si>
    <t xml:space="preserve">Cereal surface per farm</t>
  </si>
  <si>
    <t xml:space="preserve">Agroforestry surface per farm</t>
  </si>
  <si>
    <t xml:space="preserve">Market garden harvest cycles per year</t>
  </si>
  <si>
    <t xml:space="preserve">cycles/yr</t>
  </si>
  <si>
    <t xml:space="preserve">Dairy herd per farm</t>
  </si>
  <si>
    <t xml:space="preserve">heads</t>
  </si>
  <si>
    <t xml:space="preserve">Dairy yield per cow</t>
  </si>
  <si>
    <t xml:space="preserve">L/yr</t>
  </si>
  <si>
    <t xml:space="preserve">Beef stock per farm  (average)</t>
  </si>
  <si>
    <t xml:space="preserve">Beef offtake rate</t>
  </si>
  <si>
    <t xml:space="preserve">Average liveweight at sale</t>
  </si>
  <si>
    <t xml:space="preserve">kg</t>
  </si>
  <si>
    <t xml:space="preserve">Dressing percentage</t>
  </si>
  <si>
    <t xml:space="preserve">Cereal yield</t>
  </si>
  <si>
    <t xml:space="preserve">t/ha</t>
  </si>
  <si>
    <t xml:space="preserve">Market garden yield per cycle</t>
  </si>
  <si>
    <t xml:space="preserve">Milk price</t>
  </si>
  <si>
    <t xml:space="preserve">€/L</t>
  </si>
  <si>
    <t xml:space="preserve">Beef price  (carcass weight)</t>
  </si>
  <si>
    <t xml:space="preserve">€/kg</t>
  </si>
  <si>
    <t xml:space="preserve">Cereal price</t>
  </si>
  <si>
    <t xml:space="preserve">€/t</t>
  </si>
  <si>
    <t xml:space="preserve">Market garden price</t>
  </si>
  <si>
    <t xml:space="preserve">Production ramp — Y1</t>
  </si>
  <si>
    <t xml:space="preserve">% SS</t>
  </si>
  <si>
    <t xml:space="preserve">Production ramp — Y2</t>
  </si>
  <si>
    <t xml:space="preserve">Forage surface per farm</t>
  </si>
  <si>
    <t xml:space="preserve">Alfalfa yield  (dry matter)</t>
  </si>
  <si>
    <t xml:space="preserve">t DM/ha</t>
  </si>
  <si>
    <t xml:space="preserve">Dairy cow dry-matter intake per year</t>
  </si>
  <si>
    <t xml:space="preserve">t DM/cow</t>
  </si>
  <si>
    <t xml:space="preserve">Beef supplement dry-matter intake per year</t>
  </si>
  <si>
    <t xml:space="preserve">t DM/head</t>
  </si>
  <si>
    <t xml:space="preserve">Alfalfa transfer price</t>
  </si>
  <si>
    <t xml:space="preserve">€/t DM</t>
  </si>
  <si>
    <t xml:space="preserve">Housing</t>
  </si>
  <si>
    <t xml:space="preserve">Standard farm staff per farm</t>
  </si>
  <si>
    <t xml:space="preserve">Additional trainee beds per farm</t>
  </si>
  <si>
    <t xml:space="preserve">Dormitory cost per bed</t>
  </si>
  <si>
    <t xml:space="preserve">€/bed</t>
  </si>
  <si>
    <t xml:space="preserve">Refectory &amp; common areas per farm</t>
  </si>
  <si>
    <t xml:space="preserve">Residents requiring family housing</t>
  </si>
  <si>
    <t xml:space="preserve">Family housing units  (programme)</t>
  </si>
  <si>
    <t xml:space="preserve">units</t>
  </si>
  <si>
    <t xml:space="preserve">Family housing cost per unit</t>
  </si>
  <si>
    <t xml:space="preserve">€/unit</t>
  </si>
  <si>
    <t xml:space="preserve">Pre-programme set-up  (Y-1)</t>
  </si>
  <si>
    <t xml:space="preserve">Curriculum design + certification partner</t>
  </si>
  <si>
    <t xml:space="preserve">Classroom equipment per farm</t>
  </si>
  <si>
    <t xml:space="preserve">Plateau eau (filière B)</t>
  </si>
  <si>
    <t xml:space="preserve">Plateau PV (filière C)</t>
  </si>
  <si>
    <t xml:space="preserve">Atelier méca (filière D)</t>
  </si>
  <si>
    <t xml:space="preserve">Classroom / IT / communications</t>
  </si>
  <si>
    <t xml:space="preserve">Number of filière curricula</t>
  </si>
  <si>
    <t xml:space="preserve">Curriculum materials per filière</t>
  </si>
  <si>
    <t xml:space="preserve">Monitoring, certification, communication</t>
  </si>
  <si>
    <t xml:space="preserve">Certification partner  (set-up + 5 years)</t>
  </si>
  <si>
    <t xml:space="preserve">Monitoring equipment  (plots)</t>
  </si>
  <si>
    <t xml:space="preserve">Data coordinator — annual</t>
  </si>
  <si>
    <t xml:space="preserve">Monitoring years  (Y1 → Y6)</t>
  </si>
  <si>
    <t xml:space="preserve">Communication materials</t>
  </si>
  <si>
    <t xml:space="preserve">Communication officer — annual</t>
  </si>
  <si>
    <t xml:space="preserve">External visits — number of years</t>
  </si>
  <si>
    <t xml:space="preserve">Piezometers per farm</t>
  </si>
  <si>
    <t xml:space="preserve">Piezometer cost  (borehole + install)</t>
  </si>
  <si>
    <t xml:space="preserve">Telemetry &amp; SCADA  (programme lump)</t>
  </si>
  <si>
    <t xml:space="preserve">Physical CAPEX — per-farm unit costs</t>
  </si>
  <si>
    <t xml:space="preserve">Land &amp; site works — TOTAL per farm</t>
  </si>
  <si>
    <t xml:space="preserve">  ↳ Site works  (clearing, fencing, services)</t>
  </si>
  <si>
    <t xml:space="preserve">  ↳ Irrigation infrastructure</t>
  </si>
  <si>
    <t xml:space="preserve">  ↳ Land in-kind  (memo)</t>
  </si>
  <si>
    <t xml:space="preserve">Farm buildings per farm</t>
  </si>
  <si>
    <t xml:space="preserve">Dairy unit — TOTAL per farm</t>
  </si>
  <si>
    <t xml:space="preserve">  ↳ Dairy infrastructure  (building, milking)</t>
  </si>
  <si>
    <t xml:space="preserve">  ↳ Dairy herd in-kind  (memo)</t>
  </si>
  <si>
    <t xml:space="preserve">Feedlot per farm</t>
  </si>
  <si>
    <t xml:space="preserve">Trees per farm  (agroforestry)</t>
  </si>
  <si>
    <t xml:space="preserve">trees</t>
  </si>
  <si>
    <t xml:space="preserve">Cost per tree</t>
  </si>
  <si>
    <t xml:space="preserve">€/tree</t>
  </si>
  <si>
    <t xml:space="preserve">Water station per farm  (to confirm)</t>
  </si>
  <si>
    <t xml:space="preserve">Power station per farm  (to confirm)</t>
  </si>
  <si>
    <t xml:space="preserve">Mechanisation pool — programme  (to confirm)</t>
  </si>
  <si>
    <t xml:space="preserve">Set-up &amp; structuring costs</t>
  </si>
  <si>
    <t xml:space="preserve">Studies &amp; environmental impact assessment</t>
  </si>
  <si>
    <t xml:space="preserve">Construction supervision rate</t>
  </si>
  <si>
    <t xml:space="preserve">% B1 cash</t>
  </si>
  <si>
    <t xml:space="preserve">Legal &amp; advisory</t>
  </si>
  <si>
    <t xml:space="preserve">Annual audit</t>
  </si>
  <si>
    <t xml:space="preserve">Audit years</t>
  </si>
  <si>
    <t xml:space="preserve">Arrangement fee on senior debt</t>
  </si>
  <si>
    <t xml:space="preserve">% debt</t>
  </si>
  <si>
    <t xml:space="preserve">Working capital &amp; reserves</t>
  </si>
  <si>
    <t xml:space="preserve">Working capital  (months of OpEx)</t>
  </si>
  <si>
    <t xml:space="preserve">Monthly OpEx estimate per farm</t>
  </si>
  <si>
    <t xml:space="preserve">€/month</t>
  </si>
  <si>
    <t xml:space="preserve">Contingency on B1 hard cash CAPEX</t>
  </si>
  <si>
    <t xml:space="preserve">% B1</t>
  </si>
  <si>
    <t xml:space="preserve">Contingency on B2 total</t>
  </si>
  <si>
    <t xml:space="preserve">% B2</t>
  </si>
  <si>
    <t xml:space="preserve">DSRA cash contribution  (0 = LC-funded)</t>
  </si>
  <si>
    <t xml:space="preserve">MMR months  (× monthly OpEx × farms)</t>
  </si>
  <si>
    <t xml:space="preserve">DSRA LC fee  (annual, ~1% × face value)</t>
  </si>
  <si>
    <t xml:space="preserve">Funding stack</t>
  </si>
  <si>
    <t xml:space="preserve">Senior debt — annual rate</t>
  </si>
  <si>
    <t xml:space="preserve">Senior debt — tenor</t>
  </si>
  <si>
    <t xml:space="preserve">Senior debt — grace period</t>
  </si>
  <si>
    <t xml:space="preserve">Senior debt amount</t>
  </si>
  <si>
    <t xml:space="preserve">Junior debt amount</t>
  </si>
  <si>
    <t xml:space="preserve">Grant amount  (to confirm)</t>
  </si>
  <si>
    <t xml:space="preserve">Sponsor cash equity  (to confirm)</t>
  </si>
  <si>
    <t xml:space="preserve">Land in-kind equity</t>
  </si>
  <si>
    <t xml:space="preserve">Dairy herd in-kind equity</t>
  </si>
  <si>
    <t xml:space="preserve">Financial parameters</t>
  </si>
  <si>
    <t xml:space="preserve">Corporate income tax rate</t>
  </si>
  <si>
    <t xml:space="preserve">Tax holiday  (years from COD)</t>
  </si>
  <si>
    <t xml:space="preserve">Discount rate  (WACC)</t>
  </si>
  <si>
    <t xml:space="preserve">Book depreciation life</t>
  </si>
  <si>
    <t xml:space="preserve">Tax depreciation life</t>
  </si>
  <si>
    <t xml:space="preserve">Debtor days  (DSO)</t>
  </si>
  <si>
    <t xml:space="preserve">Creditor days  (DPO)</t>
  </si>
  <si>
    <t xml:space="preserve">Debt schedule parameters</t>
  </si>
  <si>
    <t xml:space="preserve">VAT rate — revenue / OpEx  (to confirm)</t>
  </si>
  <si>
    <t xml:space="preserve">Senior debt draw year  (0 = Y0)</t>
  </si>
  <si>
    <t xml:space="preserve">Debt repayment start year</t>
  </si>
  <si>
    <t xml:space="preserve">Depreciation life — land  (none)</t>
  </si>
  <si>
    <t xml:space="preserve">Depreciation life — dairy herd</t>
  </si>
  <si>
    <t xml:space="preserve">Depreciation life — equipment &amp; instruments</t>
  </si>
  <si>
    <t xml:space="preserve">Depreciation life — buildings &amp; civil works</t>
  </si>
  <si>
    <t xml:space="preserve">Equipment bucket base  (monitoring)</t>
  </si>
  <si>
    <t xml:space="preserve">Training programme economics</t>
  </si>
  <si>
    <t xml:space="preserve">Management / overhead fee on programme OpEx  (to confirm)</t>
  </si>
  <si>
    <t xml:space="preserve">Farming inputs — crops &amp; livestock</t>
  </si>
  <si>
    <t xml:space="preserve">Seeds — market garden per ha per cycle</t>
  </si>
  <si>
    <t xml:space="preserve">€/ha-cycle</t>
  </si>
  <si>
    <t xml:space="preserve">Fertilizer — market garden per ha per cycle</t>
  </si>
  <si>
    <t xml:space="preserve">Pesticides — market garden per ha per cycle</t>
  </si>
  <si>
    <t xml:space="preserve">Seeds — cereals per ha</t>
  </si>
  <si>
    <t xml:space="preserve">€/ha</t>
  </si>
  <si>
    <t xml:space="preserve">Fertilizer — cereals per ha</t>
  </si>
  <si>
    <t xml:space="preserve">Pesticides — cereals per ha</t>
  </si>
  <si>
    <t xml:space="preserve">Fertilizer — alfalfa per ha</t>
  </si>
  <si>
    <t xml:space="preserve">Purchased concentrate feed  (per tonne dry matter)</t>
  </si>
  <si>
    <t xml:space="preserve">Veterinary &amp; health — dairy per head per year</t>
  </si>
  <si>
    <t xml:space="preserve">€/head</t>
  </si>
  <si>
    <t xml:space="preserve">Veterinary &amp; health — beef per head per year</t>
  </si>
  <si>
    <t xml:space="preserve">Achat veau/broutard — embouche (renouv.)</t>
  </si>
  <si>
    <t xml:space="preserve">AI — dairy per cow per year</t>
  </si>
  <si>
    <t xml:space="preserve">€/cow</t>
  </si>
  <si>
    <t xml:space="preserve">Permanent farm managers per farm</t>
  </si>
  <si>
    <t xml:space="preserve">Farm manager — annual cost</t>
  </si>
  <si>
    <t xml:space="preserve">Energy &amp; water — direct cost model</t>
  </si>
  <si>
    <t xml:space="preserve">Irrigation water — market garden</t>
  </si>
  <si>
    <t xml:space="preserve">m³/ha/yr</t>
  </si>
  <si>
    <t xml:space="preserve">Irrigation water — alfalfa</t>
  </si>
  <si>
    <t xml:space="preserve">Pumping energy per m³</t>
  </si>
  <si>
    <t xml:space="preserve">kWh/m³</t>
  </si>
  <si>
    <t xml:space="preserve">Internal energy tariff  (cooperative)</t>
  </si>
  <si>
    <t xml:space="preserve">€/kWh</t>
  </si>
  <si>
    <t xml:space="preserve">Process &amp; lighting allowance per farm</t>
  </si>
  <si>
    <t xml:space="preserve">kWh/yr</t>
  </si>
  <si>
    <t xml:space="preserve">Diesel backup share of total energy</t>
  </si>
  <si>
    <t xml:space="preserve">Diesel price</t>
  </si>
  <si>
    <t xml:space="preserve">Generator efficiency</t>
  </si>
  <si>
    <t xml:space="preserve">kWh/L</t>
  </si>
  <si>
    <t xml:space="preserve">Mechanisation — direct cost model</t>
  </si>
  <si>
    <t xml:space="preserve">Plowing + harrowing per ha</t>
  </si>
  <si>
    <t xml:space="preserve">Sowing / planting per ha per pass</t>
  </si>
  <si>
    <t xml:space="preserve">Harvest — market garden per ha per cycle</t>
  </si>
  <si>
    <t xml:space="preserve">Threshing + combine — cereals per ha</t>
  </si>
  <si>
    <t xml:space="preserve">Transport to market per tonne</t>
  </si>
  <si>
    <t xml:space="preserve">Mowing + baling — alfalfa per cut</t>
  </si>
  <si>
    <t xml:space="preserve">€/ha-cut</t>
  </si>
  <si>
    <t xml:space="preserve">Alfalfa cuts per year</t>
  </si>
  <si>
    <t xml:space="preserve">cuts/yr</t>
  </si>
  <si>
    <t xml:space="preserve">Mechanisation maintenance  (% of CAPEX)</t>
  </si>
  <si>
    <t xml:space="preserve">% CAPEX</t>
  </si>
  <si>
    <t xml:space="preserve">Animal genetics  (veterinary, identification, AI)</t>
  </si>
  <si>
    <t xml:space="preserve">Veterinary centre  (standalone building)</t>
  </si>
  <si>
    <t xml:space="preserve">€ HT</t>
  </si>
  <si>
    <t xml:space="preserve">Animal additional equipment  (pharma + lab)</t>
  </si>
  <si>
    <t xml:space="preserve">Identification system per farm  (PREMIUM tier)</t>
  </si>
  <si>
    <t xml:space="preserve">€/farm</t>
  </si>
  <si>
    <t xml:space="preserve">AI hardware  (shared — tank + ultrasound)</t>
  </si>
  <si>
    <t xml:space="preserve">Partner support — PREMIUM per farm  (28 days + travel)</t>
  </si>
  <si>
    <t xml:space="preserve">Inseminator training  (3 months)</t>
  </si>
  <si>
    <t xml:space="preserve">Initial AI doses</t>
  </si>
  <si>
    <t xml:space="preserve">doses</t>
  </si>
  <si>
    <t xml:space="preserve">Cost per AI dose</t>
  </si>
  <si>
    <t xml:space="preserve">€/u</t>
  </si>
  <si>
    <t xml:space="preserve">Herd-management software per farm per year</t>
  </si>
  <si>
    <t xml:space="preserve">€/yr/farm</t>
  </si>
  <si>
    <t xml:space="preserve">Local inseminator salary  (recurring from Y2)</t>
  </si>
  <si>
    <t xml:space="preserve">Veterinary inputs per head per year  (vaccines, prophylaxis)</t>
  </si>
  <si>
    <t xml:space="preserve">€/head/yr</t>
  </si>
  <si>
    <t xml:space="preserve">AI programme herd  (820 Artine + 180 incubators)</t>
  </si>
  <si>
    <t xml:space="preserve">head</t>
  </si>
  <si>
    <t xml:space="preserve">Programme management — animal (Y1+Y2)</t>
  </si>
  <si>
    <t xml:space="preserve">Consumables — animal (Y1+Y2)</t>
  </si>
  <si>
    <t xml:space="preserve">Plant genetics  (seeds, nursery, propagation)</t>
  </si>
  <si>
    <t xml:space="preserve">Plant centre building  (500 m² covered)</t>
  </si>
  <si>
    <t xml:space="preserve">Plant equipment  (germinators, drip irrigation)</t>
  </si>
  <si>
    <t xml:space="preserve">Nursery operator training  (3 months)</t>
  </si>
  <si>
    <t xml:space="preserve">Plant partner support  (parallel to animal partner)</t>
  </si>
  <si>
    <t xml:space="preserve">Imported foundation seeds  (international centres)</t>
  </si>
  <si>
    <t xml:space="preserve">Mother trees  (acacia / faidherbia / fruit)</t>
  </si>
  <si>
    <t xml:space="preserve">Acacia senegal mother nursery  (gum arabic)</t>
  </si>
  <si>
    <t xml:space="preserve">Plant inputs per year  (substrate, pots, water)</t>
  </si>
  <si>
    <t xml:space="preserve">Plant centre staff  (1 senior + 2 workers + 1 technician)</t>
  </si>
  <si>
    <t xml:space="preserve">Programme management — plant (Y1+Y2)</t>
  </si>
  <si>
    <t xml:space="preserve">Consumables — plant (Y1+Y2)</t>
  </si>
  <si>
    <t xml:space="preserve">02 — Timeline / Programme state</t>
  </si>
  <si>
    <t xml:space="preserve">Total</t>
  </si>
  <si>
    <t xml:space="preserve">Y-1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</si>
  <si>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</si>
  <si>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</si>
  <si>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</si>
  <si>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</si>
  <si>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</si>
  <si>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</si>
  <si>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</si>
  <si>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Programme phase</t>
  </si>
  <si>
    <t xml:space="preserve">Pre-programme  (Y-1)</t>
  </si>
  <si>
    <t xml:space="preserve">flag</t>
  </si>
  <si>
    <t xml:space="preserve">Construction  (Y0)</t>
  </si>
  <si>
    <t xml:space="preserve">Phase A — training  (Y1-Y2)</t>
  </si>
  <si>
    <t xml:space="preserve">Deployment support  (Y3+)</t>
  </si>
  <si>
    <t xml:space="preserve">Post-commissioning operations  (Y1+)</t>
  </si>
  <si>
    <t xml:space="preserve">O2 — Production &amp; operations</t>
  </si>
  <si>
    <t xml:space="preserve">Farms operational</t>
  </si>
  <si>
    <t xml:space="preserve">Farms in construction</t>
  </si>
  <si>
    <t xml:space="preserve">Production flag</t>
  </si>
  <si>
    <t xml:space="preserve">O1 — Training throughput (residents in year)</t>
  </si>
  <si>
    <t xml:space="preserve">Filière A — farmers</t>
  </si>
  <si>
    <t xml:space="preserve">Filière B — water technicians</t>
  </si>
  <si>
    <t xml:space="preserve">Filière C — energy technicians</t>
  </si>
  <si>
    <t xml:space="preserve">Filière D — mechanisation operators</t>
  </si>
  <si>
    <t xml:space="preserve">O1 — Cumulative certified (programme running total)</t>
  </si>
  <si>
    <t xml:space="preserve">Cumulative certified A — farmers</t>
  </si>
  <si>
    <t xml:space="preserve">Cumulative certified B — water technicians</t>
  </si>
  <si>
    <t xml:space="preserve">Cumulative certified C — energy technicians</t>
  </si>
  <si>
    <t xml:space="preserve">Cumulative certified D — mechanisation operators</t>
  </si>
  <si>
    <t xml:space="preserve">03 — Training / Human capital  [€]   ← feeds CAPEX · OpEx · Revenue</t>
  </si>
  <si>
    <t xml:space="preserve">Summary</t>
  </si>
  <si>
    <t xml:space="preserve">1. Training infrastructure  (one-time CAP)</t>
  </si>
  <si>
    <t xml:space="preserve">2. Recurring training  (annual OPEX, net of work offset)</t>
  </si>
  <si>
    <t xml:space="preserve">3. Training revenue  (= 0; grant-funded)</t>
  </si>
  <si>
    <t xml:space="preserve">TOTAL TRAINING PROGRAMME COST</t>
  </si>
  <si>
    <t xml:space="preserve">Training infrastructure — one-time CAP build</t>
  </si>
  <si>
    <t xml:space="preserve">Curriculum, certification &amp; expert support</t>
  </si>
  <si>
    <t xml:space="preserve">Train-the-Trainer (programme team)</t>
  </si>
  <si>
    <t xml:space="preserve">International specialist experts (one-time)</t>
  </si>
  <si>
    <t xml:space="preserve">Curriculum materials (per filière)</t>
  </si>
  <si>
    <t xml:space="preserve">Subtotal — Curriculum &amp; certification</t>
  </si>
  <si>
    <t xml:space="preserve">Pedagogical plateaux &amp; classroom</t>
  </si>
  <si>
    <t xml:space="preserve">Classroom equipment (3 farms)</t>
  </si>
  <si>
    <t xml:space="preserve">Plateau eau — pumping bench + irrigation lab + drilling station  (filière B)</t>
  </si>
  <si>
    <t xml:space="preserve">Plateau PV — array + hybrid inverters + BESS + SCADA  (filière C)</t>
  </si>
  <si>
    <t xml:space="preserve">Atelier méca — workshop + lifting + tractor + diagnostic  (filière D)</t>
  </si>
  <si>
    <t xml:space="preserve">Classroom / IT / comms — multipurpose rooms + workstations + technical library</t>
  </si>
  <si>
    <t xml:space="preserve">Subtotal — Pedagogical plateaux &amp; classroom</t>
  </si>
  <si>
    <t xml:space="preserve">Accommodation</t>
  </si>
  <si>
    <t xml:space="preserve">Trainee dormitories</t>
  </si>
  <si>
    <t xml:space="preserve">Refectory &amp; common areas</t>
  </si>
  <si>
    <t xml:space="preserve">Family housing</t>
  </si>
  <si>
    <t xml:space="preserve">Subtotal — Accommodation</t>
  </si>
  <si>
    <t xml:space="preserve">Monitoring &amp; communications</t>
  </si>
  <si>
    <t xml:space="preserve">Monitoring equipment</t>
  </si>
  <si>
    <t xml:space="preserve">Subtotal — Monitoring &amp; communications</t>
  </si>
  <si>
    <t xml:space="preserve">TOTAL TRAINING INFRASTRUCTURE</t>
  </si>
  <si>
    <t xml:space="preserve">Recurring training — annual OPEX</t>
  </si>
  <si>
    <t xml:space="preserve">Trainers — filière + specialist</t>
  </si>
  <si>
    <t xml:space="preserve">Filière trainers</t>
  </si>
  <si>
    <t xml:space="preserve">Specialist trainers</t>
  </si>
  <si>
    <t xml:space="preserve">Subtotal — Trainers</t>
  </si>
  <si>
    <t xml:space="preserve">Trainee stipends — net of productive-work credit</t>
  </si>
  <si>
    <t xml:space="preserve">Filière A — stipends paid</t>
  </si>
  <si>
    <t xml:space="preserve">Filière A — productive-work credit (notional)</t>
  </si>
  <si>
    <t xml:space="preserve">Filière B — stipends paid</t>
  </si>
  <si>
    <t xml:space="preserve">Filière B — productive-work credit (notional)</t>
  </si>
  <si>
    <t xml:space="preserve">Filière C — stipends paid</t>
  </si>
  <si>
    <t xml:space="preserve">Filière C — productive-work credit (notional)</t>
  </si>
  <si>
    <t xml:space="preserve">Filière D — stipends paid</t>
  </si>
  <si>
    <t xml:space="preserve">Filière D — productive-work credit (notional)</t>
  </si>
  <si>
    <t xml:space="preserve">Subtotal — Trainee stipends  (net)</t>
  </si>
  <si>
    <t xml:space="preserve">Data coordinator — O2 governance</t>
  </si>
  <si>
    <t xml:space="preserve">Communication officer — O3</t>
  </si>
  <si>
    <t xml:space="preserve">TOTAL RECURRING TRAINING</t>
  </si>
  <si>
    <t xml:space="preserve">Inputs from Assumptions</t>
  </si>
  <si>
    <t xml:space="preserve">A01 — Number of incubator farms</t>
  </si>
  <si>
    <t xml:space="preserve">farms</t>
  </si>
  <si>
    <t xml:space="preserve">B01 — Simultaneous training slots per farm</t>
  </si>
  <si>
    <t xml:space="preserve">slots</t>
  </si>
  <si>
    <t xml:space="preserve">B02 — Staggered cohorts per farm</t>
  </si>
  <si>
    <t xml:space="preserve">X01 — Farmers per cooperative farm  (filière A)</t>
  </si>
  <si>
    <t xml:space="preserve">X02 — Water technicians per farm  (filière B)</t>
  </si>
  <si>
    <t xml:space="preserve">X03 — Energy technicians per farm  (filière C)</t>
  </si>
  <si>
    <t xml:space="preserve">X04 — Mechanisation operators per farm  (filière D)</t>
  </si>
  <si>
    <t xml:space="preserve">X05 — Number of cooperative farms — Phase A wave</t>
  </si>
  <si>
    <t xml:space="preserve">X07 — Bootstrap cohort — number of trainees</t>
  </si>
  <si>
    <t xml:space="preserve">C01 — Duration — filière A</t>
  </si>
  <si>
    <t xml:space="preserve">C02 — Duration — filière B</t>
  </si>
  <si>
    <t xml:space="preserve">C03 — Duration — filière C</t>
  </si>
  <si>
    <t xml:space="preserve">C04 — Duration — filière D</t>
  </si>
  <si>
    <t xml:space="preserve">C05 — Gross daily stipend</t>
  </si>
  <si>
    <t xml:space="preserve">€/d</t>
  </si>
  <si>
    <t xml:space="preserve">C06 — Productive work offset  (from month 4)</t>
  </si>
  <si>
    <t xml:space="preserve">C07 — Work offset starts at month</t>
  </si>
  <si>
    <t xml:space="preserve">X08 — Calendar days per month</t>
  </si>
  <si>
    <t xml:space="preserve">D01 — Filière trainers  (12 per farm × 3 farms)</t>
  </si>
  <si>
    <t xml:space="preserve">D02 — Specialist trainers  (shared pool)</t>
  </si>
  <si>
    <t xml:space="preserve">D04 — Filière trainer — annual cost</t>
  </si>
  <si>
    <t xml:space="preserve">D05 — Specialist trainer — annual cost</t>
  </si>
  <si>
    <t xml:space="preserve">D06 — Filière trainers active years</t>
  </si>
  <si>
    <t xml:space="preserve">D07 — Specialist trainers active years</t>
  </si>
  <si>
    <t xml:space="preserve">D08 — Train-the-Trainer duration</t>
  </si>
  <si>
    <t xml:space="preserve">D09 — Train-the-Trainer cost per trainer per year</t>
  </si>
  <si>
    <t xml:space="preserve">X10 — International specialist trainers</t>
  </si>
  <si>
    <t xml:space="preserve">X11 — International specialist — annual cost</t>
  </si>
  <si>
    <t xml:space="preserve">X12 — Total beds — Phase A</t>
  </si>
  <si>
    <t xml:space="preserve">X13 — Resident trainees — Phase A</t>
  </si>
  <si>
    <t xml:space="preserve">F03 — Dormitory cost per bed</t>
  </si>
  <si>
    <t xml:space="preserve">F04 — Refectory &amp; common areas per farm</t>
  </si>
  <si>
    <t xml:space="preserve">F05 — Residents requiring family housing</t>
  </si>
  <si>
    <t xml:space="preserve">F07 — Family housing cost per unit</t>
  </si>
  <si>
    <t xml:space="preserve">G01 — Curriculum design + certification partner</t>
  </si>
  <si>
    <t xml:space="preserve">G02 — Classroom equipment per farm</t>
  </si>
  <si>
    <t xml:space="preserve">G03 — Number of filière curricula</t>
  </si>
  <si>
    <t xml:space="preserve">G04 — Curriculum materials per filière</t>
  </si>
  <si>
    <t xml:space="preserve">€/filière</t>
  </si>
  <si>
    <t xml:space="preserve">H01 — Certification partner  (set-up + 5 years)</t>
  </si>
  <si>
    <t xml:space="preserve">H02 — Monitoring equipment  (plots)</t>
  </si>
  <si>
    <t xml:space="preserve">H03 — Data coordinator — annual</t>
  </si>
  <si>
    <t xml:space="preserve">H04 — Monitoring years  (Y1 → Y6)</t>
  </si>
  <si>
    <t xml:space="preserve">H05 — Communication materials</t>
  </si>
  <si>
    <t xml:space="preserve">H06 — Communication officer — annual</t>
  </si>
  <si>
    <t xml:space="preserve">H07 — External visits — number of years</t>
  </si>
  <si>
    <t xml:space="preserve">Calculated values</t>
  </si>
  <si>
    <t xml:space="preserve">B04 — Annual throughput</t>
  </si>
  <si>
    <t xml:space="preserve">ΣX01:X04 — Sum per-UOF staffing</t>
  </si>
  <si>
    <t xml:space="preserve">B05 — % Filière A</t>
  </si>
  <si>
    <t xml:space="preserve">B06 — % Filière B</t>
  </si>
  <si>
    <t xml:space="preserve">B07 — % Filière C</t>
  </si>
  <si>
    <t xml:space="preserve">B08 — % Filière D</t>
  </si>
  <si>
    <t xml:space="preserve">B09a — Cert A — Replication wave</t>
  </si>
  <si>
    <t xml:space="preserve">B09b — Cert A — Bootstrap cohort</t>
  </si>
  <si>
    <t xml:space="preserve">B09 — Cert A — TOTAL</t>
  </si>
  <si>
    <t xml:space="preserve">B10 — Cert B</t>
  </si>
  <si>
    <t xml:space="preserve">B11 — Cert C</t>
  </si>
  <si>
    <t xml:space="preserve">B12 — Cert D</t>
  </si>
  <si>
    <t xml:space="preserve">B13 — Cert TOTAL</t>
  </si>
  <si>
    <t xml:space="preserve">D03 — Trainers total (Phase A)</t>
  </si>
  <si>
    <t xml:space="preserve">D10 — Intl ToT specialists lump</t>
  </si>
  <si>
    <t xml:space="preserve">F02 — Additional beds / farm</t>
  </si>
  <si>
    <t xml:space="preserve">F06 — Family housing units = ROUND(X13 × F05)</t>
  </si>
  <si>
    <t xml:space="preserve">stipend days A — Stipend days A</t>
  </si>
  <si>
    <t xml:space="preserve">stipend days B — Stipend days B</t>
  </si>
  <si>
    <t xml:space="preserve">stipend days C — Stipend days C</t>
  </si>
  <si>
    <t xml:space="preserve">stipend days D — Stipend days D</t>
  </si>
  <si>
    <t xml:space="preserve">offset days A — Offset days A</t>
  </si>
  <si>
    <t xml:space="preserve">offset days B — Offset days B</t>
  </si>
  <si>
    <t xml:space="preserve">offset days C — Offset days C</t>
  </si>
  <si>
    <t xml:space="preserve">offset days D — Offset days D</t>
  </si>
  <si>
    <t xml:space="preserve">gross stipend A — Gross stipend / trainee A</t>
  </si>
  <si>
    <t xml:space="preserve">€/pers</t>
  </si>
  <si>
    <t xml:space="preserve">gross stipend B — Gross stipend / trainee B</t>
  </si>
  <si>
    <t xml:space="preserve">gross stipend C — Gross stipend / trainee C</t>
  </si>
  <si>
    <t xml:space="preserve">gross stipend D — Gross stipend / trainee D</t>
  </si>
  <si>
    <t xml:space="preserve">offset credit A — Offset credit / trainee A</t>
  </si>
  <si>
    <t xml:space="preserve">offset credit B — Offset credit / trainee B</t>
  </si>
  <si>
    <t xml:space="preserve">offset credit C — Offset credit / trainee C</t>
  </si>
  <si>
    <t xml:space="preserve">offset credit D — Offset credit / trainee D</t>
  </si>
  <si>
    <t xml:space="preserve">C08 — Net cost / trainee A = gross − offset (memo)</t>
  </si>
  <si>
    <t xml:space="preserve">C09 — Net cost / trainee B = gross − offset (memo)</t>
  </si>
  <si>
    <t xml:space="preserve">C10 — Net cost / trainee C = gross − offset (memo)</t>
  </si>
  <si>
    <t xml:space="preserve">C11 — Net cost / trainee D = gross − offset (memo)</t>
  </si>
  <si>
    <t xml:space="preserve">vol A — Trainee volume A / yr</t>
  </si>
  <si>
    <t xml:space="preserve">pers/yr</t>
  </si>
  <si>
    <t xml:space="preserve">vol B — Trainee volume B / yr</t>
  </si>
  <si>
    <t xml:space="preserve">vol C — Trainee volume C / yr</t>
  </si>
  <si>
    <t xml:space="preserve">vol D — Trainee volume D / yr</t>
  </si>
  <si>
    <t xml:space="preserve">04 — Block 3 Genetics (animal + plant)  [€]   ← feeds 05_CAPEX · 07_Revenue · 08_OpEx · 06_S&amp;U</t>
  </si>
  <si>
    <t xml:space="preserve">1. Animal genetics — hardware</t>
  </si>
  <si>
    <t xml:space="preserve">2. Animal genetics — operations  (pre-op + recurring)</t>
  </si>
  <si>
    <t xml:space="preserve">3. Plant genetics — hardware</t>
  </si>
  <si>
    <t xml:space="preserve">4. Plant genetics — operations  (pre-op + recurring)</t>
  </si>
  <si>
    <t xml:space="preserve">5. Genetics programme revenue  (= 0; grant-funded)</t>
  </si>
  <si>
    <t xml:space="preserve">TOTAL GENETICS PROGRAMME COST</t>
  </si>
  <si>
    <t xml:space="preserve">Animal genetics</t>
  </si>
  <si>
    <t xml:space="preserve">Hardware  (one-time, Y0)</t>
  </si>
  <si>
    <t xml:space="preserve">Animal equipment  (pharma + lab + restraint)</t>
  </si>
  <si>
    <t xml:space="preserve">Subtotal — Animal genetics hardware</t>
  </si>
  <si>
    <t xml:space="preserve">Pre-op  (one-time Y0 expense)</t>
  </si>
  <si>
    <t xml:space="preserve">Partner support per farm  (PREMIUM, pre-op)</t>
  </si>
  <si>
    <t xml:space="preserve">Inseminator training  (3 months, pre-op)</t>
  </si>
  <si>
    <t xml:space="preserve">Initial AI doses  (working capital)</t>
  </si>
  <si>
    <t xml:space="preserve">Subtotal — Animal genetics pre-op</t>
  </si>
  <si>
    <t xml:space="preserve">Recurring  (annual, post-commissioning)</t>
  </si>
  <si>
    <t xml:space="preserve">Herd-management software per farm</t>
  </si>
  <si>
    <t xml:space="preserve">Local inseminator salary</t>
  </si>
  <si>
    <t xml:space="preserve">Veterinary inputs across herd  (vaccines, prophylaxis)</t>
  </si>
  <si>
    <t xml:space="preserve">Programme management  (Y1+Y2)</t>
  </si>
  <si>
    <t xml:space="preserve">Consumables  (Y1+Y2)</t>
  </si>
  <si>
    <t xml:space="preserve">Subtotal — Animal genetics recurring</t>
  </si>
  <si>
    <t xml:space="preserve">Plant genetics</t>
  </si>
  <si>
    <t xml:space="preserve">Plant equipment  (germinators + drip + greenhouse + tools)</t>
  </si>
  <si>
    <t xml:space="preserve">Subtotal — Plant genetics hardware</t>
  </si>
  <si>
    <t xml:space="preserve">Nursery operator training  (3 months, pre-op)</t>
  </si>
  <si>
    <t xml:space="preserve">Plant partner support  (pre-op)</t>
  </si>
  <si>
    <t xml:space="preserve">Imported G0 seeds  (working capital)</t>
  </si>
  <si>
    <t xml:space="preserve">Subtotal — Plant genetics pre-op</t>
  </si>
  <si>
    <t xml:space="preserve">Plant inputs  (substrate, pots, water, energy)</t>
  </si>
  <si>
    <t xml:space="preserve">Plant centre staff  (1 agronomist + 2 workers + 1 technician)</t>
  </si>
  <si>
    <t xml:space="preserve">Subtotal — Plant genetics recurring</t>
  </si>
  <si>
    <t xml:space="preserve">Inputs from Assumptions  (Animal genetics)</t>
  </si>
  <si>
    <t xml:space="preserve">S01 — Veterinary centre  (standalone building)</t>
  </si>
  <si>
    <t xml:space="preserve">S02 — Animal additional equipment  (pharma + lab)</t>
  </si>
  <si>
    <t xml:space="preserve">S03 — Identification system per farm  (PREMIUM tier)</t>
  </si>
  <si>
    <t xml:space="preserve">S04 — AI hardware  (shared — tank + ultrasound)</t>
  </si>
  <si>
    <t xml:space="preserve">S05 — Partner support — PREMIUM per farm  (28 days + travel)</t>
  </si>
  <si>
    <t xml:space="preserve">S06 — Inseminator training  (3 months)</t>
  </si>
  <si>
    <t xml:space="preserve">S07 — Initial AI doses</t>
  </si>
  <si>
    <t xml:space="preserve">S08 — Cost per AI dose</t>
  </si>
  <si>
    <t xml:space="preserve">S09 — Herd-management software per farm per year</t>
  </si>
  <si>
    <t xml:space="preserve">S10 — Local inseminator salary  (recurring from Y2)</t>
  </si>
  <si>
    <t xml:space="preserve">S11 — Veterinary inputs per head per year  (vaccines, prophylaxis)</t>
  </si>
  <si>
    <t xml:space="preserve">S12 — AI programme herd  (820 Artine + 180 incubators)</t>
  </si>
  <si>
    <t xml:space="preserve">S13 — Programme management — animal  (Y1+Y2)</t>
  </si>
  <si>
    <t xml:space="preserve">S14 — Consumables — animal  (Y1+Y2)</t>
  </si>
  <si>
    <t xml:space="preserve">Inputs from Assumptions  (Plant genetics)</t>
  </si>
  <si>
    <t xml:space="preserve">T01 — Plant centre building  (500 m² covered)</t>
  </si>
  <si>
    <t xml:space="preserve">T02 — Plant equipment  (germinators, drip irrigation)</t>
  </si>
  <si>
    <t xml:space="preserve">T03 — Nursery operator training  (3 months)</t>
  </si>
  <si>
    <t xml:space="preserve">T04 — Plant partner support  (parallel to animal partner)</t>
  </si>
  <si>
    <t xml:space="preserve">T05 — Imported foundation seeds  (international centres)</t>
  </si>
  <si>
    <t xml:space="preserve">T06 — Mother trees  (acacia / faidherbia / fruit)</t>
  </si>
  <si>
    <t xml:space="preserve">T07 — Acacia senegal mother nursery  (gum arabic)</t>
  </si>
  <si>
    <t xml:space="preserve">T08 — Plant inputs per year  (substrate, pots, water)</t>
  </si>
  <si>
    <t xml:space="preserve">T09 — Plant centre staff  (1 senior + 2 workers + 1 technician)</t>
  </si>
  <si>
    <t xml:space="preserve">T10 — Programme management — plant  (Y1+Y2)</t>
  </si>
  <si>
    <t xml:space="preserve">T11 — Consumables — plant  (Y1+Y2)</t>
  </si>
  <si>
    <t xml:space="preserve">05 — CAPEX / Capital Investments  [€]</t>
  </si>
  <si>
    <t xml:space="preserve">1. The three farms — production assets</t>
  </si>
  <si>
    <t xml:space="preserve">2. Building the workforce — training cohorts</t>
  </si>
  <si>
    <t xml:space="preserve">3. Genetics platform — animal + plant</t>
  </si>
  <si>
    <t xml:space="preserve">4. Development &amp; structuring costs</t>
  </si>
  <si>
    <t xml:space="preserve">5. Reserves  (working capital, DSRA/MMR, contingency)</t>
  </si>
  <si>
    <t xml:space="preserve">TOTAL CAPITAL INVESTED</t>
  </si>
  <si>
    <t xml:space="preserve">The three farms — physical CAPEX (Y0 build)</t>
  </si>
  <si>
    <t xml:space="preserve">Land &amp; infrastructure</t>
  </si>
  <si>
    <t xml:space="preserve">Foncier — land (in-kind, 100 ha/farm)</t>
  </si>
  <si>
    <t xml:space="preserve">Aménagements — clearing, topography, fencing, VRD</t>
  </si>
  <si>
    <t xml:space="preserve">Buildings — coop office, storage, warehouse, livestock buildings</t>
  </si>
  <si>
    <t xml:space="preserve">Agroforestry — 30,000 trees/farm × €0.50</t>
  </si>
  <si>
    <t xml:space="preserve">Subtotal — Land &amp; infrastructure</t>
  </si>
  <si>
    <t xml:space="preserve">Livestock</t>
  </si>
  <si>
    <t xml:space="preserve">Dairy — infra (building + milking + cooling)</t>
  </si>
  <si>
    <t xml:space="preserve">Herd — 30 cows (in-kind, Haraz)</t>
  </si>
  <si>
    <t xml:space="preserve">Feedlot — open pens (30 finished/yr)</t>
  </si>
  <si>
    <t xml:space="preserve">Subtotal — Livestock</t>
  </si>
  <si>
    <t xml:space="preserve">Power, water &amp; equipment</t>
  </si>
  <si>
    <t xml:space="preserve">Irrigation infra — drip 20ha + sprinkler 10ha + piping</t>
  </si>
  <si>
    <t xml:space="preserve">Water station — wells, pumps, storage, treatment  (to confirm)</t>
  </si>
  <si>
    <t xml:space="preserve">Power station — solar PV + BESS + inverter + 400V  (to confirm)</t>
  </si>
  <si>
    <t xml:space="preserve">Mechanisation — tractors, implements  (shared pool, to confirm)</t>
  </si>
  <si>
    <t xml:space="preserve">Monitoring — piezometers (4/farm)</t>
  </si>
  <si>
    <t xml:space="preserve">Subtotal — Power, water &amp; equipment</t>
  </si>
  <si>
    <t xml:space="preserve">TOTAL — THE THREE FARMS</t>
  </si>
  <si>
    <t xml:space="preserve">Training infrastructure — one-time setup</t>
  </si>
  <si>
    <t xml:space="preserve">Curriculum &amp; certification</t>
  </si>
  <si>
    <t xml:space="preserve">TOTAL — WORKFORCE BUILD-UP</t>
  </si>
  <si>
    <t xml:space="preserve">Genetics platform — animal + plant  (hardware)</t>
  </si>
  <si>
    <t xml:space="preserve">Centre veterinary (building)</t>
  </si>
  <si>
    <t xml:space="preserve">Animal equipment (pharma + lab + chute)</t>
  </si>
  <si>
    <t xml:space="preserve">Identification (boucles + bolus + lecteur) per unit</t>
  </si>
  <si>
    <t xml:space="preserve">AI hardware shared (tank + ultrasound + iPad)</t>
  </si>
  <si>
    <t xml:space="preserve">Subtotal — Animal genetics</t>
  </si>
  <si>
    <t xml:space="preserve">Centre végétal building (500 m² covered)</t>
  </si>
  <si>
    <t xml:space="preserve">Vegetal equipment (germinators + drip)</t>
  </si>
  <si>
    <t xml:space="preserve">Subtotal — Plant genetics</t>
  </si>
  <si>
    <t xml:space="preserve">TOTAL — GENETICS PLATFORM</t>
  </si>
  <si>
    <t xml:space="preserve">Development &amp; structuring costs (Y0)</t>
  </si>
  <si>
    <t xml:space="preserve">Pre-FID development</t>
  </si>
  <si>
    <t xml:space="preserve">Studies &amp; EIES</t>
  </si>
  <si>
    <t xml:space="preserve">Subtotal — Pre-FID development</t>
  </si>
  <si>
    <t xml:space="preserve">Construction-phase oversight</t>
  </si>
  <si>
    <t xml:space="preserve">Construction supervision (5% of farm CAPEX cash)</t>
  </si>
  <si>
    <t xml:space="preserve">Subtotal — Construction-phase oversight</t>
  </si>
  <si>
    <t xml:space="preserve">TOTAL — DEVELOPMENT &amp; STRUCTURING</t>
  </si>
  <si>
    <t xml:space="preserve">Reserves  (Y0)</t>
  </si>
  <si>
    <t xml:space="preserve">Working capital buffer (3 months OpEx)</t>
  </si>
  <si>
    <t xml:space="preserve">DSRA  (LC-funded, off-balance-sheet — face value €227k)</t>
  </si>
  <si>
    <t xml:space="preserve">MMR  (1 month of farm OpEx, maintenance reserve)</t>
  </si>
  <si>
    <t xml:space="preserve">Contingency (10% of hard CAPEX)</t>
  </si>
  <si>
    <t xml:space="preserve">TOTAL — RESERVES</t>
  </si>
  <si>
    <t xml:space="preserve">A01 — Number of farms</t>
  </si>
  <si>
    <t xml:space="preserve">A08 — EUR/USD exchange rate</t>
  </si>
  <si>
    <t xml:space="preserve">X17 — USD — uof_land per farm</t>
  </si>
  <si>
    <t xml:space="preserve">X18 — USD — uof_buildings per farm</t>
  </si>
  <si>
    <t xml:space="preserve">X19 — USD — uof_dairy per farm</t>
  </si>
  <si>
    <t xml:space="preserve">X20 — USD — uof_feedlot per farm</t>
  </si>
  <si>
    <t xml:space="preserve">L07 — L07 — In-kind land TOTAL (programme, for I01c per farm)</t>
  </si>
  <si>
    <t xml:space="preserve">I01 — uof_land EUR/farm</t>
  </si>
  <si>
    <t xml:space="preserve">I02 — uof_buildings EUR/farm</t>
  </si>
  <si>
    <t xml:space="preserve">I03 — uof_dairy EUR/farm</t>
  </si>
  <si>
    <t xml:space="preserve">I04 — uof_feedlot EUR/farm</t>
  </si>
  <si>
    <t xml:space="preserve">I01c — I01c — In-kind land EUR/farm</t>
  </si>
  <si>
    <t xml:space="preserve">06 — Sources &amp; Uses  [€]</t>
  </si>
  <si>
    <t xml:space="preserve">USES BY PURPOSE</t>
  </si>
  <si>
    <t xml:space="preserve">2. Workforce build-up — training + cohorts</t>
  </si>
  <si>
    <t xml:space="preserve">TOTAL USES</t>
  </si>
  <si>
    <t xml:space="preserve">CAPITAL STACK</t>
  </si>
  <si>
    <t xml:space="preserve">1. Equity — sponsor cash + in-kind (mostly land + herd)</t>
  </si>
  <si>
    <t xml:space="preserve">2. Debt — senior + junior</t>
  </si>
  <si>
    <t xml:space="preserve">3. Grants &amp; concessional</t>
  </si>
  <si>
    <t xml:space="preserve">4. Working-capital facility</t>
  </si>
  <si>
    <t xml:space="preserve">5. Funding gap (over-/under-)</t>
  </si>
  <si>
    <t xml:space="preserve">TOTAL SOURCES</t>
  </si>
  <si>
    <t xml:space="preserve">Balance check  (sources − uses, should = €0)</t>
  </si>
  <si>
    <t xml:space="preserve">Uses by purpose — detail</t>
  </si>
  <si>
    <t xml:space="preserve">Productive assets — three farms</t>
  </si>
  <si>
    <t xml:space="preserve">Hard physical CAPEX  (land development, buildings, equipment)</t>
  </si>
  <si>
    <t xml:space="preserve">Cheptel embouche initial (apport en nature)</t>
  </si>
  <si>
    <t xml:space="preserve">Subtotal — Productive assets</t>
  </si>
  <si>
    <t xml:space="preserve">Workforce build-up</t>
  </si>
  <si>
    <t xml:space="preserve">Training infrastructure  (curriculum, ToT, classroom)</t>
  </si>
  <si>
    <t xml:space="preserve">Recurring training  (Y1+Y2 stipends + trainers)</t>
  </si>
  <si>
    <t xml:space="preserve">Subtotal — Workforce build-up</t>
  </si>
  <si>
    <t xml:space="preserve">Genetics platform — animal + plant</t>
  </si>
  <si>
    <t xml:space="preserve">Animal genetics — hardware  (vet centre, equipment)</t>
  </si>
  <si>
    <t xml:space="preserve">Animal genetics — operations  (pre-op Y0 + recurring Y1+Y2)</t>
  </si>
  <si>
    <t xml:space="preserve">Plant genetics — hardware  (nursery, equipment)</t>
  </si>
  <si>
    <t xml:space="preserve">Plant genetics — operations  (pre-op Y0 + recurring Y1+Y2)</t>
  </si>
  <si>
    <t xml:space="preserve">Subtotal — Genetics platform</t>
  </si>
  <si>
    <t xml:space="preserve">Development &amp; structuring</t>
  </si>
  <si>
    <t xml:space="preserve">Studies, advisory, legal, supervision</t>
  </si>
  <si>
    <t xml:space="preserve">Subtotal — Development &amp; structuring</t>
  </si>
  <si>
    <t xml:space="preserve">Reserves &amp; contingency</t>
  </si>
  <si>
    <t xml:space="preserve">Working capital buffer + contingency</t>
  </si>
  <si>
    <t xml:space="preserve">Subtotal — Reserves &amp; contingency</t>
  </si>
  <si>
    <t xml:space="preserve">Capital stack — detail</t>
  </si>
  <si>
    <t xml:space="preserve">Equity</t>
  </si>
  <si>
    <t xml:space="preserve">Sponsor cash equity  (Y0)</t>
  </si>
  <si>
    <t xml:space="preserve">In-kind equity  (land usufruct + dairy herd, Y0)</t>
  </si>
  <si>
    <t xml:space="preserve">Equity — in-kind: cheptel embouche (promoteur)</t>
  </si>
  <si>
    <t xml:space="preserve">Subtotal — Equity</t>
  </si>
  <si>
    <t xml:space="preserve">Debt</t>
  </si>
  <si>
    <t xml:space="preserve">Senior debt</t>
  </si>
  <si>
    <t xml:space="preserve">Junior debt</t>
  </si>
  <si>
    <t xml:space="preserve">Subtotal — Debt</t>
  </si>
  <si>
    <t xml:space="preserve">Grants &amp; concessional</t>
  </si>
  <si>
    <t xml:space="preserve">Training infrastructure grant  (Y-1 + Y0)</t>
  </si>
  <si>
    <t xml:space="preserve">Recurring training grant  (Y1 + Y2)</t>
  </si>
  <si>
    <t xml:space="preserve">Animal-genetics hardware grant</t>
  </si>
  <si>
    <t xml:space="preserve">Animal-genetics operations grant</t>
  </si>
  <si>
    <t xml:space="preserve">Plant-genetics hardware grant</t>
  </si>
  <si>
    <t xml:space="preserve">Plant-genetics operations grant</t>
  </si>
  <si>
    <t xml:space="preserve">Subtotal — Grants &amp; concessional</t>
  </si>
  <si>
    <t xml:space="preserve">Working-capital facility</t>
  </si>
  <si>
    <t xml:space="preserve">Working-capital facility  (post-COD, not yet sized)</t>
  </si>
  <si>
    <t xml:space="preserve">Subtotal — Working-capital facility</t>
  </si>
  <si>
    <t xml:space="preserve">Funding gap</t>
  </si>
  <si>
    <t xml:space="preserve">Programme financing gap  (balancing residual)</t>
  </si>
  <si>
    <t xml:space="preserve">Subtotal — Funding gap</t>
  </si>
  <si>
    <t xml:space="preserve">BALANCE (sources − uses = 0 when fully funded)</t>
  </si>
  <si>
    <t xml:space="preserve">Balance / gap (cash funding needed)</t>
  </si>
  <si>
    <t xml:space="preserve">Check — balance = 0 when funded</t>
  </si>
  <si>
    <t xml:space="preserve">X14 — Senior debt share</t>
  </si>
  <si>
    <t xml:space="preserve">X15 — Junior debt share (L04b source)</t>
  </si>
  <si>
    <t xml:space="preserve">X21 — X21 — USD source — in-kind land</t>
  </si>
  <si>
    <t xml:space="preserve">X22 — X22 — USD source — in-kind herd</t>
  </si>
  <si>
    <t xml:space="preserve">farm_capex — farm_capex — Farm CAPEX TOTAL  (sum across 8 periods)</t>
  </si>
  <si>
    <t xml:space="preserve">L04 — Senior debt T1</t>
  </si>
  <si>
    <t xml:space="preserve">L04b — Junior debt T2</t>
  </si>
  <si>
    <t xml:space="preserve">L07 — L07 — Equity in-kind land</t>
  </si>
  <si>
    <t xml:space="preserve">L08 — L08 — Equity in-kind herd</t>
  </si>
  <si>
    <t xml:space="preserve">L06 — Sponsor cash equity = (1−X14−X15) × farm_capex_total − L07 − L08</t>
  </si>
  <si>
    <t xml:space="preserve">L05 — L05 — Grant envelope FULL  (TRAIN + GENETICS, summed)</t>
  </si>
  <si>
    <t xml:space="preserve">07 — Revenue  [€]</t>
  </si>
  <si>
    <t xml:space="preserve">Farming revenue  (dairy + beef + market garden + cereals)</t>
  </si>
  <si>
    <t xml:space="preserve">Training revenue</t>
  </si>
  <si>
    <t xml:space="preserve">Genetics revenue</t>
  </si>
  <si>
    <t xml:space="preserve">TOTAL REVENUE</t>
  </si>
  <si>
    <t xml:space="preserve">Dairy — milk chain</t>
  </si>
  <si>
    <t xml:space="preserve">Dairy herd  (head)</t>
  </si>
  <si>
    <t xml:space="preserve">têtes</t>
  </si>
  <si>
    <t xml:space="preserve">Yield per cow  (L/head/yr)</t>
  </si>
  <si>
    <t xml:space="preserve">L/tête</t>
  </si>
  <si>
    <t xml:space="preserve">Volume produced  (L/yr)</t>
  </si>
  <si>
    <t xml:space="preserve">L/an</t>
  </si>
  <si>
    <t xml:space="preserve">Price  (€/L)</t>
  </si>
  <si>
    <t xml:space="preserve">Dairy revenue  (€/yr)</t>
  </si>
  <si>
    <t xml:space="preserve">€/an</t>
  </si>
  <si>
    <t xml:space="preserve">Beef — cow-calf chain</t>
  </si>
  <si>
    <t xml:space="preserve">Cow-calf herd  (head)</t>
  </si>
  <si>
    <t xml:space="preserve">Offtake rate</t>
  </si>
  <si>
    <t xml:space="preserve">%/an</t>
  </si>
  <si>
    <t xml:space="preserve">Animals sold  (head/yr)</t>
  </si>
  <si>
    <t xml:space="preserve">Liveweight  (kg/head)</t>
  </si>
  <si>
    <t xml:space="preserve">kg/tête</t>
  </si>
  <si>
    <t xml:space="preserve">Carcass weight sold  (kg/yr)</t>
  </si>
  <si>
    <t xml:space="preserve">kg/an</t>
  </si>
  <si>
    <t xml:space="preserve">Price  (€/kg carcass)</t>
  </si>
  <si>
    <t xml:space="preserve">Beef revenue  (€/yr)</t>
  </si>
  <si>
    <t xml:space="preserve">Market garden — irrigated horticulture</t>
  </si>
  <si>
    <t xml:space="preserve">Market garden surface  (ha)</t>
  </si>
  <si>
    <t xml:space="preserve">Yield  (t/ha/cycle)</t>
  </si>
  <si>
    <t xml:space="preserve">Cycles per year</t>
  </si>
  <si>
    <t xml:space="preserve">cycles</t>
  </si>
  <si>
    <t xml:space="preserve">Volume  (t/yr)</t>
  </si>
  <si>
    <t xml:space="preserve">t/an</t>
  </si>
  <si>
    <t xml:space="preserve">Price  (€/t)</t>
  </si>
  <si>
    <t xml:space="preserve">Market garden revenue  (€/yr)</t>
  </si>
  <si>
    <t xml:space="preserve">Cereals — sorghum + maize</t>
  </si>
  <si>
    <t xml:space="preserve">Cereal surface  (ha)</t>
  </si>
  <si>
    <t xml:space="preserve">Yield  (t/ha)</t>
  </si>
  <si>
    <t xml:space="preserve">Cereal revenue  (€/yr)</t>
  </si>
  <si>
    <t xml:space="preserve">Training services revenue</t>
  </si>
  <si>
    <t xml:space="preserve">Genetics revenue  (Phase A: pure cost centre, = 0)</t>
  </si>
  <si>
    <t xml:space="preserve">Genetics services revenue  (currently grant-funded)</t>
  </si>
  <si>
    <t xml:space="preserve">Total revenue</t>
  </si>
  <si>
    <t xml:space="preserve">08 — Operating Expenses  [€]</t>
  </si>
  <si>
    <t xml:space="preserve">Farming operations</t>
  </si>
  <si>
    <t xml:space="preserve">Training operations</t>
  </si>
  <si>
    <t xml:space="preserve">Genetics operations</t>
  </si>
  <si>
    <t xml:space="preserve">TOTAL OPEX</t>
  </si>
  <si>
    <t xml:space="preserve">Recurring training costs</t>
  </si>
  <si>
    <t xml:space="preserve">Trainers + trainee stipends + monitoring/comms</t>
  </si>
  <si>
    <t xml:space="preserve">Annual audit &amp; financing fees</t>
  </si>
  <si>
    <t xml:space="preserve">Annual audit (Y1–Y6)</t>
  </si>
  <si>
    <t xml:space="preserve">Farming direct inputs (crops + herd + supervision)</t>
  </si>
  <si>
    <t xml:space="preserve">ha-cycles/yr  (surface × cycles)</t>
  </si>
  <si>
    <t xml:space="preserve">ha-cycles</t>
  </si>
  <si>
    <t xml:space="preserve">Seeds — market garden</t>
  </si>
  <si>
    <t xml:space="preserve">Fertilizer — market garden</t>
  </si>
  <si>
    <t xml:space="preserve">Pesticides — market garden</t>
  </si>
  <si>
    <t xml:space="preserve">Seeds — cereals</t>
  </si>
  <si>
    <t xml:space="preserve">Fertilizer — cereals</t>
  </si>
  <si>
    <t xml:space="preserve">Pesticides — cereals</t>
  </si>
  <si>
    <t xml:space="preserve">Forage surface  (ha)</t>
  </si>
  <si>
    <t xml:space="preserve">Fertilizer — alfalfa</t>
  </si>
  <si>
    <t xml:space="preserve">Total forage requirement  (t DM/yr)</t>
  </si>
  <si>
    <t xml:space="preserve">t MS</t>
  </si>
  <si>
    <t xml:space="preserve">Internal production  (t DM/yr)</t>
  </si>
  <si>
    <t xml:space="preserve">Purchased deficit  (t DM/yr)</t>
  </si>
  <si>
    <t xml:space="preserve">Purchased feed  (concentrate)</t>
  </si>
  <si>
    <t xml:space="preserve">Animal health / veterinary</t>
  </si>
  <si>
    <t xml:space="preserve">Dairy insemination</t>
  </si>
  <si>
    <t xml:space="preserve">Achat cheptel embouche (renouvellement)</t>
  </si>
  <si>
    <t xml:space="preserve">Managers / supervisors</t>
  </si>
  <si>
    <t xml:space="preserve">Subtotal — Farming direct inputs</t>
  </si>
  <si>
    <t xml:space="preserve">Energy &amp; water (direct cost)</t>
  </si>
  <si>
    <t xml:space="preserve">Pumping — market garden  (kWh/yr)</t>
  </si>
  <si>
    <t xml:space="preserve">kWh</t>
  </si>
  <si>
    <t xml:space="preserve">Pumping — forage  (kWh/yr)</t>
  </si>
  <si>
    <t xml:space="preserve">Process &amp; lighting  (kWh/yr)</t>
  </si>
  <si>
    <t xml:space="preserve">Total energy  (kWh/yr)</t>
  </si>
  <si>
    <t xml:space="preserve">Electricity cost</t>
  </si>
  <si>
    <t xml:space="preserve">Diesel backup  (L/yr)</t>
  </si>
  <si>
    <t xml:space="preserve">L</t>
  </si>
  <si>
    <t xml:space="preserve">Diesel backup cost</t>
  </si>
  <si>
    <t xml:space="preserve">Subtotal — Energy &amp; water</t>
  </si>
  <si>
    <t xml:space="preserve">Mechanisation (direct cost)</t>
  </si>
  <si>
    <t xml:space="preserve">Worked surface  (ha total)</t>
  </si>
  <si>
    <t xml:space="preserve">Soil preparation  (ploughing + harrowing)</t>
  </si>
  <si>
    <t xml:space="preserve">Sowing — market garden  (× cycles)</t>
  </si>
  <si>
    <t xml:space="preserve">Sowing — cereals</t>
  </si>
  <si>
    <t xml:space="preserve">Harvest — market garden  (× cycles)</t>
  </si>
  <si>
    <t xml:space="preserve">Harvest — cereals  (threshing / combine)</t>
  </si>
  <si>
    <t xml:space="preserve">Transported volume  (t/yr)</t>
  </si>
  <si>
    <t xml:space="preserve">Harvest transport</t>
  </si>
  <si>
    <t xml:space="preserve">Forage cuts  (ha-cuts/yr)</t>
  </si>
  <si>
    <t xml:space="preserve">ha-coupes</t>
  </si>
  <si>
    <t xml:space="preserve">Alfalfa cutting &amp; haymaking</t>
  </si>
  <si>
    <t xml:space="preserve">Equipment maintenance</t>
  </si>
  <si>
    <t xml:space="preserve">Subtotal — Mechanisation</t>
  </si>
  <si>
    <t xml:space="preserve">Genetics platform — operating costs</t>
  </si>
  <si>
    <t xml:space="preserve">Animal-genetics platform — operations</t>
  </si>
  <si>
    <t xml:space="preserve">Plant-genetics platform — operations</t>
  </si>
  <si>
    <t xml:space="preserve">Total OpEx</t>
  </si>
  <si>
    <t xml:space="preserve">X24 — USD — concentrate per kg</t>
  </si>
  <si>
    <t xml:space="preserve">X25 — USD — diesel per L</t>
  </si>
  <si>
    <t xml:space="preserve">P08 — Concentrate price</t>
  </si>
  <si>
    <t xml:space="preserve">Q07 — Diesel price</t>
  </si>
  <si>
    <t xml:space="preserve">09 — Debt T1 &amp; T2 / Debt service  [€]</t>
  </si>
  <si>
    <t xml:space="preserve">Debt — rollforward</t>
  </si>
  <si>
    <t xml:space="preserve">Opening balance</t>
  </si>
  <si>
    <t xml:space="preserve">+ Draw  (at debt draw year)</t>
  </si>
  <si>
    <t xml:space="preserve">− Repayment  (linear amortisation, post-grace)</t>
  </si>
  <si>
    <t xml:space="preserve">Closing balance</t>
  </si>
  <si>
    <t xml:space="preserve">Interest expense  (incl. construction interest)</t>
  </si>
  <si>
    <t xml:space="preserve">DSCR memo</t>
  </si>
  <si>
    <t xml:space="preserve">DSCR target ≥ 1.20  (live ratio in 17_Outputs)</t>
  </si>
  <si>
    <t xml:space="preserve">Check — debt closing balance ≥ 0</t>
  </si>
  <si>
    <t xml:space="preserve">10 — Construction Work-in-Progress (CWIP)  [€]</t>
  </si>
  <si>
    <t xml:space="preserve">Construction WIP — rollforward</t>
  </si>
  <si>
    <t xml:space="preserve">Opening CWIP balance</t>
  </si>
  <si>
    <t xml:space="preserve">+ Y-1 additions  (pre-programme: curriculum + ToT)</t>
  </si>
  <si>
    <t xml:space="preserve">+ Y0 additions  (farm CAPEX + infrastructure)</t>
  </si>
  <si>
    <t xml:space="preserve">− Transfer to Fixed Assets at commissioning</t>
  </si>
  <si>
    <t xml:space="preserve">Closing CWIP balance</t>
  </si>
  <si>
    <t xml:space="preserve">Total CWIP additions  (memo)</t>
  </si>
  <si>
    <t xml:space="preserve">Check — CWIP closes to zero at commissioning</t>
  </si>
  <si>
    <t xml:space="preserve">11 — Fixed Assets &amp; Depreciation  [€]</t>
  </si>
  <si>
    <t xml:space="preserve">Book basis  (financial statements)</t>
  </si>
  <si>
    <t xml:space="preserve">Opening book net book value</t>
  </si>
  <si>
    <t xml:space="preserve">+ Transfer from CWIP at commissioning</t>
  </si>
  <si>
    <t xml:space="preserve">− Book depreciation  (straight-line)</t>
  </si>
  <si>
    <t xml:space="preserve">Closing book net book value</t>
  </si>
  <si>
    <t xml:space="preserve">Tax basis  (deferred tax driver)</t>
  </si>
  <si>
    <t xml:space="preserve">Opening tax net book value</t>
  </si>
  <si>
    <t xml:space="preserve">− Tax depreciation  (straight-line)</t>
  </si>
  <si>
    <t xml:space="preserve">Closing tax net book value</t>
  </si>
  <si>
    <t xml:space="preserve">Deferred Tax Liability</t>
  </si>
  <si>
    <t xml:space="preserve">Deferred tax liability — closing balance</t>
  </si>
  <si>
    <t xml:space="preserve">Check — book and tax NBV ≥ 0</t>
  </si>
  <si>
    <t xml:space="preserve">12 — Working Capital  [€]</t>
  </si>
  <si>
    <t xml:space="preserve">Balance sheet targets  (end-of-period)</t>
  </si>
  <si>
    <t xml:space="preserve">Accounts Receivable</t>
  </si>
  <si>
    <t xml:space="preserve">Accounts Payable</t>
  </si>
  <si>
    <t xml:space="preserve">Period movements</t>
  </si>
  <si>
    <t xml:space="preserve">ΔAR  (positive = receivables grew)</t>
  </si>
  <si>
    <t xml:space="preserve">ΔAP  (positive = payables grew)</t>
  </si>
  <si>
    <t xml:space="preserve">Net working-capital cash impact</t>
  </si>
  <si>
    <t xml:space="preserve">Note — VAT gross-up deferred to L2</t>
  </si>
  <si>
    <t xml:space="preserve">13 — Corporate income tax  [€]</t>
  </si>
  <si>
    <t xml:space="preserve">Income statement bridge  (tax inputs)</t>
  </si>
  <si>
    <t xml:space="preserve">Revenue</t>
  </si>
  <si>
    <t xml:space="preserve">− OpEx</t>
  </si>
  <si>
    <t xml:space="preserve">− Book depreciation</t>
  </si>
  <si>
    <t xml:space="preserve">− Interest expense</t>
  </si>
  <si>
    <t xml:space="preserve">Pre-tax income</t>
  </si>
  <si>
    <t xml:space="preserve">Tax holiday window</t>
  </si>
  <si>
    <t xml:space="preserve">Tax holiday active  (1 = exempt, 0 = taxable)</t>
  </si>
  <si>
    <t xml:space="preserve">Net operating loss  (NOL) pool</t>
  </si>
  <si>
    <t xml:space="preserve">NOL opening pool</t>
  </si>
  <si>
    <t xml:space="preserve">+ Losses added to pool</t>
  </si>
  <si>
    <t xml:space="preserve">− NOL used against taxable income</t>
  </si>
  <si>
    <t xml:space="preserve">NOL closing pool</t>
  </si>
  <si>
    <t xml:space="preserve">Current tax</t>
  </si>
  <si>
    <t xml:space="preserve">Taxable income  (after NOL offset)</t>
  </si>
  <si>
    <t xml:space="preserve">Current tax charge</t>
  </si>
  <si>
    <t xml:space="preserve">Deferred tax</t>
  </si>
  <si>
    <t xml:space="preserve">Deferred tax charge  (Δ vs prior period)</t>
  </si>
  <si>
    <t xml:space="preserve">TOTAL tax expense  (current + deferred)</t>
  </si>
  <si>
    <t xml:space="preserve">14 — Income Statement  [€]</t>
  </si>
  <si>
    <t xml:space="preserve">Operating performance</t>
  </si>
  <si>
    <t xml:space="preserve">− OpEx  (Farming activities)</t>
  </si>
  <si>
    <t xml:space="preserve">EBITDA</t>
  </si>
  <si>
    <t xml:space="preserve">Below EBITDA</t>
  </si>
  <si>
    <t xml:space="preserve">− Depreciation  (book)</t>
  </si>
  <si>
    <t xml:space="preserve">Commercial EBIT</t>
  </si>
  <si>
    <t xml:space="preserve">Programme Activities</t>
  </si>
  <si>
    <t xml:space="preserve">− Training Programme</t>
  </si>
  <si>
    <t xml:space="preserve">− Genetics Programme</t>
  </si>
  <si>
    <t xml:space="preserve">TOTAL EBIT</t>
  </si>
  <si>
    <t xml:space="preserve">Non-operating</t>
  </si>
  <si>
    <t xml:space="preserve">Tax</t>
  </si>
  <si>
    <t xml:space="preserve">− Income tax charge  (current + deferred)</t>
  </si>
  <si>
    <t xml:space="preserve">+ Grant income  (IAS 20 — non-taxable)</t>
  </si>
  <si>
    <t xml:space="preserve">NET INCOME</t>
  </si>
  <si>
    <t xml:space="preserve">15 — Balance Sheet  [€]</t>
  </si>
  <si>
    <t xml:space="preserve">ASSETS</t>
  </si>
  <si>
    <t xml:space="preserve">Cash  [derived — balancing item]</t>
  </si>
  <si>
    <t xml:space="preserve">Construction WIP</t>
  </si>
  <si>
    <t xml:space="preserve">Fixed Assets — book NBV</t>
  </si>
  <si>
    <t xml:space="preserve">Inventory — cheptel embouche (in-kind WC)</t>
  </si>
  <si>
    <t xml:space="preserve">TOTAL ASSETS</t>
  </si>
  <si>
    <t xml:space="preserve">LIABILITIES</t>
  </si>
  <si>
    <t xml:space="preserve">Debt — outstanding</t>
  </si>
  <si>
    <t xml:space="preserve">Deferred income — government grants  (IAS 20)</t>
  </si>
  <si>
    <t xml:space="preserve">TOTAL LIABILITIES</t>
  </si>
  <si>
    <t xml:space="preserve">EQUITY</t>
  </si>
  <si>
    <t xml:space="preserve">Contributed capital  (cash + in-kind + gap)</t>
  </si>
  <si>
    <t xml:space="preserve">Retained earnings  (cumulative)</t>
  </si>
  <si>
    <t xml:space="preserve">TOTAL EQUITY</t>
  </si>
  <si>
    <t xml:space="preserve">TOTAL LIABILITIES + EQUITY</t>
  </si>
  <si>
    <t xml:space="preserve">Check — Assets = Liabilities + Equity</t>
  </si>
  <si>
    <t xml:space="preserve">Check — Cash ≥ 0</t>
  </si>
  <si>
    <t xml:space="preserve">16 — Cash Flow Statement (indirect method)  [€]</t>
  </si>
  <si>
    <t xml:space="preserve">Cash from Operations</t>
  </si>
  <si>
    <t xml:space="preserve">Net income  (incl. grant income — IAS 20)</t>
  </si>
  <si>
    <t xml:space="preserve">+ Depreciation  (non-cash add-back)</t>
  </si>
  <si>
    <t xml:space="preserve">− Grant income amortisation  (non-cash, IAS 20)</t>
  </si>
  <si>
    <t xml:space="preserve">+ Working capital cash impact</t>
  </si>
  <si>
    <t xml:space="preserve">+ Deferred tax  (non-cash add-back)</t>
  </si>
  <si>
    <t xml:space="preserve">Total — Operating</t>
  </si>
  <si>
    <t xml:space="preserve">Cash from Investing</t>
  </si>
  <si>
    <t xml:space="preserve">− CAPEX to fixed assets</t>
  </si>
  <si>
    <t xml:space="preserve">+ Capital grant cash inflow  (IAS 7 reclass)</t>
  </si>
  <si>
    <t xml:space="preserve">Total — Investing</t>
  </si>
  <si>
    <t xml:space="preserve">Cash from Financing</t>
  </si>
  <si>
    <t xml:space="preserve">Net debt movement  (draw − repayment)</t>
  </si>
  <si>
    <t xml:space="preserve">Equity  (cash + in-kind, Y0) + funding gap</t>
  </si>
  <si>
    <t xml:space="preserve">Total — Financing</t>
  </si>
  <si>
    <t xml:space="preserve">NET CASH MOVEMENT</t>
  </si>
  <si>
    <t xml:space="preserve">Opening cash</t>
  </si>
  <si>
    <t xml:space="preserve">Closing cash</t>
  </si>
  <si>
    <t xml:space="preserve">Check — CFS closing cash = BS cash</t>
  </si>
  <si>
    <t xml:space="preserve">17 — Key financial outputs &amp; KPIs</t>
  </si>
  <si>
    <t xml:space="preserve">CFADS bridge — EBITDA to CFADS  (commercial only)</t>
  </si>
  <si>
    <t xml:space="preserve">− Current cash tax</t>
  </si>
  <si>
    <t xml:space="preserve">→ CFADS  (Cash Flow Available for Debt Service)</t>
  </si>
  <si>
    <t xml:space="preserve">Cash waterfall — CFADS allocation</t>
  </si>
  <si>
    <t xml:space="preserve">CFADS  (memo from bridge above)</t>
  </si>
  <si>
    <t xml:space="preserve">− Debt service  (interest + scheduled principal)</t>
  </si>
  <si>
    <t xml:space="preserve">→ Cash after debt service</t>
  </si>
  <si>
    <t xml:space="preserve">− Distributions to equity  (pending policy)</t>
  </si>
  <si>
    <t xml:space="preserve">→ Retained cash</t>
  </si>
  <si>
    <t xml:space="preserve">Coverage ratios</t>
  </si>
  <si>
    <t xml:space="preserve">Debt service  (positive memo)</t>
  </si>
  <si>
    <t xml:space="preserve">DSCR — CFADS / Debt service  (target ≥ 1.20)</t>
  </si>
  <si>
    <t xml:space="preserve">x</t>
  </si>
  <si>
    <t xml:space="preserve">NPV of CFADS  (memo)</t>
  </si>
  <si>
    <t xml:space="preserve">NPV of CFADS  (discounted at WACC from Y0)</t>
  </si>
  <si>
    <t xml:space="preserve">Returns — commercial unlevered IRR</t>
  </si>
  <si>
    <t xml:space="preserve">Commercial CAPEX  (farm only — excl. programme infra)</t>
  </si>
  <si>
    <t xml:space="preserve">Commercial Project FCF  (unlevered)</t>
  </si>
  <si>
    <t xml:space="preserve">Commercial Unlevered IRR  (Y-1 → Y6)</t>
  </si>
  <si>
    <t xml:space="preserve">Programme CAPEX  (memo — donor-funded)</t>
  </si>
  <si>
    <t xml:space="preserve">KPI summary</t>
  </si>
  <si>
    <t xml:space="preserve">EBITDA — steady state  (Y6)</t>
  </si>
  <si>
    <t xml:space="preserve">Net income — steady state  (Y6)</t>
  </si>
  <si>
    <t xml:space="preserve">CFADS — steady state  (Y6)</t>
  </si>
  <si>
    <t xml:space="preserve">NPV of CFADS</t>
  </si>
  <si>
    <t xml:space="preserve">Commercial Unlevered IRR</t>
  </si>
  <si>
    <t xml:space="preserve">Programme CAPEX — lifetime total  (memo)</t>
  </si>
  <si>
    <t xml:space="preserve">18 — Validation  /  Conservation checks  —  0 = PASS  ·  1 = FAIL</t>
  </si>
  <si>
    <t xml:space="preserve">ID</t>
  </si>
  <si>
    <t xml:space="preserve">Source</t>
  </si>
  <si>
    <t xml:space="preserve">Schedule checks</t>
  </si>
  <si>
    <t xml:space="preserve">S&amp;U balance = 0 when fully funded</t>
  </si>
  <si>
    <t xml:space="preserve">06_S&amp;U row ~check</t>
  </si>
  <si>
    <t xml:space="preserve">CWIP closes to 0 at COD</t>
  </si>
  <si>
    <t xml:space="preserve">10_CWIP row 15</t>
  </si>
  <si>
    <t xml:space="preserve">11_FA closing</t>
  </si>
  <si>
    <t xml:space="preserve">11_FA DTL</t>
  </si>
  <si>
    <t xml:space="preserve">Debt closing ≥ 0</t>
  </si>
  <si>
    <t xml:space="preserve">09_Debt row 18</t>
  </si>
  <si>
    <t xml:space="preserve">Balance sheet checks</t>
  </si>
  <si>
    <t xml:space="preserve">Balance sheet |Assets − L+E| &lt; 1</t>
  </si>
  <si>
    <t xml:space="preserve">15_BS</t>
  </si>
  <si>
    <t xml:space="preserve">Cash ≥ 0  (0 = funded, 1 = gap)</t>
  </si>
  <si>
    <t xml:space="preserve">15_BS cash</t>
  </si>
  <si>
    <t xml:space="preserve">Tax &amp; deferred checks</t>
  </si>
  <si>
    <t xml:space="preserve">NOL pool ≥ 0</t>
  </si>
  <si>
    <t xml:space="preserve">13_Tax NOL closing</t>
  </si>
  <si>
    <t xml:space="preserve">CFS closing cash = BS cash</t>
  </si>
  <si>
    <t xml:space="preserve">16_CFS row 29</t>
  </si>
  <si>
    <t xml:space="preserve">IS arithmetic</t>
  </si>
  <si>
    <t xml:space="preserve">EBITDA = Revenue − OpEx (IS arithmetic)</t>
  </si>
  <si>
    <t xml:space="preserve">14_IS</t>
  </si>
  <si>
    <t xml:space="preserve">IS pre-tax = 13_Tax pre-tax bridge</t>
  </si>
  <si>
    <t xml:space="preserve">14_IS vs 13_Tax</t>
  </si>
  <si>
    <t xml:space="preserve">Rev named range resolves (smoke test — 0 = NR active)</t>
  </si>
  <si>
    <t xml:space="preserve">REV_TOTAL_Y6</t>
  </si>
  <si>
    <t xml:space="preserve">TOTAL FAILS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</si>
</sst>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;\(#,##0\);\-"/>
    <numFmt numFmtId="167" formatCode="#,##0"/>
    <numFmt numFmtId="168" formatCode="0.0%"/>
    <numFmt numFmtId="169" formatCode="#,##0.00"/>
    <numFmt numFmtId="170" formatCode="#,##0.0"/>
    <numFmt numFmtId="171" formatCode="0.0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8"/>
      <color rgb="FF80808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10"/>
      <color rgb="FF404040"/>
      <name val="Arial"/>
      <family val="0"/>
      <charset val="1"/>
    </font>
    <font>
      <sz val="9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DEEFF"/>
      </patternFill>
    </fill>
    <fill>
      <patternFill patternType="solid">
        <fgColor rgb="FFE2EFDA"/>
        <bgColor rgb="FFF2F2F2"/>
      </patternFill>
    </fill>
    <fill>
      <patternFill patternType="solid">
        <fgColor rgb="FFDDEEFF"/>
        <bgColor rgb="FFD9E1F2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DDEE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2"/>
  </cols>
  <sheetData>
    <row r="1" customFormat="false" ht="27.75" hidden="false" customHeight="true" outlineLevel="0" collapsed="false">
      <c r="B1" s="1" t="s">
        <v>0</v>
      </c>
      <c r="C1" s="2"/>
      <c r="D1" s="2"/>
      <c r="E1" s="2"/>
    </row>
    <row r="2" customFormat="false" ht="15" hidden="false" customHeight="true" outlineLevel="0" collapsed="false"/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/>
    <row r="5" customFormat="false" ht="15" hidden="false" customHeight="true" outlineLevel="0" collapsed="false">
      <c r="B5" s="4" t="s">
        <v>2</v>
      </c>
      <c r="C5" s="5" t="str">
        <f aca="false">IF('18_Validation'!M29=0,"ALL CHECKS PASS","CHECKS FAILING")</f>
        <v>ALL CHECKS PASS</v>
      </c>
      <c r="D5" s="5" t="str">
        <f aca="false">'18_Validation'!M29&amp;" total fails"</f>
        <v>0 total fails</v>
      </c>
      <c r="E5" s="6"/>
    </row>
    <row r="6" customFormat="false" ht="15" hidden="false" customHeight="true" outlineLevel="0" collapsed="false"/>
    <row r="7" customFormat="false" ht="15" hidden="false" customHeight="true" outlineLevel="0" collapsed="false">
      <c r="B7" s="7" t="s">
        <v>3</v>
      </c>
      <c r="C7" s="7" t="s">
        <v>4</v>
      </c>
      <c r="D7" s="7" t="s">
        <v>5</v>
      </c>
    </row>
    <row r="8" customFormat="false" ht="15" hidden="false" customHeight="true" outlineLevel="0" collapsed="false">
      <c r="B8" s="8" t="s">
        <v>6</v>
      </c>
      <c r="C8" s="9" t="s">
        <v>7</v>
      </c>
      <c r="D8" s="10" t="n">
        <f aca="false">'18_Validation'!M6</f>
        <v>0</v>
      </c>
    </row>
    <row r="9" customFormat="false" ht="15" hidden="false" customHeight="true" outlineLevel="0" collapsed="false">
      <c r="B9" s="8" t="s">
        <v>8</v>
      </c>
      <c r="C9" s="9" t="s">
        <v>9</v>
      </c>
      <c r="D9" s="10" t="n">
        <f aca="false">'18_Validation'!M7</f>
        <v>0</v>
      </c>
    </row>
    <row r="10" customFormat="false" ht="15" hidden="false" customHeight="true" outlineLevel="0" collapsed="false">
      <c r="B10" s="8" t="s">
        <v>10</v>
      </c>
      <c r="C10" s="9" t="s">
        <v>11</v>
      </c>
      <c r="D10" s="10" t="n">
        <f aca="false">'18_Validation'!M8</f>
        <v>0</v>
      </c>
    </row>
    <row r="11" customFormat="false" ht="15" hidden="false" customHeight="true" outlineLevel="0" collapsed="false">
      <c r="B11" s="8" t="s">
        <v>12</v>
      </c>
      <c r="C11" s="9" t="s">
        <v>13</v>
      </c>
      <c r="D11" s="10" t="n">
        <f aca="false">'18_Validation'!M9</f>
        <v>0</v>
      </c>
    </row>
    <row r="12" customFormat="false" ht="15" hidden="false" customHeight="true" outlineLevel="0" collapsed="false">
      <c r="B12" s="8" t="s">
        <v>14</v>
      </c>
      <c r="C12" s="9" t="s">
        <v>15</v>
      </c>
      <c r="D12" s="10" t="n">
        <f aca="false">'18_Validation'!M10</f>
        <v>0</v>
      </c>
    </row>
    <row r="13" customFormat="false" ht="15" hidden="false" customHeight="true" outlineLevel="0" collapsed="false">
      <c r="B13" s="8" t="s">
        <v>16</v>
      </c>
      <c r="C13" s="9" t="s">
        <v>17</v>
      </c>
      <c r="D13" s="10" t="n">
        <f aca="false">'18_Validation'!M13</f>
        <v>0</v>
      </c>
    </row>
    <row r="14" customFormat="false" ht="15" hidden="false" customHeight="true" outlineLevel="0" collapsed="false">
      <c r="B14" s="8" t="s">
        <v>18</v>
      </c>
      <c r="C14" s="9" t="s">
        <v>19</v>
      </c>
      <c r="D14" s="10" t="n">
        <f aca="false">'18_Validation'!M14</f>
        <v>0</v>
      </c>
    </row>
    <row r="15" customFormat="false" ht="15" hidden="false" customHeight="true" outlineLevel="0" collapsed="false">
      <c r="B15" s="8" t="s">
        <v>20</v>
      </c>
      <c r="C15" s="9" t="s">
        <v>21</v>
      </c>
      <c r="D15" s="10" t="n">
        <f aca="false">'18_Validation'!M17</f>
        <v>0</v>
      </c>
    </row>
    <row r="16" customFormat="false" ht="15" hidden="false" customHeight="true" outlineLevel="0" collapsed="false">
      <c r="B16" s="8" t="s">
        <v>22</v>
      </c>
      <c r="C16" s="9" t="s">
        <v>23</v>
      </c>
      <c r="D16" s="10" t="n">
        <f aca="false">'18_Validation'!M18</f>
        <v>0</v>
      </c>
    </row>
    <row r="17" customFormat="false" ht="15" hidden="false" customHeight="true" outlineLevel="0" collapsed="false">
      <c r="B17" s="8" t="s">
        <v>24</v>
      </c>
      <c r="C17" s="9" t="s">
        <v>25</v>
      </c>
      <c r="D17" s="10" t="n">
        <f aca="false">'18_Validation'!M21</f>
        <v>0</v>
      </c>
    </row>
    <row r="18" customFormat="false" ht="15" hidden="false" customHeight="true" outlineLevel="0" collapsed="false">
      <c r="B18" s="8" t="s">
        <v>26</v>
      </c>
      <c r="C18" s="9" t="s">
        <v>27</v>
      </c>
      <c r="D18" s="10" t="n">
        <f aca="false">'18_Validation'!M24</f>
        <v>0</v>
      </c>
    </row>
    <row r="19" customFormat="false" ht="15" hidden="false" customHeight="true" outlineLevel="0" collapsed="false">
      <c r="B19" s="8" t="s">
        <v>28</v>
      </c>
      <c r="C19" s="9" t="s">
        <v>29</v>
      </c>
      <c r="D19" s="10" t="n">
        <f aca="false">'18_Validation'!M25</f>
        <v>0</v>
      </c>
    </row>
    <row r="20" customFormat="false" ht="15" hidden="false" customHeight="true" outlineLevel="0" collapsed="false">
      <c r="B20" s="8" t="s">
        <v>30</v>
      </c>
      <c r="C20" s="9" t="s">
        <v>31</v>
      </c>
      <c r="D20" s="10" t="n">
        <f aca="false">'18_Validation'!M26</f>
        <v>0</v>
      </c>
    </row>
    <row r="21" customFormat="false" ht="15" hidden="false" customHeight="true" outlineLevel="0" collapsed="false"/>
    <row r="22" customFormat="false" ht="15" hidden="false" customHeight="true" outlineLevel="0" collapsed="false">
      <c r="B22" s="4" t="s">
        <v>32</v>
      </c>
      <c r="C22" s="6"/>
      <c r="D22" s="6"/>
      <c r="E22" s="6"/>
    </row>
    <row r="23" customFormat="false" ht="15" hidden="false" customHeight="true" outlineLevel="0" collapsed="false">
      <c r="B23" s="9" t="s">
        <v>33</v>
      </c>
      <c r="D23" s="11" t="n">
        <f aca="false">REV_TOTAL_Y6</f>
        <v>1567503</v>
      </c>
    </row>
    <row r="24" customFormat="false" ht="15" hidden="false" customHeight="true" outlineLevel="0" collapsed="false">
      <c r="B24" s="9" t="s">
        <v>34</v>
      </c>
      <c r="D24" s="11" t="n">
        <f aca="false">-IS_OPEX_Y6</f>
        <v>578623.977272727</v>
      </c>
    </row>
    <row r="25" customFormat="false" ht="15" hidden="false" customHeight="true" outlineLevel="0" collapsed="false">
      <c r="B25" s="9" t="s">
        <v>35</v>
      </c>
      <c r="D25" s="11" t="n">
        <f aca="false">IS_EBITDA_Y6</f>
        <v>988879.022727273</v>
      </c>
    </row>
    <row r="26" customFormat="false" ht="15" hidden="false" customHeight="true" outlineLevel="0" collapsed="false">
      <c r="B26" s="9" t="s">
        <v>36</v>
      </c>
      <c r="D26" s="11" t="n">
        <f aca="false">CFADS_Y6</f>
        <v>988879.022727273</v>
      </c>
    </row>
    <row r="27" customFormat="false" ht="15" hidden="false" customHeight="true" outlineLevel="0" collapsed="false">
      <c r="B27" s="9" t="s">
        <v>37</v>
      </c>
      <c r="D27" s="11" t="n">
        <f aca="false">DEBT_CLOSE_Y6</f>
        <v>1877540.8969697</v>
      </c>
    </row>
    <row r="28" customFormat="false" ht="15" hidden="false" customHeight="true" outlineLevel="0" collapsed="false">
      <c r="B28" s="9" t="s">
        <v>38</v>
      </c>
      <c r="D28" s="11" t="n">
        <f aca="false">CAPEX_TOTAL_YM1+CAPEX_TOTAL_Y0+CAPEX_TOTAL_Y1+CAPEX_TOTAL_Y2+CAPEX_TOTAL_Y3+CAPEX_TOTAL_Y4+CAPEX_TOTAL_Y5+CAPEX_TOTAL_Y6</f>
        <v>5566792.36363636</v>
      </c>
    </row>
    <row r="30" customFormat="false" ht="15" hidden="false" customHeight="true" outlineLevel="0" collapsed="false">
      <c r="B30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27.75" hidden="false" customHeight="true" outlineLevel="0" collapsed="false">
      <c r="B1" s="1" t="s">
        <v>40</v>
      </c>
      <c r="C1" s="2"/>
      <c r="D1" s="2"/>
    </row>
    <row r="2" customFormat="false" ht="15" hidden="false" customHeight="true" outlineLevel="0" collapsed="false"/>
    <row r="3" customFormat="false" ht="15" hidden="false" customHeight="true" outlineLevel="0" collapsed="false">
      <c r="B3" s="7" t="s">
        <v>41</v>
      </c>
      <c r="C3" s="7" t="s">
        <v>42</v>
      </c>
      <c r="D3" s="7" t="s">
        <v>43</v>
      </c>
    </row>
    <row r="4" customFormat="false" ht="15" hidden="false" customHeight="true" outlineLevel="0" collapsed="false">
      <c r="B4" s="4" t="s">
        <v>44</v>
      </c>
      <c r="C4" s="6"/>
      <c r="D4" s="6"/>
    </row>
    <row r="5" customFormat="false" ht="15" hidden="false" customHeight="true" outlineLevel="0" collapsed="false">
      <c r="B5" s="9" t="s">
        <v>45</v>
      </c>
      <c r="C5" s="12" t="s">
        <v>46</v>
      </c>
      <c r="D5" s="13" t="n">
        <v>40</v>
      </c>
    </row>
    <row r="6" customFormat="false" ht="15" hidden="false" customHeight="true" outlineLevel="0" collapsed="false">
      <c r="B6" s="9" t="s">
        <v>47</v>
      </c>
      <c r="C6" s="12" t="s">
        <v>46</v>
      </c>
      <c r="D6" s="13" t="n">
        <v>4</v>
      </c>
    </row>
    <row r="7" customFormat="false" ht="15" hidden="false" customHeight="true" outlineLevel="0" collapsed="false">
      <c r="B7" s="9" t="s">
        <v>48</v>
      </c>
      <c r="C7" s="12" t="s">
        <v>46</v>
      </c>
      <c r="D7" s="13" t="n">
        <v>2</v>
      </c>
    </row>
    <row r="8" customFormat="false" ht="15" hidden="false" customHeight="true" outlineLevel="0" collapsed="false">
      <c r="B8" s="9" t="s">
        <v>49</v>
      </c>
      <c r="C8" s="12" t="s">
        <v>46</v>
      </c>
      <c r="D8" s="13" t="n">
        <v>6</v>
      </c>
    </row>
    <row r="9" customFormat="false" ht="15" hidden="false" customHeight="true" outlineLevel="0" collapsed="false">
      <c r="B9" s="9" t="s">
        <v>50</v>
      </c>
      <c r="C9" s="12" t="s">
        <v>51</v>
      </c>
      <c r="D9" s="13" t="n">
        <v>10</v>
      </c>
    </row>
    <row r="10" customFormat="false" ht="15" hidden="false" customHeight="true" outlineLevel="0" collapsed="false">
      <c r="B10" s="9" t="s">
        <v>52</v>
      </c>
      <c r="C10" s="12" t="s">
        <v>51</v>
      </c>
      <c r="D10" s="13" t="n">
        <v>50</v>
      </c>
    </row>
    <row r="11" customFormat="false" ht="15" hidden="false" customHeight="true" outlineLevel="0" collapsed="false">
      <c r="B11" s="9" t="s">
        <v>53</v>
      </c>
      <c r="C11" s="12" t="s">
        <v>46</v>
      </c>
      <c r="D11" s="13" t="n">
        <v>120</v>
      </c>
    </row>
    <row r="12" customFormat="false" ht="15" hidden="false" customHeight="true" outlineLevel="0" collapsed="false">
      <c r="B12" s="9" t="s">
        <v>54</v>
      </c>
      <c r="C12" s="12" t="s">
        <v>55</v>
      </c>
      <c r="D12" s="13" t="n">
        <v>25</v>
      </c>
    </row>
    <row r="13" customFormat="false" ht="15" hidden="false" customHeight="true" outlineLevel="0" collapsed="false">
      <c r="B13" s="9" t="s">
        <v>56</v>
      </c>
      <c r="C13" s="12" t="s">
        <v>46</v>
      </c>
      <c r="D13" s="13" t="n">
        <v>3</v>
      </c>
    </row>
    <row r="14" customFormat="false" ht="15" hidden="false" customHeight="true" outlineLevel="0" collapsed="false">
      <c r="B14" s="9" t="s">
        <v>57</v>
      </c>
      <c r="C14" s="12" t="s">
        <v>58</v>
      </c>
      <c r="D14" s="14" t="n">
        <v>40000</v>
      </c>
    </row>
    <row r="15" customFormat="false" ht="15" hidden="false" customHeight="true" outlineLevel="0" collapsed="false">
      <c r="B15" s="9" t="s">
        <v>59</v>
      </c>
      <c r="C15" s="12" t="s">
        <v>60</v>
      </c>
      <c r="D15" s="13" t="n">
        <v>135</v>
      </c>
    </row>
    <row r="16" customFormat="false" ht="15" hidden="false" customHeight="true" outlineLevel="0" collapsed="false">
      <c r="B16" s="9" t="s">
        <v>61</v>
      </c>
      <c r="C16" s="12" t="s">
        <v>46</v>
      </c>
      <c r="D16" s="13" t="n">
        <v>135</v>
      </c>
    </row>
    <row r="17" customFormat="false" ht="15" hidden="false" customHeight="true" outlineLevel="0" collapsed="false">
      <c r="B17" s="9" t="s">
        <v>62</v>
      </c>
      <c r="C17" s="12" t="s">
        <v>63</v>
      </c>
      <c r="D17" s="15" t="n">
        <v>0.66</v>
      </c>
    </row>
    <row r="18" customFormat="false" ht="15" hidden="false" customHeight="true" outlineLevel="0" collapsed="false">
      <c r="B18" s="9" t="s">
        <v>64</v>
      </c>
      <c r="C18" s="12" t="s">
        <v>63</v>
      </c>
      <c r="D18" s="15" t="n">
        <v>0.14</v>
      </c>
    </row>
    <row r="19" customFormat="false" ht="15" hidden="false" customHeight="true" outlineLevel="0" collapsed="false">
      <c r="B19" s="9" t="s">
        <v>65</v>
      </c>
      <c r="C19" s="12" t="s">
        <v>66</v>
      </c>
      <c r="D19" s="16" t="n">
        <v>427600</v>
      </c>
    </row>
    <row r="20" customFormat="false" ht="15" hidden="false" customHeight="true" outlineLevel="0" collapsed="false">
      <c r="B20" s="9" t="s">
        <v>67</v>
      </c>
      <c r="C20" s="12" t="s">
        <v>66</v>
      </c>
      <c r="D20" s="16" t="n">
        <v>115815</v>
      </c>
    </row>
    <row r="21" customFormat="false" ht="15" hidden="false" customHeight="true" outlineLevel="0" collapsed="false">
      <c r="B21" s="9" t="s">
        <v>68</v>
      </c>
      <c r="C21" s="12" t="s">
        <v>66</v>
      </c>
      <c r="D21" s="16" t="n">
        <v>122800</v>
      </c>
    </row>
    <row r="22" customFormat="false" ht="15" hidden="false" customHeight="true" outlineLevel="0" collapsed="false">
      <c r="B22" s="9" t="s">
        <v>69</v>
      </c>
      <c r="C22" s="12" t="s">
        <v>66</v>
      </c>
      <c r="D22" s="16" t="n">
        <v>8651</v>
      </c>
    </row>
    <row r="23" customFormat="false" ht="15" hidden="false" customHeight="true" outlineLevel="0" collapsed="false">
      <c r="B23" s="9" t="s">
        <v>70</v>
      </c>
      <c r="C23" s="12" t="s">
        <v>71</v>
      </c>
      <c r="D23" s="16" t="n">
        <v>493800</v>
      </c>
    </row>
    <row r="24" customFormat="false" ht="15" hidden="false" customHeight="true" outlineLevel="0" collapsed="false">
      <c r="B24" s="9" t="s">
        <v>72</v>
      </c>
      <c r="C24" s="12" t="s">
        <v>71</v>
      </c>
      <c r="D24" s="16" t="n">
        <v>225000</v>
      </c>
    </row>
    <row r="25" customFormat="false" ht="15" hidden="false" customHeight="true" outlineLevel="0" collapsed="false">
      <c r="B25" s="9" t="s">
        <v>73</v>
      </c>
      <c r="C25" s="12" t="s">
        <v>74</v>
      </c>
      <c r="D25" s="16" t="n">
        <v>0.22</v>
      </c>
    </row>
    <row r="26" customFormat="false" ht="15" hidden="false" customHeight="true" outlineLevel="0" collapsed="false">
      <c r="B26" s="9" t="s">
        <v>75</v>
      </c>
      <c r="C26" s="12" t="s">
        <v>74</v>
      </c>
      <c r="D26" s="16" t="n">
        <v>0.32</v>
      </c>
    </row>
    <row r="27" customFormat="false" ht="15" hidden="false" customHeight="true" outlineLevel="0" collapsed="false">
      <c r="B27" s="9" t="s">
        <v>76</v>
      </c>
      <c r="C27" s="12" t="s">
        <v>77</v>
      </c>
      <c r="D27" s="16" t="n">
        <v>1</v>
      </c>
    </row>
    <row r="28" customFormat="false" ht="15" hidden="false" customHeight="true" outlineLevel="0" collapsed="false"/>
    <row r="29" customFormat="false" ht="15" hidden="false" customHeight="true" outlineLevel="0" collapsed="false">
      <c r="B29" s="4" t="s">
        <v>78</v>
      </c>
      <c r="C29" s="6"/>
      <c r="D29" s="6"/>
    </row>
    <row r="30" customFormat="false" ht="15" hidden="false" customHeight="true" outlineLevel="0" collapsed="false">
      <c r="B30" s="9" t="s">
        <v>79</v>
      </c>
      <c r="C30" s="12" t="s">
        <v>80</v>
      </c>
      <c r="D30" s="13" t="n">
        <v>3</v>
      </c>
    </row>
    <row r="31" customFormat="false" ht="15" hidden="false" customHeight="true" outlineLevel="0" collapsed="false">
      <c r="B31" s="9" t="s">
        <v>81</v>
      </c>
      <c r="C31" s="12" t="s">
        <v>82</v>
      </c>
      <c r="D31" s="13" t="n">
        <v>100</v>
      </c>
    </row>
    <row r="32" customFormat="false" ht="15" hidden="false" customHeight="true" outlineLevel="0" collapsed="false">
      <c r="B32" s="9" t="s">
        <v>83</v>
      </c>
      <c r="C32" s="12" t="s">
        <v>84</v>
      </c>
      <c r="D32" s="13" t="n">
        <v>8</v>
      </c>
    </row>
    <row r="33" customFormat="false" ht="15" hidden="false" customHeight="true" outlineLevel="0" collapsed="false">
      <c r="B33" s="9" t="s">
        <v>85</v>
      </c>
      <c r="C33" s="12" t="s">
        <v>86</v>
      </c>
      <c r="D33" s="13" t="n">
        <v>1</v>
      </c>
    </row>
    <row r="34" customFormat="false" ht="15" hidden="false" customHeight="true" outlineLevel="0" collapsed="false">
      <c r="B34" s="9" t="s">
        <v>87</v>
      </c>
      <c r="C34" s="12" t="s">
        <v>86</v>
      </c>
      <c r="D34" s="13" t="n">
        <v>2</v>
      </c>
    </row>
    <row r="35" customFormat="false" ht="15" hidden="false" customHeight="true" outlineLevel="0" collapsed="false">
      <c r="B35" s="9" t="s">
        <v>88</v>
      </c>
      <c r="C35" s="12" t="s">
        <v>86</v>
      </c>
      <c r="D35" s="13" t="n">
        <v>1</v>
      </c>
    </row>
    <row r="36" customFormat="false" ht="15" hidden="false" customHeight="true" outlineLevel="0" collapsed="false">
      <c r="B36" s="9" t="s">
        <v>89</v>
      </c>
      <c r="C36" s="12" t="s">
        <v>86</v>
      </c>
      <c r="D36" s="13" t="n">
        <v>2</v>
      </c>
    </row>
    <row r="37" customFormat="false" ht="15" hidden="false" customHeight="true" outlineLevel="0" collapsed="false">
      <c r="B37" s="9" t="s">
        <v>90</v>
      </c>
      <c r="C37" s="12" t="s">
        <v>91</v>
      </c>
      <c r="D37" s="14" t="n">
        <v>1.1</v>
      </c>
    </row>
    <row r="38" customFormat="false" ht="15" hidden="false" customHeight="true" outlineLevel="0" collapsed="false"/>
    <row r="39" customFormat="false" ht="15" hidden="false" customHeight="true" outlineLevel="0" collapsed="false">
      <c r="B39" s="4" t="s">
        <v>92</v>
      </c>
      <c r="C39" s="6"/>
      <c r="D39" s="6"/>
    </row>
    <row r="40" customFormat="false" ht="15" hidden="false" customHeight="true" outlineLevel="0" collapsed="false">
      <c r="B40" s="9" t="s">
        <v>93</v>
      </c>
      <c r="C40" s="12" t="s">
        <v>46</v>
      </c>
      <c r="D40" s="13" t="n">
        <v>90</v>
      </c>
    </row>
    <row r="41" customFormat="false" ht="15" hidden="false" customHeight="true" outlineLevel="0" collapsed="false">
      <c r="B41" s="9" t="s">
        <v>94</v>
      </c>
      <c r="C41" s="12" t="s">
        <v>95</v>
      </c>
      <c r="D41" s="13" t="n">
        <v>2</v>
      </c>
    </row>
    <row r="42" customFormat="false" ht="15" hidden="false" customHeight="true" outlineLevel="0" collapsed="false">
      <c r="B42" s="9" t="s">
        <v>96</v>
      </c>
      <c r="C42" s="12" t="s">
        <v>46</v>
      </c>
      <c r="D42" s="16" t="n">
        <v>45</v>
      </c>
    </row>
    <row r="43" customFormat="false" ht="15" hidden="false" customHeight="true" outlineLevel="0" collapsed="false">
      <c r="B43" s="9" t="s">
        <v>97</v>
      </c>
      <c r="C43" s="12" t="s">
        <v>98</v>
      </c>
      <c r="D43" s="13" t="n">
        <v>270</v>
      </c>
    </row>
    <row r="44" customFormat="false" ht="15" hidden="false" customHeight="true" outlineLevel="0" collapsed="false">
      <c r="B44" s="9" t="s">
        <v>99</v>
      </c>
      <c r="C44" s="12" t="s">
        <v>63</v>
      </c>
      <c r="D44" s="15" t="n">
        <v>0.769230769230769</v>
      </c>
    </row>
    <row r="45" customFormat="false" ht="15" hidden="false" customHeight="true" outlineLevel="0" collapsed="false">
      <c r="B45" s="9" t="s">
        <v>100</v>
      </c>
      <c r="C45" s="12" t="s">
        <v>63</v>
      </c>
      <c r="D45" s="15" t="n">
        <v>0.0769230769230769</v>
      </c>
    </row>
    <row r="46" customFormat="false" ht="15" hidden="false" customHeight="true" outlineLevel="0" collapsed="false">
      <c r="B46" s="9" t="s">
        <v>101</v>
      </c>
      <c r="C46" s="12" t="s">
        <v>63</v>
      </c>
      <c r="D46" s="15" t="n">
        <v>0.0384615384615385</v>
      </c>
    </row>
    <row r="47" customFormat="false" ht="15" hidden="false" customHeight="true" outlineLevel="0" collapsed="false">
      <c r="B47" s="9" t="s">
        <v>102</v>
      </c>
      <c r="C47" s="12" t="s">
        <v>63</v>
      </c>
      <c r="D47" s="15" t="n">
        <v>0.115384615384615</v>
      </c>
    </row>
    <row r="48" customFormat="false" ht="15" hidden="false" customHeight="true" outlineLevel="0" collapsed="false">
      <c r="B48" s="9" t="s">
        <v>103</v>
      </c>
      <c r="C48" s="12" t="s">
        <v>46</v>
      </c>
      <c r="D48" s="13" t="n">
        <v>520</v>
      </c>
    </row>
    <row r="49" customFormat="false" ht="15" hidden="false" customHeight="true" outlineLevel="0" collapsed="false">
      <c r="B49" s="9" t="s">
        <v>104</v>
      </c>
      <c r="C49" s="12" t="s">
        <v>46</v>
      </c>
      <c r="D49" s="13" t="n">
        <v>40</v>
      </c>
    </row>
    <row r="50" customFormat="false" ht="15" hidden="false" customHeight="true" outlineLevel="0" collapsed="false">
      <c r="B50" s="9" t="s">
        <v>105</v>
      </c>
      <c r="C50" s="12" t="s">
        <v>46</v>
      </c>
      <c r="D50" s="13" t="n">
        <v>20</v>
      </c>
    </row>
    <row r="51" customFormat="false" ht="15" hidden="false" customHeight="true" outlineLevel="0" collapsed="false">
      <c r="B51" s="9" t="s">
        <v>106</v>
      </c>
      <c r="C51" s="12" t="s">
        <v>46</v>
      </c>
      <c r="D51" s="13" t="n">
        <v>60</v>
      </c>
    </row>
    <row r="52" customFormat="false" ht="15" hidden="false" customHeight="true" outlineLevel="0" collapsed="false">
      <c r="B52" s="9" t="s">
        <v>107</v>
      </c>
      <c r="C52" s="12" t="s">
        <v>46</v>
      </c>
      <c r="D52" s="13" t="n">
        <v>640</v>
      </c>
    </row>
    <row r="53" customFormat="false" ht="15" hidden="false" customHeight="true" outlineLevel="0" collapsed="false"/>
    <row r="54" customFormat="false" ht="15" hidden="false" customHeight="true" outlineLevel="0" collapsed="false">
      <c r="B54" s="4" t="s">
        <v>108</v>
      </c>
      <c r="C54" s="6"/>
      <c r="D54" s="6"/>
    </row>
    <row r="55" customFormat="false" ht="15" hidden="false" customHeight="true" outlineLevel="0" collapsed="false">
      <c r="B55" s="9" t="s">
        <v>109</v>
      </c>
      <c r="C55" s="12" t="s">
        <v>110</v>
      </c>
      <c r="D55" s="13" t="n">
        <v>12</v>
      </c>
    </row>
    <row r="56" customFormat="false" ht="15" hidden="false" customHeight="true" outlineLevel="0" collapsed="false">
      <c r="B56" s="9" t="s">
        <v>111</v>
      </c>
      <c r="C56" s="12" t="s">
        <v>110</v>
      </c>
      <c r="D56" s="13" t="n">
        <v>9</v>
      </c>
    </row>
    <row r="57" customFormat="false" ht="15" hidden="false" customHeight="true" outlineLevel="0" collapsed="false">
      <c r="B57" s="9" t="s">
        <v>112</v>
      </c>
      <c r="C57" s="12" t="s">
        <v>110</v>
      </c>
      <c r="D57" s="13" t="n">
        <v>9</v>
      </c>
    </row>
    <row r="58" customFormat="false" ht="15" hidden="false" customHeight="true" outlineLevel="0" collapsed="false">
      <c r="B58" s="9" t="s">
        <v>113</v>
      </c>
      <c r="C58" s="12" t="s">
        <v>110</v>
      </c>
      <c r="D58" s="13" t="n">
        <v>12</v>
      </c>
    </row>
    <row r="59" customFormat="false" ht="15" hidden="false" customHeight="true" outlineLevel="0" collapsed="false">
      <c r="B59" s="9" t="s">
        <v>114</v>
      </c>
      <c r="C59" s="12" t="s">
        <v>115</v>
      </c>
      <c r="D59" s="14" t="n">
        <v>7</v>
      </c>
    </row>
    <row r="60" customFormat="false" ht="15" hidden="false" customHeight="true" outlineLevel="0" collapsed="false">
      <c r="B60" s="9" t="s">
        <v>116</v>
      </c>
      <c r="C60" s="12" t="s">
        <v>115</v>
      </c>
      <c r="D60" s="14" t="n">
        <v>5</v>
      </c>
    </row>
    <row r="61" customFormat="false" ht="15" hidden="false" customHeight="true" outlineLevel="0" collapsed="false">
      <c r="B61" s="9" t="s">
        <v>117</v>
      </c>
      <c r="C61" s="12" t="s">
        <v>118</v>
      </c>
      <c r="D61" s="13" t="n">
        <v>3</v>
      </c>
    </row>
    <row r="62" customFormat="false" ht="15" hidden="false" customHeight="true" outlineLevel="0" collapsed="false">
      <c r="B62" s="9" t="s">
        <v>119</v>
      </c>
      <c r="C62" s="12" t="s">
        <v>120</v>
      </c>
      <c r="D62" s="14" t="n">
        <v>850</v>
      </c>
    </row>
    <row r="63" customFormat="false" ht="15" hidden="false" customHeight="true" outlineLevel="0" collapsed="false">
      <c r="B63" s="9" t="s">
        <v>121</v>
      </c>
      <c r="C63" s="12" t="s">
        <v>120</v>
      </c>
      <c r="D63" s="14" t="n">
        <v>700</v>
      </c>
    </row>
    <row r="64" customFormat="false" ht="15" hidden="false" customHeight="true" outlineLevel="0" collapsed="false">
      <c r="B64" s="9" t="s">
        <v>122</v>
      </c>
      <c r="C64" s="12" t="s">
        <v>120</v>
      </c>
      <c r="D64" s="14" t="n">
        <v>700</v>
      </c>
    </row>
    <row r="65" customFormat="false" ht="15" hidden="false" customHeight="true" outlineLevel="0" collapsed="false">
      <c r="B65" s="9" t="s">
        <v>123</v>
      </c>
      <c r="C65" s="12" t="s">
        <v>120</v>
      </c>
      <c r="D65" s="14" t="n">
        <v>850</v>
      </c>
    </row>
    <row r="66" customFormat="false" ht="15" hidden="false" customHeight="true" outlineLevel="0" collapsed="false"/>
    <row r="67" customFormat="false" ht="15" hidden="false" customHeight="true" outlineLevel="0" collapsed="false">
      <c r="B67" s="4" t="s">
        <v>124</v>
      </c>
      <c r="C67" s="6"/>
      <c r="D67" s="6"/>
    </row>
    <row r="68" customFormat="false" ht="15" hidden="false" customHeight="true" outlineLevel="0" collapsed="false">
      <c r="B68" s="9" t="s">
        <v>125</v>
      </c>
      <c r="C68" s="12" t="s">
        <v>46</v>
      </c>
      <c r="D68" s="13" t="n">
        <v>12</v>
      </c>
    </row>
    <row r="69" customFormat="false" ht="15" hidden="false" customHeight="true" outlineLevel="0" collapsed="false">
      <c r="B69" s="9" t="s">
        <v>126</v>
      </c>
      <c r="C69" s="12" t="s">
        <v>46</v>
      </c>
      <c r="D69" s="13" t="n">
        <v>4</v>
      </c>
    </row>
    <row r="70" customFormat="false" ht="15" hidden="false" customHeight="true" outlineLevel="0" collapsed="false">
      <c r="B70" s="9" t="s">
        <v>127</v>
      </c>
      <c r="C70" s="12" t="s">
        <v>46</v>
      </c>
      <c r="D70" s="13" t="n">
        <v>16</v>
      </c>
    </row>
    <row r="71" customFormat="false" ht="15" hidden="false" customHeight="true" outlineLevel="0" collapsed="false">
      <c r="B71" s="9" t="s">
        <v>128</v>
      </c>
      <c r="C71" s="12" t="s">
        <v>58</v>
      </c>
      <c r="D71" s="13" t="n">
        <v>20000</v>
      </c>
    </row>
    <row r="72" customFormat="false" ht="15" hidden="false" customHeight="true" outlineLevel="0" collapsed="false">
      <c r="B72" s="9" t="s">
        <v>129</v>
      </c>
      <c r="C72" s="12" t="s">
        <v>58</v>
      </c>
      <c r="D72" s="13" t="n">
        <v>40000</v>
      </c>
    </row>
    <row r="73" customFormat="false" ht="15" hidden="false" customHeight="true" outlineLevel="0" collapsed="false">
      <c r="B73" s="9" t="s">
        <v>130</v>
      </c>
      <c r="C73" s="12" t="s">
        <v>84</v>
      </c>
      <c r="D73" s="13" t="n">
        <v>2</v>
      </c>
    </row>
    <row r="74" customFormat="false" ht="15" hidden="false" customHeight="true" outlineLevel="0" collapsed="false">
      <c r="B74" s="9" t="s">
        <v>131</v>
      </c>
      <c r="C74" s="12" t="s">
        <v>84</v>
      </c>
      <c r="D74" s="13" t="n">
        <v>2</v>
      </c>
    </row>
    <row r="75" customFormat="false" ht="15" hidden="false" customHeight="true" outlineLevel="0" collapsed="false">
      <c r="B75" s="9" t="s">
        <v>132</v>
      </c>
      <c r="C75" s="12" t="s">
        <v>84</v>
      </c>
      <c r="D75" s="16" t="n">
        <v>1</v>
      </c>
    </row>
    <row r="76" customFormat="false" ht="15" hidden="false" customHeight="true" outlineLevel="0" collapsed="false">
      <c r="B76" s="9" t="s">
        <v>133</v>
      </c>
      <c r="C76" s="12" t="s">
        <v>134</v>
      </c>
      <c r="D76" s="13" t="n">
        <v>18000</v>
      </c>
    </row>
    <row r="77" customFormat="false" ht="15" hidden="false" customHeight="true" outlineLevel="0" collapsed="false">
      <c r="B77" s="9" t="s">
        <v>135</v>
      </c>
      <c r="C77" s="12" t="s">
        <v>136</v>
      </c>
      <c r="D77" s="14" t="n">
        <v>120000</v>
      </c>
    </row>
    <row r="78" customFormat="false" ht="15" hidden="false" customHeight="true" outlineLevel="0" collapsed="false"/>
    <row r="79" customFormat="false" ht="15" hidden="false" customHeight="true" outlineLevel="0" collapsed="false">
      <c r="B79" s="4" t="s">
        <v>137</v>
      </c>
      <c r="C79" s="6"/>
      <c r="D79" s="6"/>
    </row>
    <row r="80" customFormat="false" ht="15" hidden="false" customHeight="true" outlineLevel="0" collapsed="false">
      <c r="B80" s="9" t="s">
        <v>138</v>
      </c>
      <c r="C80" s="12" t="s">
        <v>63</v>
      </c>
      <c r="D80" s="15" t="n">
        <v>0.3</v>
      </c>
    </row>
    <row r="81" customFormat="false" ht="15" hidden="false" customHeight="true" outlineLevel="0" collapsed="false">
      <c r="B81" s="9" t="s">
        <v>139</v>
      </c>
      <c r="C81" s="12" t="s">
        <v>63</v>
      </c>
      <c r="D81" s="15" t="n">
        <v>0.55</v>
      </c>
    </row>
    <row r="82" customFormat="false" ht="15" hidden="false" customHeight="true" outlineLevel="0" collapsed="false">
      <c r="B82" s="9" t="s">
        <v>140</v>
      </c>
      <c r="C82" s="12" t="s">
        <v>63</v>
      </c>
      <c r="D82" s="15" t="n">
        <v>0.15</v>
      </c>
    </row>
    <row r="83" customFormat="false" ht="15" hidden="false" customHeight="true" outlineLevel="0" collapsed="false">
      <c r="B83" s="9" t="s">
        <v>141</v>
      </c>
      <c r="C83" s="12" t="s">
        <v>82</v>
      </c>
      <c r="D83" s="13" t="n">
        <v>25</v>
      </c>
    </row>
    <row r="84" customFormat="false" ht="15" hidden="false" customHeight="true" outlineLevel="0" collapsed="false">
      <c r="B84" s="9" t="s">
        <v>142</v>
      </c>
      <c r="C84" s="12" t="s">
        <v>82</v>
      </c>
      <c r="D84" s="13" t="n">
        <v>50</v>
      </c>
    </row>
    <row r="85" customFormat="false" ht="15" hidden="false" customHeight="true" outlineLevel="0" collapsed="false">
      <c r="B85" s="9" t="s">
        <v>143</v>
      </c>
      <c r="C85" s="12" t="s">
        <v>82</v>
      </c>
      <c r="D85" s="13" t="n">
        <v>5</v>
      </c>
    </row>
    <row r="86" customFormat="false" ht="15" hidden="false" customHeight="true" outlineLevel="0" collapsed="false">
      <c r="B86" s="9" t="s">
        <v>144</v>
      </c>
      <c r="C86" s="12" t="s">
        <v>145</v>
      </c>
      <c r="D86" s="13" t="n">
        <v>3</v>
      </c>
    </row>
    <row r="87" customFormat="false" ht="15" hidden="false" customHeight="true" outlineLevel="0" collapsed="false">
      <c r="B87" s="9" t="s">
        <v>146</v>
      </c>
      <c r="C87" s="12" t="s">
        <v>147</v>
      </c>
      <c r="D87" s="13" t="n">
        <v>30</v>
      </c>
    </row>
    <row r="88" customFormat="false" ht="15" hidden="false" customHeight="true" outlineLevel="0" collapsed="false">
      <c r="B88" s="9" t="s">
        <v>148</v>
      </c>
      <c r="C88" s="12" t="s">
        <v>149</v>
      </c>
      <c r="D88" s="13" t="n">
        <v>5600</v>
      </c>
    </row>
    <row r="89" customFormat="false" ht="15" hidden="false" customHeight="true" outlineLevel="0" collapsed="false">
      <c r="B89" s="9" t="s">
        <v>150</v>
      </c>
      <c r="C89" s="12" t="s">
        <v>147</v>
      </c>
      <c r="D89" s="13" t="n">
        <v>75</v>
      </c>
    </row>
    <row r="90" customFormat="false" ht="15" hidden="false" customHeight="true" outlineLevel="0" collapsed="false">
      <c r="B90" s="9" t="s">
        <v>151</v>
      </c>
      <c r="C90" s="12" t="s">
        <v>63</v>
      </c>
      <c r="D90" s="15" t="n">
        <v>0.8</v>
      </c>
    </row>
    <row r="91" customFormat="false" ht="15" hidden="false" customHeight="true" outlineLevel="0" collapsed="false">
      <c r="B91" s="9" t="s">
        <v>152</v>
      </c>
      <c r="C91" s="12" t="s">
        <v>153</v>
      </c>
      <c r="D91" s="13" t="n">
        <v>280</v>
      </c>
    </row>
    <row r="92" customFormat="false" ht="15" hidden="false" customHeight="true" outlineLevel="0" collapsed="false">
      <c r="B92" s="9" t="s">
        <v>154</v>
      </c>
      <c r="C92" s="12" t="s">
        <v>63</v>
      </c>
      <c r="D92" s="15" t="n">
        <v>0.52</v>
      </c>
    </row>
    <row r="93" customFormat="false" ht="15" hidden="false" customHeight="true" outlineLevel="0" collapsed="false">
      <c r="B93" s="9" t="s">
        <v>155</v>
      </c>
      <c r="C93" s="12" t="s">
        <v>156</v>
      </c>
      <c r="D93" s="16" t="n">
        <v>3</v>
      </c>
    </row>
    <row r="94" customFormat="false" ht="15" hidden="false" customHeight="true" outlineLevel="0" collapsed="false">
      <c r="B94" s="9" t="s">
        <v>157</v>
      </c>
      <c r="C94" s="12" t="s">
        <v>156</v>
      </c>
      <c r="D94" s="16" t="n">
        <v>15</v>
      </c>
    </row>
    <row r="95" customFormat="false" ht="15" hidden="false" customHeight="true" outlineLevel="0" collapsed="false">
      <c r="B95" s="9" t="s">
        <v>158</v>
      </c>
      <c r="C95" s="12" t="s">
        <v>159</v>
      </c>
      <c r="D95" s="14" t="n">
        <v>0.35</v>
      </c>
    </row>
    <row r="96" customFormat="false" ht="15" hidden="false" customHeight="true" outlineLevel="0" collapsed="false">
      <c r="B96" s="9" t="s">
        <v>160</v>
      </c>
      <c r="C96" s="12" t="s">
        <v>161</v>
      </c>
      <c r="D96" s="14" t="n">
        <v>3.5</v>
      </c>
    </row>
    <row r="97" customFormat="false" ht="15" hidden="false" customHeight="true" outlineLevel="0" collapsed="false">
      <c r="B97" s="9" t="s">
        <v>162</v>
      </c>
      <c r="C97" s="12" t="s">
        <v>163</v>
      </c>
      <c r="D97" s="14" t="n">
        <v>180</v>
      </c>
    </row>
    <row r="98" customFormat="false" ht="15" hidden="false" customHeight="true" outlineLevel="0" collapsed="false">
      <c r="B98" s="9" t="s">
        <v>164</v>
      </c>
      <c r="C98" s="12" t="s">
        <v>163</v>
      </c>
      <c r="D98" s="14" t="n">
        <v>361</v>
      </c>
    </row>
    <row r="99" customFormat="false" ht="15" hidden="false" customHeight="true" outlineLevel="0" collapsed="false">
      <c r="B99" s="9" t="s">
        <v>165</v>
      </c>
      <c r="C99" s="12" t="s">
        <v>166</v>
      </c>
      <c r="D99" s="15" t="n">
        <v>0.4</v>
      </c>
    </row>
    <row r="100" customFormat="false" ht="15" hidden="false" customHeight="true" outlineLevel="0" collapsed="false">
      <c r="B100" s="9" t="s">
        <v>167</v>
      </c>
      <c r="C100" s="12" t="s">
        <v>166</v>
      </c>
      <c r="D100" s="15" t="n">
        <v>0.75</v>
      </c>
    </row>
    <row r="101" customFormat="false" ht="15" hidden="false" customHeight="true" outlineLevel="0" collapsed="false">
      <c r="B101" s="9" t="s">
        <v>168</v>
      </c>
      <c r="C101" s="12" t="s">
        <v>82</v>
      </c>
      <c r="D101" s="13" t="n">
        <v>10</v>
      </c>
    </row>
    <row r="102" customFormat="false" ht="15" hidden="false" customHeight="true" outlineLevel="0" collapsed="false">
      <c r="B102" s="9" t="s">
        <v>169</v>
      </c>
      <c r="C102" s="12" t="s">
        <v>170</v>
      </c>
      <c r="D102" s="16" t="n">
        <v>12</v>
      </c>
    </row>
    <row r="103" customFormat="false" ht="15" hidden="false" customHeight="true" outlineLevel="0" collapsed="false">
      <c r="B103" s="9" t="s">
        <v>171</v>
      </c>
      <c r="C103" s="12" t="s">
        <v>172</v>
      </c>
      <c r="D103" s="15" t="n">
        <v>4.73</v>
      </c>
    </row>
    <row r="104" customFormat="false" ht="15" hidden="false" customHeight="true" outlineLevel="0" collapsed="false">
      <c r="B104" s="9" t="s">
        <v>173</v>
      </c>
      <c r="C104" s="12" t="s">
        <v>174</v>
      </c>
      <c r="D104" s="15" t="n">
        <v>1.1</v>
      </c>
    </row>
    <row r="105" customFormat="false" ht="15" hidden="false" customHeight="true" outlineLevel="0" collapsed="false">
      <c r="B105" s="9" t="s">
        <v>175</v>
      </c>
      <c r="C105" s="12" t="s">
        <v>176</v>
      </c>
      <c r="D105" s="14" t="n">
        <v>200</v>
      </c>
    </row>
    <row r="106" customFormat="false" ht="15" hidden="false" customHeight="true" outlineLevel="0" collapsed="false"/>
    <row r="107" customFormat="false" ht="15" hidden="false" customHeight="true" outlineLevel="0" collapsed="false">
      <c r="B107" s="4" t="s">
        <v>177</v>
      </c>
      <c r="C107" s="6"/>
      <c r="D107" s="6"/>
    </row>
    <row r="108" customFormat="false" ht="15" hidden="false" customHeight="true" outlineLevel="0" collapsed="false">
      <c r="B108" s="9" t="s">
        <v>178</v>
      </c>
      <c r="C108" s="12" t="s">
        <v>46</v>
      </c>
      <c r="D108" s="13" t="n">
        <v>40</v>
      </c>
    </row>
    <row r="109" customFormat="false" ht="15" hidden="false" customHeight="true" outlineLevel="0" collapsed="false">
      <c r="B109" s="9" t="s">
        <v>179</v>
      </c>
      <c r="C109" s="12" t="s">
        <v>60</v>
      </c>
      <c r="D109" s="16" t="n">
        <v>45</v>
      </c>
    </row>
    <row r="110" customFormat="false" ht="15" hidden="false" customHeight="true" outlineLevel="0" collapsed="false">
      <c r="B110" s="9" t="s">
        <v>180</v>
      </c>
      <c r="C110" s="12" t="s">
        <v>181</v>
      </c>
      <c r="D110" s="14" t="n">
        <v>2200</v>
      </c>
    </row>
    <row r="111" customFormat="false" ht="15" hidden="false" customHeight="true" outlineLevel="0" collapsed="false">
      <c r="B111" s="9" t="s">
        <v>182</v>
      </c>
      <c r="C111" s="12" t="s">
        <v>136</v>
      </c>
      <c r="D111" s="14" t="n">
        <v>16000</v>
      </c>
    </row>
    <row r="112" customFormat="false" ht="15" hidden="false" customHeight="true" outlineLevel="0" collapsed="false">
      <c r="B112" s="9" t="s">
        <v>183</v>
      </c>
      <c r="C112" s="12" t="s">
        <v>63</v>
      </c>
      <c r="D112" s="15" t="n">
        <v>0.15</v>
      </c>
    </row>
    <row r="113" customFormat="false" ht="15" hidden="false" customHeight="true" outlineLevel="0" collapsed="false">
      <c r="B113" s="9" t="s">
        <v>184</v>
      </c>
      <c r="C113" s="12" t="s">
        <v>185</v>
      </c>
      <c r="D113" s="13" t="n">
        <v>20</v>
      </c>
    </row>
    <row r="114" customFormat="false" ht="15" hidden="false" customHeight="true" outlineLevel="0" collapsed="false">
      <c r="B114" s="9" t="s">
        <v>186</v>
      </c>
      <c r="C114" s="12" t="s">
        <v>187</v>
      </c>
      <c r="D114" s="14" t="n">
        <v>2000</v>
      </c>
    </row>
    <row r="115" customFormat="false" ht="15" hidden="false" customHeight="true" outlineLevel="0" collapsed="false"/>
    <row r="116" customFormat="false" ht="15" hidden="false" customHeight="true" outlineLevel="0" collapsed="false">
      <c r="B116" s="4" t="s">
        <v>188</v>
      </c>
      <c r="C116" s="6"/>
      <c r="D116" s="6"/>
    </row>
    <row r="117" customFormat="false" ht="15" hidden="false" customHeight="true" outlineLevel="0" collapsed="false">
      <c r="B117" s="9" t="s">
        <v>189</v>
      </c>
      <c r="C117" s="12" t="s">
        <v>136</v>
      </c>
      <c r="D117" s="14" t="n">
        <v>220000</v>
      </c>
    </row>
    <row r="118" customFormat="false" ht="15" hidden="false" customHeight="true" outlineLevel="0" collapsed="false">
      <c r="B118" s="9" t="s">
        <v>190</v>
      </c>
      <c r="C118" s="12" t="s">
        <v>136</v>
      </c>
      <c r="D118" s="14" t="n">
        <v>45000</v>
      </c>
    </row>
    <row r="119" customFormat="false" ht="15" hidden="false" customHeight="true" outlineLevel="0" collapsed="false">
      <c r="B119" s="9" t="s">
        <v>191</v>
      </c>
      <c r="C119" s="12" t="s">
        <v>136</v>
      </c>
      <c r="D119" s="14" t="n">
        <v>60000</v>
      </c>
    </row>
    <row r="120" customFormat="false" ht="15" hidden="false" customHeight="true" outlineLevel="0" collapsed="false">
      <c r="B120" s="9" t="s">
        <v>192</v>
      </c>
      <c r="C120" s="12" t="s">
        <v>136</v>
      </c>
      <c r="D120" s="14" t="n">
        <v>50000</v>
      </c>
    </row>
    <row r="121" customFormat="false" ht="15" hidden="false" customHeight="true" outlineLevel="0" collapsed="false">
      <c r="B121" s="9" t="s">
        <v>193</v>
      </c>
      <c r="C121" s="12" t="s">
        <v>136</v>
      </c>
      <c r="D121" s="14" t="n">
        <v>60000</v>
      </c>
    </row>
    <row r="122" customFormat="false" ht="15" hidden="false" customHeight="true" outlineLevel="0" collapsed="false">
      <c r="B122" s="9" t="s">
        <v>194</v>
      </c>
      <c r="C122" s="12" t="s">
        <v>136</v>
      </c>
      <c r="D122" s="14" t="n">
        <v>40000</v>
      </c>
    </row>
    <row r="123" customFormat="false" ht="15" hidden="false" customHeight="true" outlineLevel="0" collapsed="false">
      <c r="B123" s="9" t="s">
        <v>195</v>
      </c>
      <c r="C123" s="12" t="s">
        <v>80</v>
      </c>
      <c r="D123" s="13" t="n">
        <v>2</v>
      </c>
    </row>
    <row r="124" customFormat="false" ht="15" hidden="false" customHeight="true" outlineLevel="0" collapsed="false">
      <c r="B124" s="9" t="s">
        <v>196</v>
      </c>
      <c r="C124" s="12" t="s">
        <v>136</v>
      </c>
      <c r="D124" s="14" t="n">
        <v>25000</v>
      </c>
    </row>
    <row r="125" customFormat="false" ht="15" hidden="false" customHeight="true" outlineLevel="0" collapsed="false"/>
    <row r="126" customFormat="false" ht="15" hidden="false" customHeight="true" outlineLevel="0" collapsed="false">
      <c r="B126" s="4" t="s">
        <v>197</v>
      </c>
      <c r="C126" s="6"/>
      <c r="D126" s="6"/>
    </row>
    <row r="127" customFormat="false" ht="15" hidden="false" customHeight="true" outlineLevel="0" collapsed="false">
      <c r="B127" s="9" t="s">
        <v>198</v>
      </c>
      <c r="C127" s="12" t="s">
        <v>136</v>
      </c>
      <c r="D127" s="14" t="n">
        <v>0</v>
      </c>
    </row>
    <row r="128" customFormat="false" ht="15" hidden="false" customHeight="true" outlineLevel="0" collapsed="false">
      <c r="B128" s="9" t="s">
        <v>199</v>
      </c>
      <c r="C128" s="12" t="s">
        <v>136</v>
      </c>
      <c r="D128" s="14" t="n">
        <v>60000</v>
      </c>
    </row>
    <row r="129" customFormat="false" ht="15" hidden="false" customHeight="true" outlineLevel="0" collapsed="false">
      <c r="B129" s="9" t="s">
        <v>200</v>
      </c>
      <c r="C129" s="12" t="s">
        <v>58</v>
      </c>
      <c r="D129" s="14" t="n">
        <v>40000</v>
      </c>
    </row>
    <row r="130" customFormat="false" ht="15" hidden="false" customHeight="true" outlineLevel="0" collapsed="false">
      <c r="B130" s="9" t="s">
        <v>201</v>
      </c>
      <c r="C130" s="12" t="s">
        <v>84</v>
      </c>
      <c r="D130" s="13" t="n">
        <v>2</v>
      </c>
    </row>
    <row r="131" customFormat="false" ht="15" hidden="false" customHeight="true" outlineLevel="0" collapsed="false">
      <c r="B131" s="9" t="s">
        <v>202</v>
      </c>
      <c r="C131" s="12" t="s">
        <v>136</v>
      </c>
      <c r="D131" s="14" t="n">
        <v>20000</v>
      </c>
    </row>
    <row r="132" customFormat="false" ht="15" hidden="false" customHeight="true" outlineLevel="0" collapsed="false">
      <c r="B132" s="9" t="s">
        <v>203</v>
      </c>
      <c r="C132" s="12" t="s">
        <v>58</v>
      </c>
      <c r="D132" s="14" t="n">
        <v>15000</v>
      </c>
    </row>
    <row r="133" customFormat="false" ht="15" hidden="false" customHeight="true" outlineLevel="0" collapsed="false">
      <c r="B133" s="9" t="s">
        <v>204</v>
      </c>
      <c r="C133" s="12" t="s">
        <v>84</v>
      </c>
      <c r="D133" s="13" t="n">
        <v>2</v>
      </c>
    </row>
    <row r="134" customFormat="false" ht="15" hidden="false" customHeight="true" outlineLevel="0" collapsed="false">
      <c r="B134" s="9" t="s">
        <v>205</v>
      </c>
      <c r="C134" s="12" t="s">
        <v>185</v>
      </c>
      <c r="D134" s="13" t="n">
        <v>4</v>
      </c>
    </row>
    <row r="135" customFormat="false" ht="15" hidden="false" customHeight="true" outlineLevel="0" collapsed="false">
      <c r="B135" s="9" t="s">
        <v>206</v>
      </c>
      <c r="C135" s="12" t="s">
        <v>187</v>
      </c>
      <c r="D135" s="14" t="n">
        <v>5455</v>
      </c>
    </row>
    <row r="136" customFormat="false" ht="15" hidden="false" customHeight="true" outlineLevel="0" collapsed="false">
      <c r="B136" s="9" t="s">
        <v>207</v>
      </c>
      <c r="C136" s="12" t="s">
        <v>136</v>
      </c>
      <c r="D136" s="14" t="n">
        <v>14545</v>
      </c>
    </row>
    <row r="137" customFormat="false" ht="15" hidden="false" customHeight="true" outlineLevel="0" collapsed="false"/>
    <row r="138" customFormat="false" ht="15" hidden="false" customHeight="true" outlineLevel="0" collapsed="false">
      <c r="B138" s="4" t="s">
        <v>208</v>
      </c>
      <c r="C138" s="6"/>
      <c r="D138" s="6"/>
    </row>
    <row r="139" customFormat="false" ht="15" hidden="false" customHeight="true" outlineLevel="0" collapsed="false">
      <c r="B139" s="9" t="s">
        <v>209</v>
      </c>
      <c r="C139" s="12" t="s">
        <v>136</v>
      </c>
      <c r="D139" s="14" t="n">
        <v>388727.272727273</v>
      </c>
    </row>
    <row r="140" customFormat="false" ht="15" hidden="false" customHeight="true" outlineLevel="0" collapsed="false">
      <c r="B140" s="9" t="s">
        <v>210</v>
      </c>
      <c r="C140" s="12" t="s">
        <v>136</v>
      </c>
      <c r="D140" s="14" t="n">
        <v>54589</v>
      </c>
    </row>
    <row r="141" customFormat="false" ht="15" hidden="false" customHeight="true" outlineLevel="0" collapsed="false">
      <c r="B141" s="9" t="s">
        <v>211</v>
      </c>
      <c r="C141" s="12" t="s">
        <v>136</v>
      </c>
      <c r="D141" s="14" t="n">
        <v>184502</v>
      </c>
    </row>
    <row r="142" customFormat="false" ht="15" hidden="false" customHeight="true" outlineLevel="0" collapsed="false">
      <c r="B142" s="9" t="s">
        <v>212</v>
      </c>
      <c r="C142" s="12" t="s">
        <v>136</v>
      </c>
      <c r="D142" s="14" t="n">
        <v>149636.363636364</v>
      </c>
    </row>
    <row r="143" customFormat="false" ht="15" hidden="false" customHeight="true" outlineLevel="0" collapsed="false">
      <c r="B143" s="9" t="s">
        <v>213</v>
      </c>
      <c r="C143" s="12" t="s">
        <v>136</v>
      </c>
      <c r="D143" s="14" t="n">
        <v>105286.363636364</v>
      </c>
    </row>
    <row r="144" customFormat="false" ht="15" hidden="false" customHeight="true" outlineLevel="0" collapsed="false">
      <c r="B144" s="9" t="s">
        <v>214</v>
      </c>
      <c r="C144" s="12" t="s">
        <v>136</v>
      </c>
      <c r="D144" s="14" t="n">
        <v>111636.363636364</v>
      </c>
    </row>
    <row r="145" customFormat="false" ht="15" hidden="false" customHeight="true" outlineLevel="0" collapsed="false">
      <c r="B145" s="9" t="s">
        <v>215</v>
      </c>
      <c r="C145" s="12" t="s">
        <v>136</v>
      </c>
      <c r="D145" s="14" t="n">
        <v>43455</v>
      </c>
    </row>
    <row r="146" customFormat="false" ht="15" hidden="false" customHeight="true" outlineLevel="0" collapsed="false">
      <c r="B146" s="9" t="s">
        <v>216</v>
      </c>
      <c r="C146" s="12" t="s">
        <v>136</v>
      </c>
      <c r="D146" s="14" t="n">
        <v>68182</v>
      </c>
    </row>
    <row r="147" customFormat="false" ht="15" hidden="false" customHeight="true" outlineLevel="0" collapsed="false">
      <c r="B147" s="9" t="s">
        <v>217</v>
      </c>
      <c r="C147" s="12" t="s">
        <v>136</v>
      </c>
      <c r="D147" s="14" t="n">
        <v>7864.54545454545</v>
      </c>
    </row>
    <row r="148" customFormat="false" ht="15" hidden="false" customHeight="true" outlineLevel="0" collapsed="false">
      <c r="B148" s="9" t="s">
        <v>218</v>
      </c>
      <c r="C148" s="12" t="s">
        <v>219</v>
      </c>
      <c r="D148" s="13" t="n">
        <v>30000</v>
      </c>
    </row>
    <row r="149" customFormat="false" ht="15" hidden="false" customHeight="true" outlineLevel="0" collapsed="false">
      <c r="B149" s="9" t="s">
        <v>220</v>
      </c>
      <c r="C149" s="12" t="s">
        <v>221</v>
      </c>
      <c r="D149" s="14" t="n">
        <v>0.5</v>
      </c>
    </row>
    <row r="150" customFormat="false" ht="15" hidden="false" customHeight="true" outlineLevel="0" collapsed="false">
      <c r="B150" s="9" t="s">
        <v>222</v>
      </c>
      <c r="C150" s="12" t="s">
        <v>136</v>
      </c>
      <c r="D150" s="14" t="n">
        <v>162000</v>
      </c>
    </row>
    <row r="151" customFormat="false" ht="15" hidden="false" customHeight="true" outlineLevel="0" collapsed="false">
      <c r="B151" s="9" t="s">
        <v>223</v>
      </c>
      <c r="C151" s="12" t="s">
        <v>136</v>
      </c>
      <c r="D151" s="14" t="n">
        <v>23345</v>
      </c>
    </row>
    <row r="152" customFormat="false" ht="15" hidden="false" customHeight="true" outlineLevel="0" collapsed="false">
      <c r="B152" s="9" t="s">
        <v>224</v>
      </c>
      <c r="C152" s="12" t="s">
        <v>136</v>
      </c>
      <c r="D152" s="14" t="n">
        <v>180000</v>
      </c>
    </row>
    <row r="153" customFormat="false" ht="15" hidden="false" customHeight="true" outlineLevel="0" collapsed="false"/>
    <row r="154" customFormat="false" ht="15" hidden="false" customHeight="true" outlineLevel="0" collapsed="false">
      <c r="B154" s="4" t="s">
        <v>225</v>
      </c>
      <c r="C154" s="6"/>
      <c r="D154" s="6"/>
    </row>
    <row r="155" customFormat="false" ht="15" hidden="false" customHeight="true" outlineLevel="0" collapsed="false">
      <c r="B155" s="9" t="s">
        <v>226</v>
      </c>
      <c r="C155" s="12" t="s">
        <v>136</v>
      </c>
      <c r="D155" s="14" t="n">
        <v>109091</v>
      </c>
    </row>
    <row r="156" customFormat="false" ht="15" hidden="false" customHeight="true" outlineLevel="0" collapsed="false">
      <c r="B156" s="9" t="s">
        <v>227</v>
      </c>
      <c r="C156" s="12" t="s">
        <v>228</v>
      </c>
      <c r="D156" s="15" t="n">
        <v>0.05</v>
      </c>
    </row>
    <row r="157" customFormat="false" ht="15" hidden="false" customHeight="true" outlineLevel="0" collapsed="false">
      <c r="B157" s="9" t="s">
        <v>229</v>
      </c>
      <c r="C157" s="12" t="s">
        <v>136</v>
      </c>
      <c r="D157" s="14" t="n">
        <v>72727</v>
      </c>
    </row>
    <row r="158" customFormat="false" ht="15" hidden="false" customHeight="true" outlineLevel="0" collapsed="false">
      <c r="B158" s="9" t="s">
        <v>230</v>
      </c>
      <c r="C158" s="12" t="s">
        <v>58</v>
      </c>
      <c r="D158" s="14" t="n">
        <v>13636</v>
      </c>
    </row>
    <row r="159" customFormat="false" ht="15" hidden="false" customHeight="true" outlineLevel="0" collapsed="false">
      <c r="B159" s="9" t="s">
        <v>231</v>
      </c>
      <c r="C159" s="12" t="s">
        <v>84</v>
      </c>
      <c r="D159" s="13" t="n">
        <v>6</v>
      </c>
    </row>
    <row r="160" customFormat="false" ht="15" hidden="false" customHeight="true" outlineLevel="0" collapsed="false">
      <c r="B160" s="9" t="s">
        <v>232</v>
      </c>
      <c r="C160" s="12" t="s">
        <v>233</v>
      </c>
      <c r="D160" s="15" t="n">
        <v>0.015</v>
      </c>
    </row>
    <row r="161" customFormat="false" ht="15" hidden="false" customHeight="true" outlineLevel="0" collapsed="false"/>
    <row r="162" customFormat="false" ht="15" hidden="false" customHeight="true" outlineLevel="0" collapsed="false">
      <c r="B162" s="4" t="s">
        <v>234</v>
      </c>
      <c r="C162" s="6"/>
      <c r="D162" s="6"/>
    </row>
    <row r="163" customFormat="false" ht="15" hidden="false" customHeight="true" outlineLevel="0" collapsed="false">
      <c r="B163" s="9" t="s">
        <v>235</v>
      </c>
      <c r="C163" s="12" t="s">
        <v>110</v>
      </c>
      <c r="D163" s="13" t="n">
        <v>3</v>
      </c>
    </row>
    <row r="164" customFormat="false" ht="15" hidden="false" customHeight="true" outlineLevel="0" collapsed="false">
      <c r="B164" s="9" t="s">
        <v>236</v>
      </c>
      <c r="C164" s="12" t="s">
        <v>237</v>
      </c>
      <c r="D164" s="14" t="n">
        <v>20000</v>
      </c>
    </row>
    <row r="165" customFormat="false" ht="15" hidden="false" customHeight="true" outlineLevel="0" collapsed="false">
      <c r="B165" s="9" t="s">
        <v>238</v>
      </c>
      <c r="C165" s="12" t="s">
        <v>239</v>
      </c>
      <c r="D165" s="15" t="n">
        <v>0.1</v>
      </c>
    </row>
    <row r="166" customFormat="false" ht="15" hidden="false" customHeight="true" outlineLevel="0" collapsed="false">
      <c r="B166" s="9" t="s">
        <v>240</v>
      </c>
      <c r="C166" s="12" t="s">
        <v>241</v>
      </c>
      <c r="D166" s="15" t="n">
        <v>0.05</v>
      </c>
    </row>
    <row r="167" customFormat="false" ht="15" hidden="false" customHeight="true" outlineLevel="0" collapsed="false">
      <c r="B167" s="9" t="s">
        <v>242</v>
      </c>
      <c r="C167" s="12" t="s">
        <v>136</v>
      </c>
      <c r="D167" s="14" t="n">
        <v>0</v>
      </c>
    </row>
    <row r="168" customFormat="false" ht="15" hidden="false" customHeight="true" outlineLevel="0" collapsed="false">
      <c r="B168" s="9" t="s">
        <v>243</v>
      </c>
      <c r="C168" s="12" t="s">
        <v>110</v>
      </c>
      <c r="D168" s="13" t="n">
        <v>1</v>
      </c>
    </row>
    <row r="169" customFormat="false" ht="15" hidden="false" customHeight="true" outlineLevel="0" collapsed="false">
      <c r="B169" s="9" t="s">
        <v>244</v>
      </c>
      <c r="C169" s="12" t="s">
        <v>58</v>
      </c>
      <c r="D169" s="14" t="n">
        <v>2270</v>
      </c>
    </row>
    <row r="170" customFormat="false" ht="15" hidden="false" customHeight="true" outlineLevel="0" collapsed="false"/>
    <row r="171" customFormat="false" ht="15" hidden="false" customHeight="true" outlineLevel="0" collapsed="false">
      <c r="B171" s="4" t="s">
        <v>245</v>
      </c>
      <c r="C171" s="6"/>
      <c r="D171" s="6"/>
    </row>
    <row r="172" customFormat="false" ht="15" hidden="false" customHeight="true" outlineLevel="0" collapsed="false">
      <c r="B172" s="9" t="s">
        <v>246</v>
      </c>
      <c r="C172" s="12" t="s">
        <v>63</v>
      </c>
      <c r="D172" s="15" t="n">
        <v>0.05</v>
      </c>
    </row>
    <row r="173" customFormat="false" ht="15" hidden="false" customHeight="true" outlineLevel="0" collapsed="false">
      <c r="B173" s="9" t="s">
        <v>247</v>
      </c>
      <c r="C173" s="12" t="s">
        <v>84</v>
      </c>
      <c r="D173" s="13" t="n">
        <v>12</v>
      </c>
    </row>
    <row r="174" customFormat="false" ht="15" hidden="false" customHeight="true" outlineLevel="0" collapsed="false">
      <c r="B174" s="9" t="s">
        <v>248</v>
      </c>
      <c r="C174" s="12" t="s">
        <v>84</v>
      </c>
      <c r="D174" s="13" t="n">
        <v>3</v>
      </c>
    </row>
    <row r="175" customFormat="false" ht="15" hidden="false" customHeight="true" outlineLevel="0" collapsed="false">
      <c r="B175" s="9" t="s">
        <v>249</v>
      </c>
      <c r="C175" s="12" t="s">
        <v>136</v>
      </c>
      <c r="D175" s="14" t="n">
        <v>2323456.86</v>
      </c>
    </row>
    <row r="176" customFormat="false" ht="15" hidden="false" customHeight="true" outlineLevel="0" collapsed="false">
      <c r="B176" s="9" t="s">
        <v>250</v>
      </c>
      <c r="C176" s="12" t="s">
        <v>136</v>
      </c>
      <c r="D176" s="14" t="n">
        <v>492854.485454546</v>
      </c>
    </row>
    <row r="177" customFormat="false" ht="15" hidden="false" customHeight="true" outlineLevel="0" collapsed="false">
      <c r="B177" s="9" t="s">
        <v>251</v>
      </c>
      <c r="C177" s="12" t="s">
        <v>136</v>
      </c>
      <c r="D177" s="14" t="n">
        <v>3678581</v>
      </c>
    </row>
    <row r="178" customFormat="false" ht="15" hidden="false" customHeight="true" outlineLevel="0" collapsed="false">
      <c r="B178" s="9" t="s">
        <v>252</v>
      </c>
      <c r="C178" s="12" t="s">
        <v>136</v>
      </c>
      <c r="D178" s="14" t="n">
        <v>50623.2909090908</v>
      </c>
    </row>
    <row r="179" customFormat="false" ht="15" hidden="false" customHeight="true" outlineLevel="0" collapsed="false">
      <c r="B179" s="9" t="s">
        <v>253</v>
      </c>
      <c r="C179" s="12" t="s">
        <v>136</v>
      </c>
      <c r="D179" s="14" t="n">
        <v>448909.090909091</v>
      </c>
    </row>
    <row r="180" customFormat="false" ht="15" hidden="false" customHeight="true" outlineLevel="0" collapsed="false">
      <c r="B180" s="9" t="s">
        <v>254</v>
      </c>
      <c r="C180" s="12" t="s">
        <v>136</v>
      </c>
      <c r="D180" s="14" t="n">
        <v>204545.454545455</v>
      </c>
    </row>
    <row r="181" customFormat="false" ht="15" hidden="false" customHeight="true" outlineLevel="0" collapsed="false"/>
    <row r="182" customFormat="false" ht="15" hidden="false" customHeight="true" outlineLevel="0" collapsed="false">
      <c r="B182" s="4" t="s">
        <v>255</v>
      </c>
      <c r="C182" s="6"/>
      <c r="D182" s="6"/>
    </row>
    <row r="183" customFormat="false" ht="15" hidden="false" customHeight="true" outlineLevel="0" collapsed="false">
      <c r="B183" s="9" t="s">
        <v>256</v>
      </c>
      <c r="C183" s="12" t="s">
        <v>63</v>
      </c>
      <c r="D183" s="15" t="n">
        <v>0.35</v>
      </c>
    </row>
    <row r="184" customFormat="false" ht="15" hidden="false" customHeight="true" outlineLevel="0" collapsed="false">
      <c r="B184" s="9" t="s">
        <v>257</v>
      </c>
      <c r="C184" s="12" t="s">
        <v>84</v>
      </c>
      <c r="D184" s="13" t="n">
        <v>5</v>
      </c>
    </row>
    <row r="185" customFormat="false" ht="15" hidden="false" customHeight="true" outlineLevel="0" collapsed="false">
      <c r="B185" s="9" t="s">
        <v>258</v>
      </c>
      <c r="C185" s="12" t="s">
        <v>63</v>
      </c>
      <c r="D185" s="15" t="n">
        <v>0.12</v>
      </c>
    </row>
    <row r="186" customFormat="false" ht="15" hidden="false" customHeight="true" outlineLevel="0" collapsed="false">
      <c r="B186" s="9" t="s">
        <v>259</v>
      </c>
      <c r="C186" s="12" t="s">
        <v>84</v>
      </c>
      <c r="D186" s="13" t="n">
        <v>20</v>
      </c>
    </row>
    <row r="187" customFormat="false" ht="15" hidden="false" customHeight="true" outlineLevel="0" collapsed="false">
      <c r="B187" s="9" t="s">
        <v>260</v>
      </c>
      <c r="C187" s="12" t="s">
        <v>84</v>
      </c>
      <c r="D187" s="13" t="n">
        <v>10</v>
      </c>
    </row>
    <row r="188" customFormat="false" ht="15" hidden="false" customHeight="true" outlineLevel="0" collapsed="false">
      <c r="B188" s="9" t="s">
        <v>261</v>
      </c>
      <c r="C188" s="12" t="s">
        <v>55</v>
      </c>
      <c r="D188" s="13" t="n">
        <v>30</v>
      </c>
    </row>
    <row r="189" customFormat="false" ht="15" hidden="false" customHeight="true" outlineLevel="0" collapsed="false">
      <c r="B189" s="9" t="s">
        <v>262</v>
      </c>
      <c r="C189" s="12" t="s">
        <v>55</v>
      </c>
      <c r="D189" s="13" t="n">
        <v>45</v>
      </c>
    </row>
    <row r="190" customFormat="false" ht="15" hidden="false" customHeight="true" outlineLevel="0" collapsed="false"/>
    <row r="191" customFormat="false" ht="15" hidden="false" customHeight="true" outlineLevel="0" collapsed="false">
      <c r="B191" s="4" t="s">
        <v>263</v>
      </c>
      <c r="C191" s="6"/>
      <c r="D191" s="6"/>
    </row>
    <row r="192" customFormat="false" ht="15" hidden="false" customHeight="true" outlineLevel="0" collapsed="false">
      <c r="B192" s="9" t="s">
        <v>264</v>
      </c>
      <c r="C192" s="12" t="s">
        <v>63</v>
      </c>
      <c r="D192" s="15" t="n">
        <v>0.18</v>
      </c>
    </row>
    <row r="193" customFormat="false" ht="15" hidden="false" customHeight="true" outlineLevel="0" collapsed="false">
      <c r="B193" s="9" t="s">
        <v>265</v>
      </c>
      <c r="C193" s="12" t="s">
        <v>86</v>
      </c>
      <c r="D193" s="13" t="n">
        <v>0</v>
      </c>
    </row>
    <row r="194" customFormat="false" ht="15" hidden="false" customHeight="true" outlineLevel="0" collapsed="false">
      <c r="B194" s="9" t="s">
        <v>266</v>
      </c>
      <c r="C194" s="12" t="s">
        <v>86</v>
      </c>
      <c r="D194" s="13" t="n">
        <v>4</v>
      </c>
    </row>
    <row r="195" customFormat="false" ht="15" hidden="false" customHeight="true" outlineLevel="0" collapsed="false">
      <c r="B195" s="9" t="s">
        <v>267</v>
      </c>
      <c r="C195" s="12" t="s">
        <v>84</v>
      </c>
      <c r="D195" s="13" t="n">
        <v>0</v>
      </c>
    </row>
    <row r="196" customFormat="false" ht="15" hidden="false" customHeight="true" outlineLevel="0" collapsed="false">
      <c r="B196" s="9" t="s">
        <v>268</v>
      </c>
      <c r="C196" s="12" t="s">
        <v>84</v>
      </c>
      <c r="D196" s="13" t="n">
        <v>6</v>
      </c>
    </row>
    <row r="197" customFormat="false" ht="15" hidden="false" customHeight="true" outlineLevel="0" collapsed="false">
      <c r="B197" s="9" t="s">
        <v>269</v>
      </c>
      <c r="C197" s="12" t="s">
        <v>84</v>
      </c>
      <c r="D197" s="13" t="n">
        <v>10</v>
      </c>
    </row>
    <row r="198" customFormat="false" ht="15" hidden="false" customHeight="true" outlineLevel="0" collapsed="false">
      <c r="B198" s="9" t="s">
        <v>270</v>
      </c>
      <c r="C198" s="12" t="s">
        <v>84</v>
      </c>
      <c r="D198" s="13" t="n">
        <v>20</v>
      </c>
    </row>
    <row r="199" customFormat="false" ht="15" hidden="false" customHeight="true" outlineLevel="0" collapsed="false">
      <c r="B199" s="9" t="s">
        <v>271</v>
      </c>
      <c r="C199" s="12" t="s">
        <v>136</v>
      </c>
      <c r="D199" s="14" t="n">
        <v>80005</v>
      </c>
    </row>
    <row r="200" customFormat="false" ht="15" hidden="false" customHeight="true" outlineLevel="0" collapsed="false"/>
    <row r="201" customFormat="false" ht="15" hidden="false" customHeight="true" outlineLevel="0" collapsed="false">
      <c r="B201" s="4" t="s">
        <v>272</v>
      </c>
      <c r="C201" s="6"/>
      <c r="D201" s="6"/>
    </row>
    <row r="202" customFormat="false" ht="15" hidden="false" customHeight="true" outlineLevel="0" collapsed="false">
      <c r="B202" s="9" t="s">
        <v>273</v>
      </c>
      <c r="C202" s="12" t="s">
        <v>63</v>
      </c>
      <c r="D202" s="15" t="n">
        <v>0.1</v>
      </c>
    </row>
    <row r="203" customFormat="false" ht="15" hidden="false" customHeight="true" outlineLevel="0" collapsed="false"/>
    <row r="204" customFormat="false" ht="15" hidden="false" customHeight="true" outlineLevel="0" collapsed="false">
      <c r="B204" s="4" t="s">
        <v>274</v>
      </c>
      <c r="C204" s="6"/>
      <c r="D204" s="6"/>
    </row>
    <row r="205" customFormat="false" ht="15" hidden="false" customHeight="true" outlineLevel="0" collapsed="false">
      <c r="B205" s="9" t="s">
        <v>275</v>
      </c>
      <c r="C205" s="12" t="s">
        <v>276</v>
      </c>
      <c r="D205" s="14" t="n">
        <v>120</v>
      </c>
    </row>
    <row r="206" customFormat="false" ht="15" hidden="false" customHeight="true" outlineLevel="0" collapsed="false">
      <c r="B206" s="9" t="s">
        <v>277</v>
      </c>
      <c r="C206" s="12" t="s">
        <v>276</v>
      </c>
      <c r="D206" s="14" t="n">
        <v>150</v>
      </c>
    </row>
    <row r="207" customFormat="false" ht="15" hidden="false" customHeight="true" outlineLevel="0" collapsed="false">
      <c r="B207" s="9" t="s">
        <v>278</v>
      </c>
      <c r="C207" s="12" t="s">
        <v>276</v>
      </c>
      <c r="D207" s="14" t="n">
        <v>80</v>
      </c>
    </row>
    <row r="208" customFormat="false" ht="15" hidden="false" customHeight="true" outlineLevel="0" collapsed="false">
      <c r="B208" s="9" t="s">
        <v>279</v>
      </c>
      <c r="C208" s="12" t="s">
        <v>280</v>
      </c>
      <c r="D208" s="14" t="n">
        <v>45</v>
      </c>
    </row>
    <row r="209" customFormat="false" ht="15" hidden="false" customHeight="true" outlineLevel="0" collapsed="false">
      <c r="B209" s="9" t="s">
        <v>281</v>
      </c>
      <c r="C209" s="12" t="s">
        <v>280</v>
      </c>
      <c r="D209" s="14" t="n">
        <v>120</v>
      </c>
    </row>
    <row r="210" customFormat="false" ht="15" hidden="false" customHeight="true" outlineLevel="0" collapsed="false">
      <c r="B210" s="9" t="s">
        <v>282</v>
      </c>
      <c r="C210" s="12" t="s">
        <v>280</v>
      </c>
      <c r="D210" s="14" t="n">
        <v>40</v>
      </c>
    </row>
    <row r="211" customFormat="false" ht="15" hidden="false" customHeight="true" outlineLevel="0" collapsed="false">
      <c r="B211" s="9" t="s">
        <v>283</v>
      </c>
      <c r="C211" s="12" t="s">
        <v>280</v>
      </c>
      <c r="D211" s="14" t="n">
        <v>100</v>
      </c>
    </row>
    <row r="212" customFormat="false" ht="15" hidden="false" customHeight="true" outlineLevel="0" collapsed="false">
      <c r="B212" s="9" t="s">
        <v>284</v>
      </c>
      <c r="C212" s="12" t="s">
        <v>176</v>
      </c>
      <c r="D212" s="14" t="n">
        <v>290.909090909091</v>
      </c>
    </row>
    <row r="213" customFormat="false" ht="15" hidden="false" customHeight="true" outlineLevel="0" collapsed="false">
      <c r="B213" s="9" t="s">
        <v>285</v>
      </c>
      <c r="C213" s="12" t="s">
        <v>286</v>
      </c>
      <c r="D213" s="14" t="n">
        <v>150</v>
      </c>
    </row>
    <row r="214" customFormat="false" ht="15" hidden="false" customHeight="true" outlineLevel="0" collapsed="false">
      <c r="B214" s="9" t="s">
        <v>287</v>
      </c>
      <c r="C214" s="12" t="s">
        <v>286</v>
      </c>
      <c r="D214" s="14" t="n">
        <v>80</v>
      </c>
    </row>
    <row r="215" customFormat="false" ht="15" hidden="false" customHeight="true" outlineLevel="0" collapsed="false">
      <c r="B215" s="9" t="s">
        <v>288</v>
      </c>
      <c r="C215" s="12" t="s">
        <v>286</v>
      </c>
      <c r="D215" s="14" t="n">
        <v>200</v>
      </c>
    </row>
    <row r="216" customFormat="false" ht="15" hidden="false" customHeight="true" outlineLevel="0" collapsed="false">
      <c r="B216" s="9" t="s">
        <v>289</v>
      </c>
      <c r="C216" s="12" t="s">
        <v>290</v>
      </c>
      <c r="D216" s="14" t="n">
        <v>100</v>
      </c>
    </row>
    <row r="217" customFormat="false" ht="15" hidden="false" customHeight="true" outlineLevel="0" collapsed="false">
      <c r="B217" s="9" t="s">
        <v>291</v>
      </c>
      <c r="C217" s="12" t="s">
        <v>46</v>
      </c>
      <c r="D217" s="13" t="n">
        <v>1</v>
      </c>
    </row>
    <row r="218" customFormat="false" ht="15" hidden="false" customHeight="true" outlineLevel="0" collapsed="false">
      <c r="B218" s="9" t="s">
        <v>292</v>
      </c>
      <c r="C218" s="12" t="s">
        <v>58</v>
      </c>
      <c r="D218" s="14" t="n">
        <v>15000</v>
      </c>
    </row>
    <row r="219" customFormat="false" ht="15" hidden="false" customHeight="true" outlineLevel="0" collapsed="false"/>
    <row r="220" customFormat="false" ht="15" hidden="false" customHeight="true" outlineLevel="0" collapsed="false">
      <c r="B220" s="4" t="s">
        <v>293</v>
      </c>
      <c r="C220" s="6"/>
      <c r="D220" s="6"/>
    </row>
    <row r="221" customFormat="false" ht="15" hidden="false" customHeight="true" outlineLevel="0" collapsed="false">
      <c r="B221" s="9" t="s">
        <v>294</v>
      </c>
      <c r="C221" s="12" t="s">
        <v>295</v>
      </c>
      <c r="D221" s="13" t="n">
        <v>8000</v>
      </c>
    </row>
    <row r="222" customFormat="false" ht="15" hidden="false" customHeight="true" outlineLevel="0" collapsed="false">
      <c r="B222" s="9" t="s">
        <v>296</v>
      </c>
      <c r="C222" s="12" t="s">
        <v>295</v>
      </c>
      <c r="D222" s="13" t="n">
        <v>12000</v>
      </c>
    </row>
    <row r="223" customFormat="false" ht="15" hidden="false" customHeight="true" outlineLevel="0" collapsed="false">
      <c r="B223" s="9" t="s">
        <v>297</v>
      </c>
      <c r="C223" s="12" t="s">
        <v>298</v>
      </c>
      <c r="D223" s="16" t="n">
        <v>0.4</v>
      </c>
    </row>
    <row r="224" customFormat="false" ht="15" hidden="false" customHeight="true" outlineLevel="0" collapsed="false">
      <c r="B224" s="9" t="s">
        <v>299</v>
      </c>
      <c r="C224" s="12" t="s">
        <v>300</v>
      </c>
      <c r="D224" s="14" t="n">
        <v>0.25</v>
      </c>
    </row>
    <row r="225" customFormat="false" ht="15" hidden="false" customHeight="true" outlineLevel="0" collapsed="false">
      <c r="B225" s="9" t="s">
        <v>301</v>
      </c>
      <c r="C225" s="12" t="s">
        <v>302</v>
      </c>
      <c r="D225" s="13" t="n">
        <v>15000</v>
      </c>
    </row>
    <row r="226" customFormat="false" ht="15" hidden="false" customHeight="true" outlineLevel="0" collapsed="false">
      <c r="B226" s="9" t="s">
        <v>303</v>
      </c>
      <c r="C226" s="12" t="s">
        <v>63</v>
      </c>
      <c r="D226" s="15" t="n">
        <v>0.15</v>
      </c>
    </row>
    <row r="227" customFormat="false" ht="15" hidden="false" customHeight="true" outlineLevel="0" collapsed="false">
      <c r="B227" s="9" t="s">
        <v>304</v>
      </c>
      <c r="C227" s="12" t="s">
        <v>159</v>
      </c>
      <c r="D227" s="14" t="n">
        <v>0.909090909090909</v>
      </c>
    </row>
    <row r="228" customFormat="false" ht="15" hidden="false" customHeight="true" outlineLevel="0" collapsed="false">
      <c r="B228" s="9" t="s">
        <v>305</v>
      </c>
      <c r="C228" s="12" t="s">
        <v>306</v>
      </c>
      <c r="D228" s="16" t="n">
        <v>3</v>
      </c>
    </row>
    <row r="229" customFormat="false" ht="15" hidden="false" customHeight="true" outlineLevel="0" collapsed="false"/>
    <row r="230" customFormat="false" ht="15" hidden="false" customHeight="true" outlineLevel="0" collapsed="false">
      <c r="B230" s="4" t="s">
        <v>307</v>
      </c>
      <c r="C230" s="6"/>
      <c r="D230" s="6"/>
    </row>
    <row r="231" customFormat="false" ht="15" hidden="false" customHeight="true" outlineLevel="0" collapsed="false">
      <c r="B231" s="9" t="s">
        <v>308</v>
      </c>
      <c r="C231" s="12" t="s">
        <v>280</v>
      </c>
      <c r="D231" s="14" t="n">
        <v>45</v>
      </c>
    </row>
    <row r="232" customFormat="false" ht="15" hidden="false" customHeight="true" outlineLevel="0" collapsed="false">
      <c r="B232" s="9" t="s">
        <v>309</v>
      </c>
      <c r="C232" s="12" t="s">
        <v>280</v>
      </c>
      <c r="D232" s="14" t="n">
        <v>25</v>
      </c>
    </row>
    <row r="233" customFormat="false" ht="15" hidden="false" customHeight="true" outlineLevel="0" collapsed="false">
      <c r="B233" s="9" t="s">
        <v>310</v>
      </c>
      <c r="C233" s="12" t="s">
        <v>276</v>
      </c>
      <c r="D233" s="14" t="n">
        <v>60</v>
      </c>
    </row>
    <row r="234" customFormat="false" ht="15" hidden="false" customHeight="true" outlineLevel="0" collapsed="false">
      <c r="B234" s="9" t="s">
        <v>311</v>
      </c>
      <c r="C234" s="12" t="s">
        <v>280</v>
      </c>
      <c r="D234" s="14" t="n">
        <v>80</v>
      </c>
    </row>
    <row r="235" customFormat="false" ht="15" hidden="false" customHeight="true" outlineLevel="0" collapsed="false">
      <c r="B235" s="9" t="s">
        <v>312</v>
      </c>
      <c r="C235" s="12" t="s">
        <v>163</v>
      </c>
      <c r="D235" s="14" t="n">
        <v>15</v>
      </c>
    </row>
    <row r="236" customFormat="false" ht="15" hidden="false" customHeight="true" outlineLevel="0" collapsed="false">
      <c r="B236" s="9" t="s">
        <v>313</v>
      </c>
      <c r="C236" s="12" t="s">
        <v>314</v>
      </c>
      <c r="D236" s="14" t="n">
        <v>30</v>
      </c>
    </row>
    <row r="237" customFormat="false" ht="15" hidden="false" customHeight="true" outlineLevel="0" collapsed="false">
      <c r="B237" s="9" t="s">
        <v>315</v>
      </c>
      <c r="C237" s="12" t="s">
        <v>316</v>
      </c>
      <c r="D237" s="13" t="n">
        <v>6</v>
      </c>
    </row>
    <row r="238" customFormat="false" ht="15" hidden="false" customHeight="true" outlineLevel="0" collapsed="false">
      <c r="B238" s="9" t="s">
        <v>317</v>
      </c>
      <c r="C238" s="12" t="s">
        <v>318</v>
      </c>
      <c r="D238" s="15" t="n">
        <v>0.05</v>
      </c>
    </row>
    <row r="239" customFormat="false" ht="15" hidden="false" customHeight="true" outlineLevel="0" collapsed="false"/>
    <row r="240" customFormat="false" ht="15" hidden="false" customHeight="true" outlineLevel="0" collapsed="false">
      <c r="B240" s="4" t="s">
        <v>319</v>
      </c>
      <c r="C240" s="6"/>
      <c r="D240" s="6"/>
    </row>
    <row r="241" customFormat="false" ht="15" hidden="false" customHeight="true" outlineLevel="0" collapsed="false">
      <c r="B241" s="9" t="s">
        <v>320</v>
      </c>
      <c r="C241" s="12" t="s">
        <v>321</v>
      </c>
      <c r="D241" s="14" t="n">
        <v>125000</v>
      </c>
    </row>
    <row r="242" customFormat="false" ht="15" hidden="false" customHeight="true" outlineLevel="0" collapsed="false">
      <c r="B242" s="9" t="s">
        <v>322</v>
      </c>
      <c r="C242" s="12" t="s">
        <v>321</v>
      </c>
      <c r="D242" s="14" t="n">
        <v>150000</v>
      </c>
    </row>
    <row r="243" customFormat="false" ht="15" hidden="false" customHeight="true" outlineLevel="0" collapsed="false">
      <c r="B243" s="9" t="s">
        <v>323</v>
      </c>
      <c r="C243" s="12" t="s">
        <v>324</v>
      </c>
      <c r="D243" s="14" t="n">
        <v>5000</v>
      </c>
    </row>
    <row r="244" customFormat="false" ht="15" hidden="false" customHeight="true" outlineLevel="0" collapsed="false">
      <c r="B244" s="9" t="s">
        <v>325</v>
      </c>
      <c r="C244" s="12" t="s">
        <v>321</v>
      </c>
      <c r="D244" s="14" t="n">
        <v>8401</v>
      </c>
    </row>
    <row r="245" customFormat="false" ht="15" hidden="false" customHeight="true" outlineLevel="0" collapsed="false">
      <c r="B245" s="9" t="s">
        <v>326</v>
      </c>
      <c r="C245" s="12" t="s">
        <v>324</v>
      </c>
      <c r="D245" s="14" t="n">
        <v>24000</v>
      </c>
    </row>
    <row r="246" customFormat="false" ht="15" hidden="false" customHeight="true" outlineLevel="0" collapsed="false">
      <c r="B246" s="9" t="s">
        <v>327</v>
      </c>
      <c r="C246" s="12" t="s">
        <v>321</v>
      </c>
      <c r="D246" s="14" t="n">
        <v>25300</v>
      </c>
    </row>
    <row r="247" customFormat="false" ht="15" hidden="false" customHeight="true" outlineLevel="0" collapsed="false">
      <c r="B247" s="9" t="s">
        <v>328</v>
      </c>
      <c r="C247" s="12" t="s">
        <v>329</v>
      </c>
      <c r="D247" s="13" t="n">
        <v>1500</v>
      </c>
    </row>
    <row r="248" customFormat="false" ht="15" hidden="false" customHeight="true" outlineLevel="0" collapsed="false">
      <c r="B248" s="9" t="s">
        <v>330</v>
      </c>
      <c r="C248" s="12" t="s">
        <v>331</v>
      </c>
      <c r="D248" s="14" t="n">
        <v>5</v>
      </c>
    </row>
    <row r="249" customFormat="false" ht="15" hidden="false" customHeight="true" outlineLevel="0" collapsed="false">
      <c r="B249" s="9" t="s">
        <v>332</v>
      </c>
      <c r="C249" s="12" t="s">
        <v>333</v>
      </c>
      <c r="D249" s="14" t="n">
        <v>760</v>
      </c>
    </row>
    <row r="250" customFormat="false" ht="15" hidden="false" customHeight="true" outlineLevel="0" collapsed="false">
      <c r="B250" s="9" t="s">
        <v>334</v>
      </c>
      <c r="C250" s="12" t="s">
        <v>58</v>
      </c>
      <c r="D250" s="14" t="n">
        <v>6500</v>
      </c>
    </row>
    <row r="251" customFormat="false" ht="15" hidden="false" customHeight="true" outlineLevel="0" collapsed="false">
      <c r="B251" s="9" t="s">
        <v>335</v>
      </c>
      <c r="C251" s="12" t="s">
        <v>336</v>
      </c>
      <c r="D251" s="14" t="n">
        <v>18</v>
      </c>
    </row>
    <row r="252" customFormat="false" ht="15" hidden="false" customHeight="true" outlineLevel="0" collapsed="false">
      <c r="B252" s="9" t="s">
        <v>337</v>
      </c>
      <c r="C252" s="12" t="s">
        <v>338</v>
      </c>
      <c r="D252" s="13" t="n">
        <v>1000</v>
      </c>
    </row>
    <row r="253" customFormat="false" ht="15" hidden="false" customHeight="true" outlineLevel="0" collapsed="false">
      <c r="B253" s="9" t="s">
        <v>339</v>
      </c>
      <c r="C253" s="12" t="s">
        <v>58</v>
      </c>
      <c r="D253" s="14" t="n">
        <v>79350</v>
      </c>
    </row>
    <row r="254" customFormat="false" ht="15" hidden="false" customHeight="true" outlineLevel="0" collapsed="false">
      <c r="B254" s="9" t="s">
        <v>340</v>
      </c>
      <c r="C254" s="12" t="s">
        <v>58</v>
      </c>
      <c r="D254" s="14" t="n">
        <v>35650</v>
      </c>
    </row>
    <row r="255" customFormat="false" ht="15" hidden="false" customHeight="true" outlineLevel="0" collapsed="false"/>
    <row r="256" customFormat="false" ht="15" hidden="false" customHeight="true" outlineLevel="0" collapsed="false">
      <c r="B256" s="4" t="s">
        <v>341</v>
      </c>
      <c r="C256" s="6"/>
      <c r="D256" s="6"/>
    </row>
    <row r="257" customFormat="false" ht="15" hidden="false" customHeight="true" outlineLevel="0" collapsed="false">
      <c r="B257" s="9" t="s">
        <v>342</v>
      </c>
      <c r="C257" s="12" t="s">
        <v>321</v>
      </c>
      <c r="D257" s="14" t="n">
        <v>125000</v>
      </c>
    </row>
    <row r="258" customFormat="false" ht="15" hidden="false" customHeight="true" outlineLevel="0" collapsed="false">
      <c r="B258" s="9" t="s">
        <v>343</v>
      </c>
      <c r="C258" s="12" t="s">
        <v>321</v>
      </c>
      <c r="D258" s="14" t="n">
        <v>75000</v>
      </c>
    </row>
    <row r="259" customFormat="false" ht="15" hidden="false" customHeight="true" outlineLevel="0" collapsed="false">
      <c r="B259" s="9" t="s">
        <v>344</v>
      </c>
      <c r="C259" s="12" t="s">
        <v>321</v>
      </c>
      <c r="D259" s="14" t="n">
        <v>17000</v>
      </c>
    </row>
    <row r="260" customFormat="false" ht="15" hidden="false" customHeight="true" outlineLevel="0" collapsed="false">
      <c r="B260" s="9" t="s">
        <v>345</v>
      </c>
      <c r="C260" s="12" t="s">
        <v>321</v>
      </c>
      <c r="D260" s="14" t="n">
        <v>24000</v>
      </c>
    </row>
    <row r="261" customFormat="false" ht="15" hidden="false" customHeight="true" outlineLevel="0" collapsed="false">
      <c r="B261" s="9" t="s">
        <v>346</v>
      </c>
      <c r="C261" s="12" t="s">
        <v>321</v>
      </c>
      <c r="D261" s="14" t="n">
        <v>8000</v>
      </c>
    </row>
    <row r="262" customFormat="false" ht="15" hidden="false" customHeight="true" outlineLevel="0" collapsed="false">
      <c r="B262" s="9" t="s">
        <v>347</v>
      </c>
      <c r="C262" s="12" t="s">
        <v>321</v>
      </c>
      <c r="D262" s="14" t="n">
        <v>18000</v>
      </c>
    </row>
    <row r="263" customFormat="false" ht="15" hidden="false" customHeight="true" outlineLevel="0" collapsed="false">
      <c r="B263" s="9" t="s">
        <v>348</v>
      </c>
      <c r="C263" s="12" t="s">
        <v>321</v>
      </c>
      <c r="D263" s="14" t="n">
        <v>6000</v>
      </c>
    </row>
    <row r="264" customFormat="false" ht="15" hidden="false" customHeight="true" outlineLevel="0" collapsed="false">
      <c r="B264" s="9" t="s">
        <v>349</v>
      </c>
      <c r="C264" s="12" t="s">
        <v>58</v>
      </c>
      <c r="D264" s="14" t="n">
        <v>18000</v>
      </c>
    </row>
    <row r="265" customFormat="false" ht="15" hidden="false" customHeight="true" outlineLevel="0" collapsed="false">
      <c r="B265" s="9" t="s">
        <v>350</v>
      </c>
      <c r="C265" s="12" t="s">
        <v>58</v>
      </c>
      <c r="D265" s="14" t="n">
        <v>16000</v>
      </c>
    </row>
    <row r="266" customFormat="false" ht="15" hidden="false" customHeight="true" outlineLevel="0" collapsed="false">
      <c r="B266" s="9" t="s">
        <v>351</v>
      </c>
      <c r="C266" s="12" t="s">
        <v>58</v>
      </c>
      <c r="D266" s="14" t="n">
        <v>51750</v>
      </c>
    </row>
    <row r="267" customFormat="false" ht="15" hidden="false" customHeight="true" outlineLevel="0" collapsed="false">
      <c r="B267" s="9" t="s">
        <v>352</v>
      </c>
      <c r="C267" s="12" t="s">
        <v>58</v>
      </c>
      <c r="D267" s="14" t="n">
        <v>23250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353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>
      <c r="B7" s="4" t="s">
        <v>363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18" t="s">
        <v>364</v>
      </c>
      <c r="C8" s="12" t="s">
        <v>365</v>
      </c>
      <c r="D8" s="19" t="n">
        <f aca="false">SUM(E8:L8)</f>
        <v>1</v>
      </c>
      <c r="E8" s="20" t="n">
        <f aca="false">IF(E$4=-1,1,0)</f>
        <v>1</v>
      </c>
      <c r="F8" s="20" t="n">
        <f aca="false">IF(F$4=-1,1,0)</f>
        <v>0</v>
      </c>
      <c r="G8" s="20" t="n">
        <f aca="false">IF(G$4=-1,1,0)</f>
        <v>0</v>
      </c>
      <c r="H8" s="20" t="n">
        <f aca="false">IF(H$4=-1,1,0)</f>
        <v>0</v>
      </c>
      <c r="I8" s="20" t="n">
        <f aca="false">IF(I$4=-1,1,0)</f>
        <v>0</v>
      </c>
      <c r="J8" s="20" t="n">
        <f aca="false">IF(J$4=-1,1,0)</f>
        <v>0</v>
      </c>
      <c r="K8" s="20" t="n">
        <f aca="false">IF(K$4=-1,1,0)</f>
        <v>0</v>
      </c>
      <c r="L8" s="20" t="n">
        <f aca="false">IF(L$4=-1,1,0)</f>
        <v>0</v>
      </c>
    </row>
    <row r="9" customFormat="false" ht="15" hidden="false" customHeight="true" outlineLevel="0" collapsed="false">
      <c r="B9" s="18" t="s">
        <v>366</v>
      </c>
      <c r="C9" s="12" t="s">
        <v>365</v>
      </c>
      <c r="D9" s="19" t="n">
        <f aca="false">SUM(E9:L9)</f>
        <v>1</v>
      </c>
      <c r="E9" s="20" t="n">
        <f aca="false">IF(E$4=0,1,0)</f>
        <v>0</v>
      </c>
      <c r="F9" s="20" t="n">
        <f aca="false">IF(F$4=0,1,0)</f>
        <v>1</v>
      </c>
      <c r="G9" s="20" t="n">
        <f aca="false">IF(G$4=0,1,0)</f>
        <v>0</v>
      </c>
      <c r="H9" s="20" t="n">
        <f aca="false">IF(H$4=0,1,0)</f>
        <v>0</v>
      </c>
      <c r="I9" s="20" t="n">
        <f aca="false">IF(I$4=0,1,0)</f>
        <v>0</v>
      </c>
      <c r="J9" s="20" t="n">
        <f aca="false">IF(J$4=0,1,0)</f>
        <v>0</v>
      </c>
      <c r="K9" s="20" t="n">
        <f aca="false">IF(K$4=0,1,0)</f>
        <v>0</v>
      </c>
      <c r="L9" s="20" t="n">
        <f aca="false">IF(L$4=0,1,0)</f>
        <v>0</v>
      </c>
    </row>
    <row r="10" customFormat="false" ht="15" hidden="false" customHeight="true" outlineLevel="0" collapsed="false">
      <c r="B10" s="18" t="s">
        <v>367</v>
      </c>
      <c r="C10" s="12" t="s">
        <v>365</v>
      </c>
      <c r="D10" s="19" t="n">
        <f aca="false">SUM(E10:L10)</f>
        <v>2</v>
      </c>
      <c r="E10" s="20" t="n">
        <f aca="false">IF(AND(E$4&gt;=ASM_A06_TRAINING_START_YEAR,E$4&lt;=ASM_A07_TRAINING_STOP_YEAR),1,0)</f>
        <v>0</v>
      </c>
      <c r="F10" s="20" t="n">
        <f aca="false">IF(AND(F$4&gt;=ASM_A06_TRAINING_START_YEAR,F$4&lt;=ASM_A07_TRAINING_STOP_YEAR),1,0)</f>
        <v>0</v>
      </c>
      <c r="G10" s="20" t="n">
        <f aca="false">IF(AND(G$4&gt;=ASM_A06_TRAINING_START_YEAR,G$4&lt;=ASM_A07_TRAINING_STOP_YEAR),1,0)</f>
        <v>1</v>
      </c>
      <c r="H10" s="20" t="n">
        <f aca="false">IF(AND(H$4&gt;=ASM_A06_TRAINING_START_YEAR,H$4&lt;=ASM_A07_TRAINING_STOP_YEAR),1,0)</f>
        <v>1</v>
      </c>
      <c r="I10" s="20" t="n">
        <f aca="false">IF(AND(I$4&gt;=ASM_A06_TRAINING_START_YEAR,I$4&lt;=ASM_A07_TRAINING_STOP_YEAR),1,0)</f>
        <v>0</v>
      </c>
      <c r="J10" s="20" t="n">
        <f aca="false">IF(AND(J$4&gt;=ASM_A06_TRAINING_START_YEAR,J$4&lt;=ASM_A07_TRAINING_STOP_YEAR),1,0)</f>
        <v>0</v>
      </c>
      <c r="K10" s="20" t="n">
        <f aca="false">IF(AND(K$4&gt;=ASM_A06_TRAINING_START_YEAR,K$4&lt;=ASM_A07_TRAINING_STOP_YEAR),1,0)</f>
        <v>0</v>
      </c>
      <c r="L10" s="20" t="n">
        <f aca="false">IF(AND(L$4&gt;=ASM_A06_TRAINING_START_YEAR,L$4&lt;=ASM_A07_TRAINING_STOP_YEAR),1,0)</f>
        <v>0</v>
      </c>
    </row>
    <row r="11" customFormat="false" ht="15" hidden="false" customHeight="true" outlineLevel="0" collapsed="false">
      <c r="B11" s="18" t="s">
        <v>368</v>
      </c>
      <c r="C11" s="12" t="s">
        <v>365</v>
      </c>
      <c r="D11" s="19" t="n">
        <f aca="false">SUM(E11:L11)</f>
        <v>4</v>
      </c>
      <c r="E11" s="20" t="n">
        <f aca="false">IF(E$4&gt;ASM_A07_TRAINING_STOP_YEAR,1,0)</f>
        <v>0</v>
      </c>
      <c r="F11" s="20" t="n">
        <f aca="false">IF(F$4&gt;ASM_A07_TRAINING_STOP_YEAR,1,0)</f>
        <v>0</v>
      </c>
      <c r="G11" s="20" t="n">
        <f aca="false">IF(G$4&gt;ASM_A07_TRAINING_STOP_YEAR,1,0)</f>
        <v>0</v>
      </c>
      <c r="H11" s="20" t="n">
        <f aca="false">IF(H$4&gt;ASM_A07_TRAINING_STOP_YEAR,1,0)</f>
        <v>0</v>
      </c>
      <c r="I11" s="20" t="n">
        <f aca="false">IF(I$4&gt;ASM_A07_TRAINING_STOP_YEAR,1,0)</f>
        <v>1</v>
      </c>
      <c r="J11" s="20" t="n">
        <f aca="false">IF(J$4&gt;ASM_A07_TRAINING_STOP_YEAR,1,0)</f>
        <v>1</v>
      </c>
      <c r="K11" s="20" t="n">
        <f aca="false">IF(K$4&gt;ASM_A07_TRAINING_STOP_YEAR,1,0)</f>
        <v>1</v>
      </c>
      <c r="L11" s="20" t="n">
        <f aca="false">IF(L$4&gt;ASM_A07_TRAINING_STOP_YEAR,1,0)</f>
        <v>1</v>
      </c>
    </row>
    <row r="12" customFormat="false" ht="15" hidden="false" customHeight="true" outlineLevel="0" collapsed="false">
      <c r="B12" s="18" t="s">
        <v>369</v>
      </c>
      <c r="C12" s="12" t="s">
        <v>365</v>
      </c>
      <c r="D12" s="19" t="n">
        <f aca="false">SUM(E12:L12)</f>
        <v>6</v>
      </c>
      <c r="E12" s="20" t="n">
        <f aca="false">IF(E$4&gt;=ASM_A04_COD_YEAR,1,0)</f>
        <v>0</v>
      </c>
      <c r="F12" s="20" t="n">
        <f aca="false">IF(F$4&gt;=ASM_A04_COD_YEAR,1,0)</f>
        <v>0</v>
      </c>
      <c r="G12" s="20" t="n">
        <f aca="false">IF(G$4&gt;=ASM_A04_COD_YEAR,1,0)</f>
        <v>1</v>
      </c>
      <c r="H12" s="20" t="n">
        <f aca="false">IF(H$4&gt;=ASM_A04_COD_YEAR,1,0)</f>
        <v>1</v>
      </c>
      <c r="I12" s="20" t="n">
        <f aca="false">IF(I$4&gt;=ASM_A04_COD_YEAR,1,0)</f>
        <v>1</v>
      </c>
      <c r="J12" s="20" t="n">
        <f aca="false">IF(J$4&gt;=ASM_A04_COD_YEAR,1,0)</f>
        <v>1</v>
      </c>
      <c r="K12" s="20" t="n">
        <f aca="false">IF(K$4&gt;=ASM_A04_COD_YEAR,1,0)</f>
        <v>1</v>
      </c>
      <c r="L12" s="20" t="n">
        <f aca="false">IF(L$4&gt;=ASM_A04_COD_YEAR,1,0)</f>
        <v>1</v>
      </c>
    </row>
    <row r="13" customFormat="false" ht="15" hidden="false" customHeight="true" outlineLevel="0" collapsed="false"/>
    <row r="14" customFormat="false" ht="15" hidden="false" customHeight="true" outlineLevel="0" collapsed="false">
      <c r="B14" s="4" t="s">
        <v>370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B15" s="18" t="s">
        <v>371</v>
      </c>
      <c r="C15" s="12" t="s">
        <v>80</v>
      </c>
      <c r="D15" s="19" t="n">
        <f aca="false">SUM(E15:L15)</f>
        <v>18</v>
      </c>
      <c r="E15" s="20" t="n">
        <f aca="false">IF(E$4&gt;=ASM_A04_COD_YEAR,ASM_A01_N_FARMS,0)</f>
        <v>0</v>
      </c>
      <c r="F15" s="20" t="n">
        <f aca="false">IF(F$4&gt;=ASM_A04_COD_YEAR,ASM_A01_N_FARMS,0)</f>
        <v>0</v>
      </c>
      <c r="G15" s="20" t="n">
        <f aca="false">IF(G$4&gt;=ASM_A04_COD_YEAR,ASM_A01_N_FARMS,0)</f>
        <v>3</v>
      </c>
      <c r="H15" s="20" t="n">
        <f aca="false">IF(H$4&gt;=ASM_A04_COD_YEAR,ASM_A01_N_FARMS,0)</f>
        <v>3</v>
      </c>
      <c r="I15" s="20" t="n">
        <f aca="false">IF(I$4&gt;=ASM_A04_COD_YEAR,ASM_A01_N_FARMS,0)</f>
        <v>3</v>
      </c>
      <c r="J15" s="20" t="n">
        <f aca="false">IF(J$4&gt;=ASM_A04_COD_YEAR,ASM_A01_N_FARMS,0)</f>
        <v>3</v>
      </c>
      <c r="K15" s="20" t="n">
        <f aca="false">IF(K$4&gt;=ASM_A04_COD_YEAR,ASM_A01_N_FARMS,0)</f>
        <v>3</v>
      </c>
      <c r="L15" s="20" t="n">
        <f aca="false">IF(L$4&gt;=ASM_A04_COD_YEAR,ASM_A01_N_FARMS,0)</f>
        <v>3</v>
      </c>
    </row>
    <row r="16" customFormat="false" ht="15" hidden="false" customHeight="true" outlineLevel="0" collapsed="false">
      <c r="B16" s="18" t="s">
        <v>372</v>
      </c>
      <c r="C16" s="12" t="s">
        <v>80</v>
      </c>
      <c r="D16" s="19" t="n">
        <f aca="false">SUM(E16:L16)</f>
        <v>3</v>
      </c>
      <c r="E16" s="20" t="n">
        <f aca="false">IF(E$4=0,ASM_A01_N_FARMS,0)</f>
        <v>0</v>
      </c>
      <c r="F16" s="20" t="n">
        <f aca="false">IF(F$4=0,ASM_A01_N_FARMS,0)</f>
        <v>3</v>
      </c>
      <c r="G16" s="20" t="n">
        <f aca="false">IF(G$4=0,ASM_A01_N_FARMS,0)</f>
        <v>0</v>
      </c>
      <c r="H16" s="20" t="n">
        <f aca="false">IF(H$4=0,ASM_A01_N_FARMS,0)</f>
        <v>0</v>
      </c>
      <c r="I16" s="20" t="n">
        <f aca="false">IF(I$4=0,ASM_A01_N_FARMS,0)</f>
        <v>0</v>
      </c>
      <c r="J16" s="20" t="n">
        <f aca="false">IF(J$4=0,ASM_A01_N_FARMS,0)</f>
        <v>0</v>
      </c>
      <c r="K16" s="20" t="n">
        <f aca="false">IF(K$4=0,ASM_A01_N_FARMS,0)</f>
        <v>0</v>
      </c>
      <c r="L16" s="20" t="n">
        <f aca="false">IF(L$4=0,ASM_A01_N_FARMS,0)</f>
        <v>0</v>
      </c>
    </row>
    <row r="17" customFormat="false" ht="15" hidden="false" customHeight="true" outlineLevel="0" collapsed="false">
      <c r="B17" s="18" t="s">
        <v>373</v>
      </c>
      <c r="C17" s="12" t="s">
        <v>166</v>
      </c>
      <c r="D17" s="21" t="n">
        <f aca="false">SUM(E17:L17)</f>
        <v>5.15</v>
      </c>
      <c r="E17" s="22" t="n">
        <f aca="false">IF(E$4&lt;ASM_A04_COD_YEAR,0,IF(E$4=ASM_A04_COD_YEAR,ASM_E20_RAMP_Y1_PCT,IF(E$4=ASM_A04_COD_YEAR+1,ASM_E21_RAMP_Y2_PCT,1)))</f>
        <v>0</v>
      </c>
      <c r="F17" s="22" t="n">
        <f aca="false">IF(F$4&lt;ASM_A04_COD_YEAR,0,IF(F$4=ASM_A04_COD_YEAR,ASM_E20_RAMP_Y1_PCT,IF(F$4=ASM_A04_COD_YEAR+1,ASM_E21_RAMP_Y2_PCT,1)))</f>
        <v>0</v>
      </c>
      <c r="G17" s="22" t="n">
        <f aca="false">IF(G$4&lt;ASM_A04_COD_YEAR,0,IF(G$4=ASM_A04_COD_YEAR,ASM_E20_RAMP_Y1_PCT,IF(G$4=ASM_A04_COD_YEAR+1,ASM_E21_RAMP_Y2_PCT,1)))</f>
        <v>0.4</v>
      </c>
      <c r="H17" s="22" t="n">
        <f aca="false">IF(H$4&lt;ASM_A04_COD_YEAR,0,IF(H$4=ASM_A04_COD_YEAR,ASM_E20_RAMP_Y1_PCT,IF(H$4=ASM_A04_COD_YEAR+1,ASM_E21_RAMP_Y2_PCT,1)))</f>
        <v>0.75</v>
      </c>
      <c r="I17" s="22" t="n">
        <f aca="false">IF(I$4&lt;ASM_A04_COD_YEAR,0,IF(I$4=ASM_A04_COD_YEAR,ASM_E20_RAMP_Y1_PCT,IF(I$4=ASM_A04_COD_YEAR+1,ASM_E21_RAMP_Y2_PCT,1)))</f>
        <v>1</v>
      </c>
      <c r="J17" s="22" t="n">
        <f aca="false">IF(J$4&lt;ASM_A04_COD_YEAR,0,IF(J$4=ASM_A04_COD_YEAR,ASM_E20_RAMP_Y1_PCT,IF(J$4=ASM_A04_COD_YEAR+1,ASM_E21_RAMP_Y2_PCT,1)))</f>
        <v>1</v>
      </c>
      <c r="K17" s="22" t="n">
        <f aca="false">IF(K$4&lt;ASM_A04_COD_YEAR,0,IF(K$4=ASM_A04_COD_YEAR,ASM_E20_RAMP_Y1_PCT,IF(K$4=ASM_A04_COD_YEAR+1,ASM_E21_RAMP_Y2_PCT,1)))</f>
        <v>1</v>
      </c>
      <c r="L17" s="22" t="n">
        <f aca="false">IF(L$4&lt;ASM_A04_COD_YEAR,0,IF(L$4=ASM_A04_COD_YEAR,ASM_E20_RAMP_Y1_PCT,IF(L$4=ASM_A04_COD_YEAR+1,ASM_E21_RAMP_Y2_PCT,1)))</f>
        <v>1</v>
      </c>
    </row>
    <row r="18" customFormat="false" ht="15" hidden="false" customHeight="true" outlineLevel="0" collapsed="false"/>
    <row r="19" customFormat="false" ht="15" hidden="false" customHeight="true" outlineLevel="0" collapsed="false">
      <c r="B19" s="4" t="s">
        <v>374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B20" s="18" t="s">
        <v>375</v>
      </c>
      <c r="C20" s="12" t="s">
        <v>46</v>
      </c>
      <c r="D20" s="19" t="n">
        <f aca="false">SUM(E20:L20)</f>
        <v>416</v>
      </c>
      <c r="E20" s="20" t="n">
        <f aca="false">IF(AND(E$4&gt;=ASM_A06_TRAINING_START_YEAR,E$4&lt;=ASM_A07_TRAINING_STOP_YEAR),ROUND(ASM_B04_THROUGHPUT_ANNUAL*ASM_B05_PCT_FILIERE_A,0),0)</f>
        <v>0</v>
      </c>
      <c r="F20" s="20" t="n">
        <f aca="false">IF(AND(F$4&gt;=ASM_A06_TRAINING_START_YEAR,F$4&lt;=ASM_A07_TRAINING_STOP_YEAR),ROUND(ASM_B04_THROUGHPUT_ANNUAL*ASM_B05_PCT_FILIERE_A,0),0)</f>
        <v>0</v>
      </c>
      <c r="G20" s="20" t="n">
        <f aca="false">IF(AND(G$4&gt;=ASM_A06_TRAINING_START_YEAR,G$4&lt;=ASM_A07_TRAINING_STOP_YEAR),ROUND(ASM_B04_THROUGHPUT_ANNUAL*ASM_B05_PCT_FILIERE_A,0),0)</f>
        <v>208</v>
      </c>
      <c r="H20" s="20" t="n">
        <f aca="false">IF(AND(H$4&gt;=ASM_A06_TRAINING_START_YEAR,H$4&lt;=ASM_A07_TRAINING_STOP_YEAR),ROUND(ASM_B04_THROUGHPUT_ANNUAL*ASM_B05_PCT_FILIERE_A,0),0)</f>
        <v>208</v>
      </c>
      <c r="I20" s="20" t="n">
        <f aca="false">IF(AND(I$4&gt;=ASM_A06_TRAINING_START_YEAR,I$4&lt;=ASM_A07_TRAINING_STOP_YEAR),ROUND(ASM_B04_THROUGHPUT_ANNUAL*ASM_B05_PCT_FILIERE_A,0),0)</f>
        <v>0</v>
      </c>
      <c r="J20" s="20" t="n">
        <f aca="false">IF(AND(J$4&gt;=ASM_A06_TRAINING_START_YEAR,J$4&lt;=ASM_A07_TRAINING_STOP_YEAR),ROUND(ASM_B04_THROUGHPUT_ANNUAL*ASM_B05_PCT_FILIERE_A,0),0)</f>
        <v>0</v>
      </c>
      <c r="K20" s="20" t="n">
        <f aca="false">IF(AND(K$4&gt;=ASM_A06_TRAINING_START_YEAR,K$4&lt;=ASM_A07_TRAINING_STOP_YEAR),ROUND(ASM_B04_THROUGHPUT_ANNUAL*ASM_B05_PCT_FILIERE_A,0),0)</f>
        <v>0</v>
      </c>
      <c r="L20" s="20" t="n">
        <f aca="false">IF(AND(L$4&gt;=ASM_A06_TRAINING_START_YEAR,L$4&lt;=ASM_A07_TRAINING_STOP_YEAR),ROUND(ASM_B04_THROUGHPUT_ANNUAL*ASM_B05_PCT_FILIERE_A,0),0)</f>
        <v>0</v>
      </c>
    </row>
    <row r="21" customFormat="false" ht="15" hidden="false" customHeight="true" outlineLevel="0" collapsed="false">
      <c r="B21" s="18" t="s">
        <v>376</v>
      </c>
      <c r="C21" s="12" t="s">
        <v>46</v>
      </c>
      <c r="D21" s="19" t="n">
        <f aca="false">SUM(E21:L21)</f>
        <v>42</v>
      </c>
      <c r="E21" s="20" t="n">
        <f aca="false">IF(AND(E$4&gt;=ASM_A06_TRAINING_START_YEAR,E$4&lt;=ASM_A07_TRAINING_STOP_YEAR),ROUND(ASM_B04_THROUGHPUT_ANNUAL*ASM_B06_PCT_FILIERE_B,0),0)</f>
        <v>0</v>
      </c>
      <c r="F21" s="20" t="n">
        <f aca="false">IF(AND(F$4&gt;=ASM_A06_TRAINING_START_YEAR,F$4&lt;=ASM_A07_TRAINING_STOP_YEAR),ROUND(ASM_B04_THROUGHPUT_ANNUAL*ASM_B06_PCT_FILIERE_B,0),0)</f>
        <v>0</v>
      </c>
      <c r="G21" s="20" t="n">
        <f aca="false">IF(AND(G$4&gt;=ASM_A06_TRAINING_START_YEAR,G$4&lt;=ASM_A07_TRAINING_STOP_YEAR),ROUND(ASM_B04_THROUGHPUT_ANNUAL*ASM_B06_PCT_FILIERE_B,0),0)</f>
        <v>21</v>
      </c>
      <c r="H21" s="20" t="n">
        <f aca="false">IF(AND(H$4&gt;=ASM_A06_TRAINING_START_YEAR,H$4&lt;=ASM_A07_TRAINING_STOP_YEAR),ROUND(ASM_B04_THROUGHPUT_ANNUAL*ASM_B06_PCT_FILIERE_B,0),0)</f>
        <v>21</v>
      </c>
      <c r="I21" s="20" t="n">
        <f aca="false">IF(AND(I$4&gt;=ASM_A06_TRAINING_START_YEAR,I$4&lt;=ASM_A07_TRAINING_STOP_YEAR),ROUND(ASM_B04_THROUGHPUT_ANNUAL*ASM_B06_PCT_FILIERE_B,0),0)</f>
        <v>0</v>
      </c>
      <c r="J21" s="20" t="n">
        <f aca="false">IF(AND(J$4&gt;=ASM_A06_TRAINING_START_YEAR,J$4&lt;=ASM_A07_TRAINING_STOP_YEAR),ROUND(ASM_B04_THROUGHPUT_ANNUAL*ASM_B06_PCT_FILIERE_B,0),0)</f>
        <v>0</v>
      </c>
      <c r="K21" s="20" t="n">
        <f aca="false">IF(AND(K$4&gt;=ASM_A06_TRAINING_START_YEAR,K$4&lt;=ASM_A07_TRAINING_STOP_YEAR),ROUND(ASM_B04_THROUGHPUT_ANNUAL*ASM_B06_PCT_FILIERE_B,0),0)</f>
        <v>0</v>
      </c>
      <c r="L21" s="20" t="n">
        <f aca="false">IF(AND(L$4&gt;=ASM_A06_TRAINING_START_YEAR,L$4&lt;=ASM_A07_TRAINING_STOP_YEAR),ROUND(ASM_B04_THROUGHPUT_ANNUAL*ASM_B06_PCT_FILIERE_B,0),0)</f>
        <v>0</v>
      </c>
    </row>
    <row r="22" customFormat="false" ht="15" hidden="false" customHeight="true" outlineLevel="0" collapsed="false">
      <c r="B22" s="18" t="s">
        <v>377</v>
      </c>
      <c r="C22" s="12" t="s">
        <v>46</v>
      </c>
      <c r="D22" s="19" t="n">
        <f aca="false">SUM(E22:L22)</f>
        <v>20</v>
      </c>
      <c r="E22" s="20" t="n">
        <f aca="false">IF(AND(E$4&gt;=ASM_A06_TRAINING_START_YEAR,E$4&lt;=ASM_A07_TRAINING_STOP_YEAR),ROUND(ASM_B04_THROUGHPUT_ANNUAL*ASM_B07_PCT_FILIERE_C,0),0)</f>
        <v>0</v>
      </c>
      <c r="F22" s="20" t="n">
        <f aca="false">IF(AND(F$4&gt;=ASM_A06_TRAINING_START_YEAR,F$4&lt;=ASM_A07_TRAINING_STOP_YEAR),ROUND(ASM_B04_THROUGHPUT_ANNUAL*ASM_B07_PCT_FILIERE_C,0),0)</f>
        <v>0</v>
      </c>
      <c r="G22" s="20" t="n">
        <f aca="false">IF(AND(G$4&gt;=ASM_A06_TRAINING_START_YEAR,G$4&lt;=ASM_A07_TRAINING_STOP_YEAR),ROUND(ASM_B04_THROUGHPUT_ANNUAL*ASM_B07_PCT_FILIERE_C,0),0)</f>
        <v>10</v>
      </c>
      <c r="H22" s="20" t="n">
        <f aca="false">IF(AND(H$4&gt;=ASM_A06_TRAINING_START_YEAR,H$4&lt;=ASM_A07_TRAINING_STOP_YEAR),ROUND(ASM_B04_THROUGHPUT_ANNUAL*ASM_B07_PCT_FILIERE_C,0),0)</f>
        <v>10</v>
      </c>
      <c r="I22" s="20" t="n">
        <f aca="false">IF(AND(I$4&gt;=ASM_A06_TRAINING_START_YEAR,I$4&lt;=ASM_A07_TRAINING_STOP_YEAR),ROUND(ASM_B04_THROUGHPUT_ANNUAL*ASM_B07_PCT_FILIERE_C,0),0)</f>
        <v>0</v>
      </c>
      <c r="J22" s="20" t="n">
        <f aca="false">IF(AND(J$4&gt;=ASM_A06_TRAINING_START_YEAR,J$4&lt;=ASM_A07_TRAINING_STOP_YEAR),ROUND(ASM_B04_THROUGHPUT_ANNUAL*ASM_B07_PCT_FILIERE_C,0),0)</f>
        <v>0</v>
      </c>
      <c r="K22" s="20" t="n">
        <f aca="false">IF(AND(K$4&gt;=ASM_A06_TRAINING_START_YEAR,K$4&lt;=ASM_A07_TRAINING_STOP_YEAR),ROUND(ASM_B04_THROUGHPUT_ANNUAL*ASM_B07_PCT_FILIERE_C,0),0)</f>
        <v>0</v>
      </c>
      <c r="L22" s="20" t="n">
        <f aca="false">IF(AND(L$4&gt;=ASM_A06_TRAINING_START_YEAR,L$4&lt;=ASM_A07_TRAINING_STOP_YEAR),ROUND(ASM_B04_THROUGHPUT_ANNUAL*ASM_B07_PCT_FILIERE_C,0),0)</f>
        <v>0</v>
      </c>
    </row>
    <row r="23" customFormat="false" ht="15" hidden="false" customHeight="true" outlineLevel="0" collapsed="false">
      <c r="B23" s="18" t="s">
        <v>378</v>
      </c>
      <c r="C23" s="12" t="s">
        <v>46</v>
      </c>
      <c r="D23" s="19" t="n">
        <f aca="false">SUM(E23:L23)</f>
        <v>62</v>
      </c>
      <c r="E23" s="20" t="n">
        <f aca="false">IF(AND(E$4&gt;=ASM_A06_TRAINING_START_YEAR,E$4&lt;=ASM_A07_TRAINING_STOP_YEAR),ASM_B04_THROUGHPUT_ANNUAL-ROUND(ASM_B04_THROUGHPUT_ANNUAL*ASM_B05_PCT_FILIERE_A,0)-ROUND(ASM_B04_THROUGHPUT_ANNUAL*ASM_B06_PCT_FILIERE_B,0)-ROUND(ASM_B04_THROUGHPUT_ANNUAL*ASM_B07_PCT_FILIERE_C,0),0)</f>
        <v>0</v>
      </c>
      <c r="F23" s="20" t="n">
        <f aca="false">IF(AND(F$4&gt;=ASM_A06_TRAINING_START_YEAR,F$4&lt;=ASM_A07_TRAINING_STOP_YEAR),ASM_B04_THROUGHPUT_ANNUAL-ROUND(ASM_B04_THROUGHPUT_ANNUAL*ASM_B05_PCT_FILIERE_A,0)-ROUND(ASM_B04_THROUGHPUT_ANNUAL*ASM_B06_PCT_FILIERE_B,0)-ROUND(ASM_B04_THROUGHPUT_ANNUAL*ASM_B07_PCT_FILIERE_C,0),0)</f>
        <v>0</v>
      </c>
      <c r="G23" s="20" t="n">
        <f aca="false">IF(AND(G$4&gt;=ASM_A06_TRAINING_START_YEAR,G$4&lt;=ASM_A07_TRAINING_STOP_YEAR),ASM_B04_THROUGHPUT_ANNUAL-ROUND(ASM_B04_THROUGHPUT_ANNUAL*ASM_B05_PCT_FILIERE_A,0)-ROUND(ASM_B04_THROUGHPUT_ANNUAL*ASM_B06_PCT_FILIERE_B,0)-ROUND(ASM_B04_THROUGHPUT_ANNUAL*ASM_B07_PCT_FILIERE_C,0),0)</f>
        <v>31</v>
      </c>
      <c r="H23" s="20" t="n">
        <f aca="false">IF(AND(H$4&gt;=ASM_A06_TRAINING_START_YEAR,H$4&lt;=ASM_A07_TRAINING_STOP_YEAR),ASM_B04_THROUGHPUT_ANNUAL-ROUND(ASM_B04_THROUGHPUT_ANNUAL*ASM_B05_PCT_FILIERE_A,0)-ROUND(ASM_B04_THROUGHPUT_ANNUAL*ASM_B06_PCT_FILIERE_B,0)-ROUND(ASM_B04_THROUGHPUT_ANNUAL*ASM_B07_PCT_FILIERE_C,0),0)</f>
        <v>31</v>
      </c>
      <c r="I23" s="20" t="n">
        <f aca="false">IF(AND(I$4&gt;=ASM_A06_TRAINING_START_YEAR,I$4&lt;=ASM_A07_TRAINING_STOP_YEAR),ASM_B04_THROUGHPUT_ANNUAL-ROUND(ASM_B04_THROUGHPUT_ANNUAL*ASM_B05_PCT_FILIERE_A,0)-ROUND(ASM_B04_THROUGHPUT_ANNUAL*ASM_B06_PCT_FILIERE_B,0)-ROUND(ASM_B04_THROUGHPUT_ANNUAL*ASM_B07_PCT_FILIERE_C,0),0)</f>
        <v>0</v>
      </c>
      <c r="J23" s="20" t="n">
        <f aca="false">IF(AND(J$4&gt;=ASM_A06_TRAINING_START_YEAR,J$4&lt;=ASM_A07_TRAINING_STOP_YEAR),ASM_B04_THROUGHPUT_ANNUAL-ROUND(ASM_B04_THROUGHPUT_ANNUAL*ASM_B05_PCT_FILIERE_A,0)-ROUND(ASM_B04_THROUGHPUT_ANNUAL*ASM_B06_PCT_FILIERE_B,0)-ROUND(ASM_B04_THROUGHPUT_ANNUAL*ASM_B07_PCT_FILIERE_C,0),0)</f>
        <v>0</v>
      </c>
      <c r="K23" s="20" t="n">
        <f aca="false">IF(AND(K$4&gt;=ASM_A06_TRAINING_START_YEAR,K$4&lt;=ASM_A07_TRAINING_STOP_YEAR),ASM_B04_THROUGHPUT_ANNUAL-ROUND(ASM_B04_THROUGHPUT_ANNUAL*ASM_B05_PCT_FILIERE_A,0)-ROUND(ASM_B04_THROUGHPUT_ANNUAL*ASM_B06_PCT_FILIERE_B,0)-ROUND(ASM_B04_THROUGHPUT_ANNUAL*ASM_B07_PCT_FILIERE_C,0),0)</f>
        <v>0</v>
      </c>
      <c r="L23" s="20" t="n">
        <f aca="false">IF(AND(L$4&gt;=ASM_A06_TRAINING_START_YEAR,L$4&lt;=ASM_A07_TRAINING_STOP_YEAR),ASM_B04_THROUGHPUT_ANNUAL-ROUND(ASM_B04_THROUGHPUT_ANNUAL*ASM_B05_PCT_FILIERE_A,0)-ROUND(ASM_B04_THROUGHPUT_ANNUAL*ASM_B06_PCT_FILIERE_B,0)-ROUND(ASM_B04_THROUGHPUT_ANNUAL*ASM_B07_PCT_FILIERE_C,0),0)</f>
        <v>0</v>
      </c>
    </row>
    <row r="24" customFormat="false" ht="15" hidden="false" customHeight="true" outlineLevel="0" collapsed="false"/>
    <row r="25" customFormat="false" ht="15" hidden="false" customHeight="true" outlineLevel="0" collapsed="false">
      <c r="B25" s="4" t="s">
        <v>379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B26" s="18" t="s">
        <v>380</v>
      </c>
      <c r="C26" s="12" t="s">
        <v>46</v>
      </c>
      <c r="D26" s="19" t="n">
        <f aca="false">SUM(E26:L26)</f>
        <v>2704</v>
      </c>
      <c r="E26" s="20" t="n">
        <f aca="false">IF(E$4&gt;=ASM_A06_TRAINING_START_YEAR,MIN(ROUND(ASM_B04_THROUGHPUT_ANNUAL*ASM_B05_PCT_FILIERE_A,0)*(E$4-ASM_A06_TRAINING_START_YEAR+1),ASM_B09_TARGET_CERTIFIED_A),0)</f>
        <v>0</v>
      </c>
      <c r="F26" s="20" t="n">
        <f aca="false">IF(F$4&gt;=ASM_A06_TRAINING_START_YEAR,MIN(ROUND(ASM_B04_THROUGHPUT_ANNUAL*ASM_B05_PCT_FILIERE_A,0)*(F$4-ASM_A06_TRAINING_START_YEAR+1),ASM_B09_TARGET_CERTIFIED_A),0)</f>
        <v>0</v>
      </c>
      <c r="G26" s="20" t="n">
        <f aca="false">IF(G$4&gt;=ASM_A06_TRAINING_START_YEAR,MIN(ROUND(ASM_B04_THROUGHPUT_ANNUAL*ASM_B05_PCT_FILIERE_A,0)*(G$4-ASM_A06_TRAINING_START_YEAR+1),ASM_B09_TARGET_CERTIFIED_A),0)</f>
        <v>208</v>
      </c>
      <c r="H26" s="20" t="n">
        <f aca="false">IF(H$4&gt;=ASM_A06_TRAINING_START_YEAR,MIN(ROUND(ASM_B04_THROUGHPUT_ANNUAL*ASM_B05_PCT_FILIERE_A,0)*(H$4-ASM_A06_TRAINING_START_YEAR+1),ASM_B09_TARGET_CERTIFIED_A),0)</f>
        <v>416</v>
      </c>
      <c r="I26" s="20" t="n">
        <f aca="false">IF(I$4&gt;=ASM_A06_TRAINING_START_YEAR,MIN(ROUND(ASM_B04_THROUGHPUT_ANNUAL*ASM_B05_PCT_FILIERE_A,0)*(I$4-ASM_A06_TRAINING_START_YEAR+1),ASM_B09_TARGET_CERTIFIED_A),0)</f>
        <v>520</v>
      </c>
      <c r="J26" s="20" t="n">
        <f aca="false">IF(J$4&gt;=ASM_A06_TRAINING_START_YEAR,MIN(ROUND(ASM_B04_THROUGHPUT_ANNUAL*ASM_B05_PCT_FILIERE_A,0)*(J$4-ASM_A06_TRAINING_START_YEAR+1),ASM_B09_TARGET_CERTIFIED_A),0)</f>
        <v>520</v>
      </c>
      <c r="K26" s="20" t="n">
        <f aca="false">IF(K$4&gt;=ASM_A06_TRAINING_START_YEAR,MIN(ROUND(ASM_B04_THROUGHPUT_ANNUAL*ASM_B05_PCT_FILIERE_A,0)*(K$4-ASM_A06_TRAINING_START_YEAR+1),ASM_B09_TARGET_CERTIFIED_A),0)</f>
        <v>520</v>
      </c>
      <c r="L26" s="20" t="n">
        <f aca="false">IF(L$4&gt;=ASM_A06_TRAINING_START_YEAR,MIN(ROUND(ASM_B04_THROUGHPUT_ANNUAL*ASM_B05_PCT_FILIERE_A,0)*(L$4-ASM_A06_TRAINING_START_YEAR+1),ASM_B09_TARGET_CERTIFIED_A),0)</f>
        <v>520</v>
      </c>
    </row>
    <row r="27" customFormat="false" ht="15" hidden="false" customHeight="true" outlineLevel="0" collapsed="false">
      <c r="B27" s="18" t="s">
        <v>381</v>
      </c>
      <c r="C27" s="12" t="s">
        <v>46</v>
      </c>
      <c r="D27" s="19" t="n">
        <f aca="false">SUM(E27:L27)</f>
        <v>221</v>
      </c>
      <c r="E27" s="20" t="n">
        <f aca="false">IF(E$4&gt;=ASM_A06_TRAINING_START_YEAR,MIN(ROUND(ASM_B04_THROUGHPUT_ANNUAL*ASM_B06_PCT_FILIERE_B,0)*(E$4-ASM_A06_TRAINING_START_YEAR+1),ASM_B10_TARGET_CERTIFIED_B),0)</f>
        <v>0</v>
      </c>
      <c r="F27" s="20" t="n">
        <f aca="false">IF(F$4&gt;=ASM_A06_TRAINING_START_YEAR,MIN(ROUND(ASM_B04_THROUGHPUT_ANNUAL*ASM_B06_PCT_FILIERE_B,0)*(F$4-ASM_A06_TRAINING_START_YEAR+1),ASM_B10_TARGET_CERTIFIED_B),0)</f>
        <v>0</v>
      </c>
      <c r="G27" s="20" t="n">
        <f aca="false">IF(G$4&gt;=ASM_A06_TRAINING_START_YEAR,MIN(ROUND(ASM_B04_THROUGHPUT_ANNUAL*ASM_B06_PCT_FILIERE_B,0)*(G$4-ASM_A06_TRAINING_START_YEAR+1),ASM_B10_TARGET_CERTIFIED_B),0)</f>
        <v>21</v>
      </c>
      <c r="H27" s="20" t="n">
        <f aca="false">IF(H$4&gt;=ASM_A06_TRAINING_START_YEAR,MIN(ROUND(ASM_B04_THROUGHPUT_ANNUAL*ASM_B06_PCT_FILIERE_B,0)*(H$4-ASM_A06_TRAINING_START_YEAR+1),ASM_B10_TARGET_CERTIFIED_B),0)</f>
        <v>40</v>
      </c>
      <c r="I27" s="20" t="n">
        <f aca="false">IF(I$4&gt;=ASM_A06_TRAINING_START_YEAR,MIN(ROUND(ASM_B04_THROUGHPUT_ANNUAL*ASM_B06_PCT_FILIERE_B,0)*(I$4-ASM_A06_TRAINING_START_YEAR+1),ASM_B10_TARGET_CERTIFIED_B),0)</f>
        <v>40</v>
      </c>
      <c r="J27" s="20" t="n">
        <f aca="false">IF(J$4&gt;=ASM_A06_TRAINING_START_YEAR,MIN(ROUND(ASM_B04_THROUGHPUT_ANNUAL*ASM_B06_PCT_FILIERE_B,0)*(J$4-ASM_A06_TRAINING_START_YEAR+1),ASM_B10_TARGET_CERTIFIED_B),0)</f>
        <v>40</v>
      </c>
      <c r="K27" s="20" t="n">
        <f aca="false">IF(K$4&gt;=ASM_A06_TRAINING_START_YEAR,MIN(ROUND(ASM_B04_THROUGHPUT_ANNUAL*ASM_B06_PCT_FILIERE_B,0)*(K$4-ASM_A06_TRAINING_START_YEAR+1),ASM_B10_TARGET_CERTIFIED_B),0)</f>
        <v>40</v>
      </c>
      <c r="L27" s="20" t="n">
        <f aca="false">IF(L$4&gt;=ASM_A06_TRAINING_START_YEAR,MIN(ROUND(ASM_B04_THROUGHPUT_ANNUAL*ASM_B06_PCT_FILIERE_B,0)*(L$4-ASM_A06_TRAINING_START_YEAR+1),ASM_B10_TARGET_CERTIFIED_B),0)</f>
        <v>40</v>
      </c>
    </row>
    <row r="28" customFormat="false" ht="15" hidden="false" customHeight="true" outlineLevel="0" collapsed="false">
      <c r="B28" s="18" t="s">
        <v>382</v>
      </c>
      <c r="C28" s="12" t="s">
        <v>46</v>
      </c>
      <c r="D28" s="19" t="n">
        <f aca="false">SUM(E28:L28)</f>
        <v>110</v>
      </c>
      <c r="E28" s="20" t="n">
        <f aca="false">IF(E$4&gt;=ASM_A06_TRAINING_START_YEAR,MIN(ROUND(ASM_B04_THROUGHPUT_ANNUAL*ASM_B07_PCT_FILIERE_C,0)*(E$4-ASM_A06_TRAINING_START_YEAR+1),ASM_B11_TARGET_CERTIFIED_C),0)</f>
        <v>0</v>
      </c>
      <c r="F28" s="20" t="n">
        <f aca="false">IF(F$4&gt;=ASM_A06_TRAINING_START_YEAR,MIN(ROUND(ASM_B04_THROUGHPUT_ANNUAL*ASM_B07_PCT_FILIERE_C,0)*(F$4-ASM_A06_TRAINING_START_YEAR+1),ASM_B11_TARGET_CERTIFIED_C),0)</f>
        <v>0</v>
      </c>
      <c r="G28" s="20" t="n">
        <f aca="false">IF(G$4&gt;=ASM_A06_TRAINING_START_YEAR,MIN(ROUND(ASM_B04_THROUGHPUT_ANNUAL*ASM_B07_PCT_FILIERE_C,0)*(G$4-ASM_A06_TRAINING_START_YEAR+1),ASM_B11_TARGET_CERTIFIED_C),0)</f>
        <v>10</v>
      </c>
      <c r="H28" s="20" t="n">
        <f aca="false">IF(H$4&gt;=ASM_A06_TRAINING_START_YEAR,MIN(ROUND(ASM_B04_THROUGHPUT_ANNUAL*ASM_B07_PCT_FILIERE_C,0)*(H$4-ASM_A06_TRAINING_START_YEAR+1),ASM_B11_TARGET_CERTIFIED_C),0)</f>
        <v>20</v>
      </c>
      <c r="I28" s="20" t="n">
        <f aca="false">IF(I$4&gt;=ASM_A06_TRAINING_START_YEAR,MIN(ROUND(ASM_B04_THROUGHPUT_ANNUAL*ASM_B07_PCT_FILIERE_C,0)*(I$4-ASM_A06_TRAINING_START_YEAR+1),ASM_B11_TARGET_CERTIFIED_C),0)</f>
        <v>20</v>
      </c>
      <c r="J28" s="20" t="n">
        <f aca="false">IF(J$4&gt;=ASM_A06_TRAINING_START_YEAR,MIN(ROUND(ASM_B04_THROUGHPUT_ANNUAL*ASM_B07_PCT_FILIERE_C,0)*(J$4-ASM_A06_TRAINING_START_YEAR+1),ASM_B11_TARGET_CERTIFIED_C),0)</f>
        <v>20</v>
      </c>
      <c r="K28" s="20" t="n">
        <f aca="false">IF(K$4&gt;=ASM_A06_TRAINING_START_YEAR,MIN(ROUND(ASM_B04_THROUGHPUT_ANNUAL*ASM_B07_PCT_FILIERE_C,0)*(K$4-ASM_A06_TRAINING_START_YEAR+1),ASM_B11_TARGET_CERTIFIED_C),0)</f>
        <v>20</v>
      </c>
      <c r="L28" s="20" t="n">
        <f aca="false">IF(L$4&gt;=ASM_A06_TRAINING_START_YEAR,MIN(ROUND(ASM_B04_THROUGHPUT_ANNUAL*ASM_B07_PCT_FILIERE_C,0)*(L$4-ASM_A06_TRAINING_START_YEAR+1),ASM_B11_TARGET_CERTIFIED_C),0)</f>
        <v>20</v>
      </c>
    </row>
    <row r="29" customFormat="false" ht="15" hidden="false" customHeight="true" outlineLevel="0" collapsed="false">
      <c r="B29" s="18" t="s">
        <v>383</v>
      </c>
      <c r="C29" s="12" t="s">
        <v>46</v>
      </c>
      <c r="D29" s="19" t="n">
        <f aca="false">SUM(E29:L29)</f>
        <v>331</v>
      </c>
      <c r="E29" s="20" t="n">
        <f aca="false">IF(E$4&gt;=ASM_A06_TRAINING_START_YEAR,MIN((ASM_B04_THROUGHPUT_ANNUAL-ROUND(ASM_B04_THROUGHPUT_ANNUAL*ASM_B05_PCT_FILIERE_A,0)-ROUND(ASM_B04_THROUGHPUT_ANNUAL*ASM_B06_PCT_FILIERE_B,0)-ROUND(ASM_B04_THROUGHPUT_ANNUAL*ASM_B07_PCT_FILIERE_C,0))*(E$4-ASM_A06_TRAINING_START_YEAR+1),ASM_B12_TARGET_CERTIFIED_D),0)</f>
        <v>0</v>
      </c>
      <c r="F29" s="20" t="n">
        <f aca="false">IF(F$4&gt;=ASM_A06_TRAINING_START_YEAR,MIN((ASM_B04_THROUGHPUT_ANNUAL-ROUND(ASM_B04_THROUGHPUT_ANNUAL*ASM_B05_PCT_FILIERE_A,0)-ROUND(ASM_B04_THROUGHPUT_ANNUAL*ASM_B06_PCT_FILIERE_B,0)-ROUND(ASM_B04_THROUGHPUT_ANNUAL*ASM_B07_PCT_FILIERE_C,0))*(F$4-ASM_A06_TRAINING_START_YEAR+1),ASM_B12_TARGET_CERTIFIED_D),0)</f>
        <v>0</v>
      </c>
      <c r="G29" s="20" t="n">
        <f aca="false">IF(G$4&gt;=ASM_A06_TRAINING_START_YEAR,MIN((ASM_B04_THROUGHPUT_ANNUAL-ROUND(ASM_B04_THROUGHPUT_ANNUAL*ASM_B05_PCT_FILIERE_A,0)-ROUND(ASM_B04_THROUGHPUT_ANNUAL*ASM_B06_PCT_FILIERE_B,0)-ROUND(ASM_B04_THROUGHPUT_ANNUAL*ASM_B07_PCT_FILIERE_C,0))*(G$4-ASM_A06_TRAINING_START_YEAR+1),ASM_B12_TARGET_CERTIFIED_D),0)</f>
        <v>31</v>
      </c>
      <c r="H29" s="20" t="n">
        <f aca="false">IF(H$4&gt;=ASM_A06_TRAINING_START_YEAR,MIN((ASM_B04_THROUGHPUT_ANNUAL-ROUND(ASM_B04_THROUGHPUT_ANNUAL*ASM_B05_PCT_FILIERE_A,0)-ROUND(ASM_B04_THROUGHPUT_ANNUAL*ASM_B06_PCT_FILIERE_B,0)-ROUND(ASM_B04_THROUGHPUT_ANNUAL*ASM_B07_PCT_FILIERE_C,0))*(H$4-ASM_A06_TRAINING_START_YEAR+1),ASM_B12_TARGET_CERTIFIED_D),0)</f>
        <v>60</v>
      </c>
      <c r="I29" s="20" t="n">
        <f aca="false">IF(I$4&gt;=ASM_A06_TRAINING_START_YEAR,MIN((ASM_B04_THROUGHPUT_ANNUAL-ROUND(ASM_B04_THROUGHPUT_ANNUAL*ASM_B05_PCT_FILIERE_A,0)-ROUND(ASM_B04_THROUGHPUT_ANNUAL*ASM_B06_PCT_FILIERE_B,0)-ROUND(ASM_B04_THROUGHPUT_ANNUAL*ASM_B07_PCT_FILIERE_C,0))*(I$4-ASM_A06_TRAINING_START_YEAR+1),ASM_B12_TARGET_CERTIFIED_D),0)</f>
        <v>60</v>
      </c>
      <c r="J29" s="20" t="n">
        <f aca="false">IF(J$4&gt;=ASM_A06_TRAINING_START_YEAR,MIN((ASM_B04_THROUGHPUT_ANNUAL-ROUND(ASM_B04_THROUGHPUT_ANNUAL*ASM_B05_PCT_FILIERE_A,0)-ROUND(ASM_B04_THROUGHPUT_ANNUAL*ASM_B06_PCT_FILIERE_B,0)-ROUND(ASM_B04_THROUGHPUT_ANNUAL*ASM_B07_PCT_FILIERE_C,0))*(J$4-ASM_A06_TRAINING_START_YEAR+1),ASM_B12_TARGET_CERTIFIED_D),0)</f>
        <v>60</v>
      </c>
      <c r="K29" s="20" t="n">
        <f aca="false">IF(K$4&gt;=ASM_A06_TRAINING_START_YEAR,MIN((ASM_B04_THROUGHPUT_ANNUAL-ROUND(ASM_B04_THROUGHPUT_ANNUAL*ASM_B05_PCT_FILIERE_A,0)-ROUND(ASM_B04_THROUGHPUT_ANNUAL*ASM_B06_PCT_FILIERE_B,0)-ROUND(ASM_B04_THROUGHPUT_ANNUAL*ASM_B07_PCT_FILIERE_C,0))*(K$4-ASM_A06_TRAINING_START_YEAR+1),ASM_B12_TARGET_CERTIFIED_D),0)</f>
        <v>60</v>
      </c>
      <c r="L29" s="20" t="n">
        <f aca="false">IF(L$4&gt;=ASM_A06_TRAINING_START_YEAR,MIN((ASM_B04_THROUGHPUT_ANNUAL-ROUND(ASM_B04_THROUGHPUT_ANNUAL*ASM_B05_PCT_FILIERE_A,0)-ROUND(ASM_B04_THROUGHPUT_ANNUAL*ASM_B06_PCT_FILIERE_B,0)-ROUND(ASM_B04_THROUGHPUT_ANNUAL*ASM_B07_PCT_FILIERE_C,0))*(L$4-ASM_A06_TRAINING_START_YEAR+1),ASM_B12_TARGET_CERTIFIED_D),0)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384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385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23" t="s">
        <v>386</v>
      </c>
      <c r="C7" s="12" t="s">
        <v>136</v>
      </c>
      <c r="D7" s="24" t="n">
        <f aca="false">SUM(E7:L7)</f>
        <v>1488000</v>
      </c>
      <c r="E7" s="24" t="n">
        <f aca="false">E38</f>
        <v>628000</v>
      </c>
      <c r="F7" s="24" t="n">
        <f aca="false">F38</f>
        <v>860000</v>
      </c>
      <c r="G7" s="24" t="n">
        <f aca="false">G38</f>
        <v>0</v>
      </c>
      <c r="H7" s="24" t="n">
        <f aca="false">H38</f>
        <v>0</v>
      </c>
      <c r="I7" s="24" t="n">
        <f aca="false">I38</f>
        <v>0</v>
      </c>
      <c r="J7" s="24" t="n">
        <f aca="false">J38</f>
        <v>0</v>
      </c>
      <c r="K7" s="24" t="n">
        <f aca="false">K38</f>
        <v>0</v>
      </c>
      <c r="L7" s="24" t="n">
        <f aca="false">L38</f>
        <v>0</v>
      </c>
    </row>
    <row r="8" customFormat="false" ht="15" hidden="false" customHeight="true" outlineLevel="0" collapsed="false">
      <c r="B8" s="23" t="s">
        <v>387</v>
      </c>
      <c r="C8" s="12" t="s">
        <v>136</v>
      </c>
      <c r="D8" s="24" t="n">
        <f aca="false">SUM(E8:L8)</f>
        <v>1359700</v>
      </c>
      <c r="E8" s="24" t="n">
        <f aca="false">E61</f>
        <v>0</v>
      </c>
      <c r="F8" s="24" t="n">
        <f aca="false">F61</f>
        <v>0</v>
      </c>
      <c r="G8" s="24" t="n">
        <f aca="false">G61</f>
        <v>679850</v>
      </c>
      <c r="H8" s="24" t="n">
        <f aca="false">H61</f>
        <v>679850</v>
      </c>
      <c r="I8" s="24" t="n">
        <f aca="false">I61</f>
        <v>0</v>
      </c>
      <c r="J8" s="24" t="n">
        <f aca="false">J61</f>
        <v>0</v>
      </c>
      <c r="K8" s="24" t="n">
        <f aca="false">K61</f>
        <v>0</v>
      </c>
      <c r="L8" s="24" t="n">
        <f aca="false">L61</f>
        <v>0</v>
      </c>
    </row>
    <row r="9" customFormat="false" ht="15" hidden="false" customHeight="true" outlineLevel="0" collapsed="false">
      <c r="B9" s="23" t="s">
        <v>388</v>
      </c>
      <c r="C9" s="12" t="s">
        <v>136</v>
      </c>
      <c r="D9" s="24" t="n">
        <f aca="false">SUM(E9:L9)</f>
        <v>0</v>
      </c>
      <c r="E9" s="24" t="n">
        <f aca="false">0</f>
        <v>0</v>
      </c>
      <c r="F9" s="24" t="n">
        <f aca="false">0</f>
        <v>0</v>
      </c>
      <c r="G9" s="24" t="n">
        <f aca="false">0</f>
        <v>0</v>
      </c>
      <c r="H9" s="24" t="n">
        <f aca="false">0</f>
        <v>0</v>
      </c>
      <c r="I9" s="24" t="n">
        <f aca="false">0</f>
        <v>0</v>
      </c>
      <c r="J9" s="24" t="n">
        <f aca="false">0</f>
        <v>0</v>
      </c>
      <c r="K9" s="24" t="n">
        <f aca="false">0</f>
        <v>0</v>
      </c>
      <c r="L9" s="24" t="n">
        <f aca="false">0</f>
        <v>0</v>
      </c>
    </row>
    <row r="10" customFormat="false" ht="15" hidden="false" customHeight="true" outlineLevel="0" collapsed="false">
      <c r="B10" s="25" t="s">
        <v>389</v>
      </c>
      <c r="C10" s="26" t="s">
        <v>136</v>
      </c>
      <c r="D10" s="27" t="n">
        <f aca="false">SUM(E10:L10)</f>
        <v>2847700</v>
      </c>
      <c r="E10" s="27" t="n">
        <f aca="false">E7+E8-E9</f>
        <v>628000</v>
      </c>
      <c r="F10" s="27" t="n">
        <f aca="false">F7+F8-F9</f>
        <v>860000</v>
      </c>
      <c r="G10" s="27" t="n">
        <f aca="false">G7+G8-G9</f>
        <v>679850</v>
      </c>
      <c r="H10" s="27" t="n">
        <f aca="false">H7+H8-H9</f>
        <v>679850</v>
      </c>
      <c r="I10" s="27" t="n">
        <f aca="false">I7+I8-I9</f>
        <v>0</v>
      </c>
      <c r="J10" s="27" t="n">
        <f aca="false">J7+J8-J9</f>
        <v>0</v>
      </c>
      <c r="K10" s="27" t="n">
        <f aca="false">K7+K8-K9</f>
        <v>0</v>
      </c>
      <c r="L10" s="27" t="n">
        <f aca="false">L7+L8-L9</f>
        <v>0</v>
      </c>
    </row>
    <row r="11" customFormat="false" ht="15" hidden="false" customHeight="true" outlineLevel="0" collapsed="false"/>
    <row r="12" customFormat="false" ht="15" hidden="false" customHeight="true" outlineLevel="0" collapsed="false">
      <c r="B12" s="4" t="s">
        <v>390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true" outlineLevel="0" collapsed="false">
      <c r="B13" s="28" t="s">
        <v>391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customFormat="false" ht="15" hidden="false" customHeight="true" outlineLevel="0" collapsed="false">
      <c r="B14" s="18" t="s">
        <v>189</v>
      </c>
      <c r="C14" s="12" t="s">
        <v>136</v>
      </c>
      <c r="D14" s="30" t="n">
        <f aca="false">SUM(E14:L14)</f>
        <v>220000</v>
      </c>
      <c r="E14" s="30" t="n">
        <f aca="false">E$98*FLAG_PREPROG_YM1</f>
        <v>220000</v>
      </c>
      <c r="F14" s="30" t="n">
        <f aca="false">F$98*FLAG_PREPROG_Y0</f>
        <v>0</v>
      </c>
      <c r="G14" s="30" t="n">
        <f aca="false">G$98*FLAG_PREPROG_Y1</f>
        <v>0</v>
      </c>
      <c r="H14" s="30" t="n">
        <f aca="false">H$98*FLAG_PREPROG_Y2</f>
        <v>0</v>
      </c>
      <c r="I14" s="30" t="n">
        <f aca="false">I$98*FLAG_PREPROG_Y3</f>
        <v>0</v>
      </c>
      <c r="J14" s="30" t="n">
        <f aca="false">J$98*FLAG_PREPROG_Y4</f>
        <v>0</v>
      </c>
      <c r="K14" s="30" t="n">
        <f aca="false">K$98*FLAG_PREPROG_Y5</f>
        <v>0</v>
      </c>
      <c r="L14" s="30" t="n">
        <f aca="false">L$98*FLAG_PREPROG_Y6</f>
        <v>0</v>
      </c>
    </row>
    <row r="15" customFormat="false" ht="15" hidden="false" customHeight="true" outlineLevel="0" collapsed="false">
      <c r="B15" s="18" t="s">
        <v>392</v>
      </c>
      <c r="C15" s="12" t="s">
        <v>136</v>
      </c>
      <c r="D15" s="30" t="n">
        <f aca="false">SUM(E15:L15)</f>
        <v>288000</v>
      </c>
      <c r="E15" s="30" t="n">
        <f aca="false">E$124*E$88*E$89*FLAG_PREPROG_YM1</f>
        <v>288000</v>
      </c>
      <c r="F15" s="30" t="n">
        <f aca="false">F$124*F$88*F$89*FLAG_PREPROG_Y0</f>
        <v>0</v>
      </c>
      <c r="G15" s="30" t="n">
        <f aca="false">G$124*G$88*G$89*FLAG_PREPROG_Y1</f>
        <v>0</v>
      </c>
      <c r="H15" s="30" t="n">
        <f aca="false">H$124*H$88*H$89*FLAG_PREPROG_Y2</f>
        <v>0</v>
      </c>
      <c r="I15" s="30" t="n">
        <f aca="false">I$124*I$88*I$89*FLAG_PREPROG_Y3</f>
        <v>0</v>
      </c>
      <c r="J15" s="30" t="n">
        <f aca="false">J$124*J$88*J$89*FLAG_PREPROG_Y4</f>
        <v>0</v>
      </c>
      <c r="K15" s="30" t="n">
        <f aca="false">K$124*K$88*K$89*FLAG_PREPROG_Y5</f>
        <v>0</v>
      </c>
      <c r="L15" s="30" t="n">
        <f aca="false">L$124*L$88*L$89*FLAG_PREPROG_Y6</f>
        <v>0</v>
      </c>
    </row>
    <row r="16" customFormat="false" ht="15" hidden="false" customHeight="true" outlineLevel="0" collapsed="false">
      <c r="B16" s="18" t="s">
        <v>393</v>
      </c>
      <c r="C16" s="12" t="s">
        <v>136</v>
      </c>
      <c r="D16" s="30" t="n">
        <f aca="false">SUM(E16:L16)</f>
        <v>120000</v>
      </c>
      <c r="E16" s="30" t="n">
        <f aca="false">E$125*FLAG_PREPROG_YM1</f>
        <v>120000</v>
      </c>
      <c r="F16" s="30" t="n">
        <f aca="false">F$125*FLAG_PREPROG_Y0</f>
        <v>0</v>
      </c>
      <c r="G16" s="30" t="n">
        <f aca="false">G$125*FLAG_PREPROG_Y1</f>
        <v>0</v>
      </c>
      <c r="H16" s="30" t="n">
        <f aca="false">H$125*FLAG_PREPROG_Y2</f>
        <v>0</v>
      </c>
      <c r="I16" s="30" t="n">
        <f aca="false">I$125*FLAG_PREPROG_Y3</f>
        <v>0</v>
      </c>
      <c r="J16" s="30" t="n">
        <f aca="false">J$125*FLAG_PREPROG_Y4</f>
        <v>0</v>
      </c>
      <c r="K16" s="30" t="n">
        <f aca="false">K$125*FLAG_PREPROG_Y5</f>
        <v>0</v>
      </c>
      <c r="L16" s="30" t="n">
        <f aca="false">L$125*FLAG_PREPROG_Y6</f>
        <v>0</v>
      </c>
    </row>
    <row r="17" customFormat="false" ht="15" hidden="false" customHeight="true" outlineLevel="0" collapsed="false">
      <c r="B17" s="18" t="s">
        <v>394</v>
      </c>
      <c r="C17" s="12" t="s">
        <v>136</v>
      </c>
      <c r="D17" s="30" t="n">
        <f aca="false">SUM(E17:L17)</f>
        <v>50000</v>
      </c>
      <c r="E17" s="30" t="n">
        <f aca="false">E$100*E$101*FLAG_CONSTRUCT_YM1</f>
        <v>0</v>
      </c>
      <c r="F17" s="30" t="n">
        <f aca="false">F$100*F$101*FLAG_CONSTRUCT_Y0</f>
        <v>50000</v>
      </c>
      <c r="G17" s="30" t="n">
        <f aca="false">G$100*G$101*FLAG_CONSTRUCT_Y1</f>
        <v>0</v>
      </c>
      <c r="H17" s="30" t="n">
        <f aca="false">H$100*H$101*FLAG_CONSTRUCT_Y2</f>
        <v>0</v>
      </c>
      <c r="I17" s="30" t="n">
        <f aca="false">I$100*I$101*FLAG_CONSTRUCT_Y3</f>
        <v>0</v>
      </c>
      <c r="J17" s="30" t="n">
        <f aca="false">J$100*J$101*FLAG_CONSTRUCT_Y4</f>
        <v>0</v>
      </c>
      <c r="K17" s="30" t="n">
        <f aca="false">K$100*K$101*FLAG_CONSTRUCT_Y5</f>
        <v>0</v>
      </c>
      <c r="L17" s="30" t="n">
        <f aca="false">L$100*L$101*FLAG_CONSTRUCT_Y6</f>
        <v>0</v>
      </c>
    </row>
    <row r="18" customFormat="false" ht="15" hidden="false" customHeight="true" outlineLevel="0" collapsed="false">
      <c r="B18" s="31" t="s">
        <v>395</v>
      </c>
      <c r="C18" s="12" t="s">
        <v>136</v>
      </c>
      <c r="D18" s="32" t="n">
        <f aca="false">SUM(D14:D17)</f>
        <v>678000</v>
      </c>
      <c r="E18" s="32" t="n">
        <f aca="false">SUM(E14:E17)</f>
        <v>628000</v>
      </c>
      <c r="F18" s="32" t="n">
        <f aca="false">SUM(F14:F17)</f>
        <v>50000</v>
      </c>
      <c r="G18" s="32" t="n">
        <f aca="false">SUM(G14:G17)</f>
        <v>0</v>
      </c>
      <c r="H18" s="32" t="n">
        <f aca="false">SUM(H14:H17)</f>
        <v>0</v>
      </c>
      <c r="I18" s="32" t="n">
        <f aca="false">SUM(I14:I17)</f>
        <v>0</v>
      </c>
      <c r="J18" s="32" t="n">
        <f aca="false">SUM(J14:J17)</f>
        <v>0</v>
      </c>
      <c r="K18" s="32" t="n">
        <f aca="false">SUM(K14:K17)</f>
        <v>0</v>
      </c>
      <c r="L18" s="32" t="n">
        <f aca="false">SUM(L14:L17)</f>
        <v>0</v>
      </c>
    </row>
    <row r="19" customFormat="false" ht="15" hidden="false" customHeight="true" outlineLevel="0" collapsed="false"/>
    <row r="20" customFormat="false" ht="15" hidden="false" customHeight="true" outlineLevel="0" collapsed="false">
      <c r="B20" s="28" t="s">
        <v>396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customFormat="false" ht="15" hidden="false" customHeight="true" outlineLevel="0" collapsed="false">
      <c r="B21" s="18" t="s">
        <v>397</v>
      </c>
      <c r="C21" s="12" t="s">
        <v>136</v>
      </c>
      <c r="D21" s="30" t="n">
        <f aca="false">SUM(E21:L21)</f>
        <v>135000</v>
      </c>
      <c r="E21" s="30" t="n">
        <f aca="false">E$65*E$99*FLAG_CONSTRUCT_YM1</f>
        <v>0</v>
      </c>
      <c r="F21" s="30" t="n">
        <f aca="false">F$65*F$99*FLAG_CONSTRUCT_Y0</f>
        <v>135000</v>
      </c>
      <c r="G21" s="30" t="n">
        <f aca="false">G$65*G$99*FLAG_CONSTRUCT_Y1</f>
        <v>0</v>
      </c>
      <c r="H21" s="30" t="n">
        <f aca="false">H$65*H$99*FLAG_CONSTRUCT_Y2</f>
        <v>0</v>
      </c>
      <c r="I21" s="30" t="n">
        <f aca="false">I$65*I$99*FLAG_CONSTRUCT_Y3</f>
        <v>0</v>
      </c>
      <c r="J21" s="30" t="n">
        <f aca="false">J$65*J$99*FLAG_CONSTRUCT_Y4</f>
        <v>0</v>
      </c>
      <c r="K21" s="30" t="n">
        <f aca="false">K$65*K$99*FLAG_CONSTRUCT_Y5</f>
        <v>0</v>
      </c>
      <c r="L21" s="30" t="n">
        <f aca="false">L$65*L$99*FLAG_CONSTRUCT_Y6</f>
        <v>0</v>
      </c>
    </row>
    <row r="22" customFormat="false" ht="15" hidden="false" customHeight="true" outlineLevel="0" collapsed="false">
      <c r="B22" s="18" t="s">
        <v>398</v>
      </c>
      <c r="C22" s="12" t="s">
        <v>136</v>
      </c>
      <c r="D22" s="30" t="n">
        <f aca="false">ASM_G02A_PLATEAU_EAU_EUR</f>
        <v>60000</v>
      </c>
      <c r="E22" s="30" t="n">
        <f aca="false">ASM_G02A_PLATEAU_EAU_EUR*FLAG_CONSTRUCT_YM1</f>
        <v>0</v>
      </c>
      <c r="F22" s="30" t="n">
        <f aca="false">ASM_G02A_PLATEAU_EAU_EUR*FLAG_CONSTRUCT_Y0</f>
        <v>60000</v>
      </c>
      <c r="G22" s="30" t="n">
        <f aca="false">ASM_G02A_PLATEAU_EAU_EUR*FLAG_CONSTRUCT_Y1</f>
        <v>0</v>
      </c>
      <c r="H22" s="30" t="n">
        <f aca="false">ASM_G02A_PLATEAU_EAU_EUR*FLAG_CONSTRUCT_Y2</f>
        <v>0</v>
      </c>
      <c r="I22" s="30" t="n">
        <f aca="false">ASM_G02A_PLATEAU_EAU_EUR*FLAG_CONSTRUCT_Y3</f>
        <v>0</v>
      </c>
      <c r="J22" s="30" t="n">
        <f aca="false">ASM_G02A_PLATEAU_EAU_EUR*FLAG_CONSTRUCT_Y4</f>
        <v>0</v>
      </c>
      <c r="K22" s="30" t="n">
        <f aca="false">ASM_G02A_PLATEAU_EAU_EUR*FLAG_CONSTRUCT_Y5</f>
        <v>0</v>
      </c>
      <c r="L22" s="30" t="n">
        <f aca="false">ASM_G02A_PLATEAU_EAU_EUR*FLAG_CONSTRUCT_Y6</f>
        <v>0</v>
      </c>
    </row>
    <row r="23" customFormat="false" ht="15" hidden="false" customHeight="true" outlineLevel="0" collapsed="false">
      <c r="B23" s="18" t="s">
        <v>399</v>
      </c>
      <c r="C23" s="12" t="s">
        <v>136</v>
      </c>
      <c r="D23" s="30" t="n">
        <f aca="false">ASM_G02B_PLATEAU_PV_EUR</f>
        <v>50000</v>
      </c>
      <c r="E23" s="30" t="n">
        <f aca="false">ASM_G02B_PLATEAU_PV_EUR*FLAG_CONSTRUCT_YM1</f>
        <v>0</v>
      </c>
      <c r="F23" s="30" t="n">
        <f aca="false">ASM_G02B_PLATEAU_PV_EUR*FLAG_CONSTRUCT_Y0</f>
        <v>50000</v>
      </c>
      <c r="G23" s="30" t="n">
        <f aca="false">ASM_G02B_PLATEAU_PV_EUR*FLAG_CONSTRUCT_Y1</f>
        <v>0</v>
      </c>
      <c r="H23" s="30" t="n">
        <f aca="false">ASM_G02B_PLATEAU_PV_EUR*FLAG_CONSTRUCT_Y2</f>
        <v>0</v>
      </c>
      <c r="I23" s="30" t="n">
        <f aca="false">ASM_G02B_PLATEAU_PV_EUR*FLAG_CONSTRUCT_Y3</f>
        <v>0</v>
      </c>
      <c r="J23" s="30" t="n">
        <f aca="false">ASM_G02B_PLATEAU_PV_EUR*FLAG_CONSTRUCT_Y4</f>
        <v>0</v>
      </c>
      <c r="K23" s="30" t="n">
        <f aca="false">ASM_G02B_PLATEAU_PV_EUR*FLAG_CONSTRUCT_Y5</f>
        <v>0</v>
      </c>
      <c r="L23" s="30" t="n">
        <f aca="false">ASM_G02B_PLATEAU_PV_EUR*FLAG_CONSTRUCT_Y6</f>
        <v>0</v>
      </c>
    </row>
    <row r="24" customFormat="false" ht="15" hidden="false" customHeight="true" outlineLevel="0" collapsed="false">
      <c r="B24" s="18" t="s">
        <v>400</v>
      </c>
      <c r="C24" s="12" t="s">
        <v>136</v>
      </c>
      <c r="D24" s="30" t="n">
        <f aca="false">ASM_G02C_ATELIER_MECA_EUR</f>
        <v>60000</v>
      </c>
      <c r="E24" s="30" t="n">
        <f aca="false">ASM_G02C_ATELIER_MECA_EUR*FLAG_CONSTRUCT_YM1</f>
        <v>0</v>
      </c>
      <c r="F24" s="30" t="n">
        <f aca="false">ASM_G02C_ATELIER_MECA_EUR*FLAG_CONSTRUCT_Y0</f>
        <v>60000</v>
      </c>
      <c r="G24" s="30" t="n">
        <f aca="false">ASM_G02C_ATELIER_MECA_EUR*FLAG_CONSTRUCT_Y1</f>
        <v>0</v>
      </c>
      <c r="H24" s="30" t="n">
        <f aca="false">ASM_G02C_ATELIER_MECA_EUR*FLAG_CONSTRUCT_Y2</f>
        <v>0</v>
      </c>
      <c r="I24" s="30" t="n">
        <f aca="false">ASM_G02C_ATELIER_MECA_EUR*FLAG_CONSTRUCT_Y3</f>
        <v>0</v>
      </c>
      <c r="J24" s="30" t="n">
        <f aca="false">ASM_G02C_ATELIER_MECA_EUR*FLAG_CONSTRUCT_Y4</f>
        <v>0</v>
      </c>
      <c r="K24" s="30" t="n">
        <f aca="false">ASM_G02C_ATELIER_MECA_EUR*FLAG_CONSTRUCT_Y5</f>
        <v>0</v>
      </c>
      <c r="L24" s="30" t="n">
        <f aca="false">ASM_G02C_ATELIER_MECA_EUR*FLAG_CONSTRUCT_Y6</f>
        <v>0</v>
      </c>
    </row>
    <row r="25" customFormat="false" ht="15" hidden="false" customHeight="true" outlineLevel="0" collapsed="false">
      <c r="B25" s="18" t="s">
        <v>401</v>
      </c>
      <c r="C25" s="12" t="s">
        <v>136</v>
      </c>
      <c r="D25" s="30" t="n">
        <f aca="false">ASM_G02D_CLASSROOM_IT_EUR</f>
        <v>40000</v>
      </c>
      <c r="E25" s="30" t="n">
        <f aca="false">ASM_G02D_CLASSROOM_IT_EUR*FLAG_CONSTRUCT_YM1</f>
        <v>0</v>
      </c>
      <c r="F25" s="30" t="n">
        <f aca="false">ASM_G02D_CLASSROOM_IT_EUR*FLAG_CONSTRUCT_Y0</f>
        <v>40000</v>
      </c>
      <c r="G25" s="30" t="n">
        <f aca="false">ASM_G02D_CLASSROOM_IT_EUR*FLAG_CONSTRUCT_Y1</f>
        <v>0</v>
      </c>
      <c r="H25" s="30" t="n">
        <f aca="false">ASM_G02D_CLASSROOM_IT_EUR*FLAG_CONSTRUCT_Y2</f>
        <v>0</v>
      </c>
      <c r="I25" s="30" t="n">
        <f aca="false">ASM_G02D_CLASSROOM_IT_EUR*FLAG_CONSTRUCT_Y3</f>
        <v>0</v>
      </c>
      <c r="J25" s="30" t="n">
        <f aca="false">ASM_G02D_CLASSROOM_IT_EUR*FLAG_CONSTRUCT_Y4</f>
        <v>0</v>
      </c>
      <c r="K25" s="30" t="n">
        <f aca="false">ASM_G02D_CLASSROOM_IT_EUR*FLAG_CONSTRUCT_Y5</f>
        <v>0</v>
      </c>
      <c r="L25" s="30" t="n">
        <f aca="false">ASM_G02D_CLASSROOM_IT_EUR*FLAG_CONSTRUCT_Y6</f>
        <v>0</v>
      </c>
    </row>
    <row r="26" customFormat="false" ht="15" hidden="false" customHeight="true" outlineLevel="0" collapsed="false">
      <c r="B26" s="31" t="s">
        <v>402</v>
      </c>
      <c r="C26" s="12" t="s">
        <v>136</v>
      </c>
      <c r="D26" s="32" t="n">
        <f aca="false">SUM(D21:D25)</f>
        <v>345000</v>
      </c>
      <c r="E26" s="32" t="n">
        <f aca="false">SUM(E21:E25)</f>
        <v>0</v>
      </c>
      <c r="F26" s="32" t="n">
        <f aca="false">SUM(F21:F25)</f>
        <v>345000</v>
      </c>
      <c r="G26" s="32" t="n">
        <f aca="false">SUM(G21:G25)</f>
        <v>0</v>
      </c>
      <c r="H26" s="32" t="n">
        <f aca="false">SUM(H21:H25)</f>
        <v>0</v>
      </c>
      <c r="I26" s="32" t="n">
        <f aca="false">SUM(I21:I25)</f>
        <v>0</v>
      </c>
      <c r="J26" s="32" t="n">
        <f aca="false">SUM(J21:J25)</f>
        <v>0</v>
      </c>
      <c r="K26" s="32" t="n">
        <f aca="false">SUM(K21:K25)</f>
        <v>0</v>
      </c>
      <c r="L26" s="32" t="n">
        <f aca="false">SUM(L21:L25)</f>
        <v>0</v>
      </c>
    </row>
    <row r="27" customFormat="false" ht="15" hidden="false" customHeight="true" outlineLevel="0" collapsed="false"/>
    <row r="28" customFormat="false" ht="15" hidden="false" customHeight="true" outlineLevel="0" collapsed="false">
      <c r="B28" s="28" t="s">
        <v>403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customFormat="false" ht="15" hidden="false" customHeight="true" outlineLevel="0" collapsed="false">
      <c r="B29" s="18" t="s">
        <v>404</v>
      </c>
      <c r="C29" s="12" t="s">
        <v>136</v>
      </c>
      <c r="D29" s="30" t="n">
        <f aca="false">SUM(E29:L29)</f>
        <v>297000</v>
      </c>
      <c r="E29" s="30" t="n">
        <f aca="false">E$126*E$65*E$94*FLAG_CONSTRUCT_YM1</f>
        <v>0</v>
      </c>
      <c r="F29" s="30" t="n">
        <f aca="false">F$126*F$65*F$94*FLAG_CONSTRUCT_Y0</f>
        <v>297000</v>
      </c>
      <c r="G29" s="30" t="n">
        <f aca="false">G$126*G$65*G$94*FLAG_CONSTRUCT_Y1</f>
        <v>0</v>
      </c>
      <c r="H29" s="30" t="n">
        <f aca="false">H$126*H$65*H$94*FLAG_CONSTRUCT_Y2</f>
        <v>0</v>
      </c>
      <c r="I29" s="30" t="n">
        <f aca="false">I$126*I$65*I$94*FLAG_CONSTRUCT_Y3</f>
        <v>0</v>
      </c>
      <c r="J29" s="30" t="n">
        <f aca="false">J$126*J$65*J$94*FLAG_CONSTRUCT_Y4</f>
        <v>0</v>
      </c>
      <c r="K29" s="30" t="n">
        <f aca="false">K$126*K$65*K$94*FLAG_CONSTRUCT_Y5</f>
        <v>0</v>
      </c>
      <c r="L29" s="30" t="n">
        <f aca="false">L$126*L$65*L$94*FLAG_CONSTRUCT_Y6</f>
        <v>0</v>
      </c>
    </row>
    <row r="30" customFormat="false" ht="15" hidden="false" customHeight="true" outlineLevel="0" collapsed="false">
      <c r="B30" s="18" t="s">
        <v>405</v>
      </c>
      <c r="C30" s="12" t="s">
        <v>136</v>
      </c>
      <c r="D30" s="30" t="n">
        <f aca="false">SUM(E30:L30)</f>
        <v>48000</v>
      </c>
      <c r="E30" s="30" t="n">
        <f aca="false">E$65*E$95*FLAG_CONSTRUCT_YM1</f>
        <v>0</v>
      </c>
      <c r="F30" s="30" t="n">
        <f aca="false">F$65*F$95*FLAG_CONSTRUCT_Y0</f>
        <v>48000</v>
      </c>
      <c r="G30" s="30" t="n">
        <f aca="false">G$65*G$95*FLAG_CONSTRUCT_Y1</f>
        <v>0</v>
      </c>
      <c r="H30" s="30" t="n">
        <f aca="false">H$65*H$95*FLAG_CONSTRUCT_Y2</f>
        <v>0</v>
      </c>
      <c r="I30" s="30" t="n">
        <f aca="false">I$65*I$95*FLAG_CONSTRUCT_Y3</f>
        <v>0</v>
      </c>
      <c r="J30" s="30" t="n">
        <f aca="false">J$65*J$95*FLAG_CONSTRUCT_Y4</f>
        <v>0</v>
      </c>
      <c r="K30" s="30" t="n">
        <f aca="false">K$65*K$95*FLAG_CONSTRUCT_Y5</f>
        <v>0</v>
      </c>
      <c r="L30" s="30" t="n">
        <f aca="false">L$65*L$95*FLAG_CONSTRUCT_Y6</f>
        <v>0</v>
      </c>
    </row>
    <row r="31" customFormat="false" ht="15" hidden="false" customHeight="true" outlineLevel="0" collapsed="false">
      <c r="B31" s="18" t="s">
        <v>406</v>
      </c>
      <c r="C31" s="12" t="s">
        <v>136</v>
      </c>
      <c r="D31" s="30" t="n">
        <f aca="false">SUM(E31:L31)</f>
        <v>40000</v>
      </c>
      <c r="E31" s="30" t="n">
        <f aca="false">E$127*E$97*FLAG_CONSTRUCT_YM1</f>
        <v>0</v>
      </c>
      <c r="F31" s="30" t="n">
        <f aca="false">F$127*F$97*FLAG_CONSTRUCT_Y0</f>
        <v>40000</v>
      </c>
      <c r="G31" s="30" t="n">
        <f aca="false">G$127*G$97*FLAG_CONSTRUCT_Y1</f>
        <v>0</v>
      </c>
      <c r="H31" s="30" t="n">
        <f aca="false">H$127*H$97*FLAG_CONSTRUCT_Y2</f>
        <v>0</v>
      </c>
      <c r="I31" s="30" t="n">
        <f aca="false">I$127*I$97*FLAG_CONSTRUCT_Y3</f>
        <v>0</v>
      </c>
      <c r="J31" s="30" t="n">
        <f aca="false">J$127*J$97*FLAG_CONSTRUCT_Y4</f>
        <v>0</v>
      </c>
      <c r="K31" s="30" t="n">
        <f aca="false">K$127*K$97*FLAG_CONSTRUCT_Y5</f>
        <v>0</v>
      </c>
      <c r="L31" s="30" t="n">
        <f aca="false">L$127*L$97*FLAG_CONSTRUCT_Y6</f>
        <v>0</v>
      </c>
    </row>
    <row r="32" customFormat="false" ht="15" hidden="false" customHeight="true" outlineLevel="0" collapsed="false">
      <c r="B32" s="31" t="s">
        <v>407</v>
      </c>
      <c r="C32" s="12" t="s">
        <v>136</v>
      </c>
      <c r="D32" s="32" t="n">
        <f aca="false">SUM(D29:D31)</f>
        <v>385000</v>
      </c>
      <c r="E32" s="32" t="n">
        <f aca="false">SUM(E29:E31)</f>
        <v>0</v>
      </c>
      <c r="F32" s="32" t="n">
        <f aca="false">SUM(F29:F31)</f>
        <v>385000</v>
      </c>
      <c r="G32" s="32" t="n">
        <f aca="false">SUM(G29:G31)</f>
        <v>0</v>
      </c>
      <c r="H32" s="32" t="n">
        <f aca="false">SUM(H29:H31)</f>
        <v>0</v>
      </c>
      <c r="I32" s="32" t="n">
        <f aca="false">SUM(I29:I31)</f>
        <v>0</v>
      </c>
      <c r="J32" s="32" t="n">
        <f aca="false">SUM(J29:J31)</f>
        <v>0</v>
      </c>
      <c r="K32" s="32" t="n">
        <f aca="false">SUM(K29:K31)</f>
        <v>0</v>
      </c>
      <c r="L32" s="32" t="n">
        <f aca="false">SUM(L29:L31)</f>
        <v>0</v>
      </c>
    </row>
    <row r="33" customFormat="false" ht="15" hidden="false" customHeight="true" outlineLevel="0" collapsed="false"/>
    <row r="34" customFormat="false" ht="15" hidden="false" customHeight="true" outlineLevel="0" collapsed="false">
      <c r="B34" s="28" t="s">
        <v>408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customFormat="false" ht="15" hidden="false" customHeight="true" outlineLevel="0" collapsed="false">
      <c r="B35" s="18" t="s">
        <v>409</v>
      </c>
      <c r="C35" s="12" t="s">
        <v>136</v>
      </c>
      <c r="D35" s="30" t="n">
        <f aca="false">SUM(E35:L35)</f>
        <v>60000</v>
      </c>
      <c r="E35" s="30" t="n">
        <f aca="false">E$103*FLAG_CONSTRUCT_YM1</f>
        <v>0</v>
      </c>
      <c r="F35" s="30" t="n">
        <f aca="false">F$103*FLAG_CONSTRUCT_Y0</f>
        <v>60000</v>
      </c>
      <c r="G35" s="30" t="n">
        <f aca="false">G$103*FLAG_CONSTRUCT_Y1</f>
        <v>0</v>
      </c>
      <c r="H35" s="30" t="n">
        <f aca="false">H$103*FLAG_CONSTRUCT_Y2</f>
        <v>0</v>
      </c>
      <c r="I35" s="30" t="n">
        <f aca="false">I$103*FLAG_CONSTRUCT_Y3</f>
        <v>0</v>
      </c>
      <c r="J35" s="30" t="n">
        <f aca="false">J$103*FLAG_CONSTRUCT_Y4</f>
        <v>0</v>
      </c>
      <c r="K35" s="30" t="n">
        <f aca="false">K$103*FLAG_CONSTRUCT_Y5</f>
        <v>0</v>
      </c>
      <c r="L35" s="30" t="n">
        <f aca="false">L$103*FLAG_CONSTRUCT_Y6</f>
        <v>0</v>
      </c>
    </row>
    <row r="36" customFormat="false" ht="15" hidden="false" customHeight="true" outlineLevel="0" collapsed="false">
      <c r="B36" s="18" t="s">
        <v>202</v>
      </c>
      <c r="C36" s="12" t="s">
        <v>136</v>
      </c>
      <c r="D36" s="30" t="n">
        <f aca="false">SUM(E36:L36)</f>
        <v>20000</v>
      </c>
      <c r="E36" s="30" t="n">
        <f aca="false">E$106*FLAG_CONSTRUCT_YM1</f>
        <v>0</v>
      </c>
      <c r="F36" s="30" t="n">
        <f aca="false">F$106*FLAG_CONSTRUCT_Y0</f>
        <v>20000</v>
      </c>
      <c r="G36" s="30" t="n">
        <f aca="false">G$106*FLAG_CONSTRUCT_Y1</f>
        <v>0</v>
      </c>
      <c r="H36" s="30" t="n">
        <f aca="false">H$106*FLAG_CONSTRUCT_Y2</f>
        <v>0</v>
      </c>
      <c r="I36" s="30" t="n">
        <f aca="false">I$106*FLAG_CONSTRUCT_Y3</f>
        <v>0</v>
      </c>
      <c r="J36" s="30" t="n">
        <f aca="false">J$106*FLAG_CONSTRUCT_Y4</f>
        <v>0</v>
      </c>
      <c r="K36" s="30" t="n">
        <f aca="false">K$106*FLAG_CONSTRUCT_Y5</f>
        <v>0</v>
      </c>
      <c r="L36" s="30" t="n">
        <f aca="false">L$106*FLAG_CONSTRUCT_Y6</f>
        <v>0</v>
      </c>
    </row>
    <row r="37" customFormat="false" ht="15" hidden="false" customHeight="true" outlineLevel="0" collapsed="false">
      <c r="B37" s="31" t="s">
        <v>410</v>
      </c>
      <c r="C37" s="12" t="s">
        <v>136</v>
      </c>
      <c r="D37" s="32" t="n">
        <f aca="false">SUM(D35:D36)</f>
        <v>80000</v>
      </c>
      <c r="E37" s="32" t="n">
        <f aca="false">SUM(E35:E36)</f>
        <v>0</v>
      </c>
      <c r="F37" s="32" t="n">
        <f aca="false">SUM(F35:F36)</f>
        <v>80000</v>
      </c>
      <c r="G37" s="32" t="n">
        <f aca="false">SUM(G35:G36)</f>
        <v>0</v>
      </c>
      <c r="H37" s="32" t="n">
        <f aca="false">SUM(H35:H36)</f>
        <v>0</v>
      </c>
      <c r="I37" s="32" t="n">
        <f aca="false">SUM(I35:I36)</f>
        <v>0</v>
      </c>
      <c r="J37" s="32" t="n">
        <f aca="false">SUM(J35:J36)</f>
        <v>0</v>
      </c>
      <c r="K37" s="32" t="n">
        <f aca="false">SUM(K35:K36)</f>
        <v>0</v>
      </c>
      <c r="L37" s="32" t="n">
        <f aca="false">SUM(L35:L36)</f>
        <v>0</v>
      </c>
    </row>
    <row r="38" customFormat="false" ht="15" hidden="false" customHeight="true" outlineLevel="0" collapsed="false">
      <c r="B38" s="33" t="s">
        <v>411</v>
      </c>
      <c r="C38" s="12" t="s">
        <v>136</v>
      </c>
      <c r="D38" s="27" t="n">
        <f aca="false">D18+D26+D32+D37</f>
        <v>1488000</v>
      </c>
      <c r="E38" s="27" t="n">
        <f aca="false">E18+E26+E32+E37</f>
        <v>628000</v>
      </c>
      <c r="F38" s="27" t="n">
        <f aca="false">F18+F26+F32+F37</f>
        <v>860000</v>
      </c>
      <c r="G38" s="27" t="n">
        <f aca="false">G18+G26+G32+G37</f>
        <v>0</v>
      </c>
      <c r="H38" s="27" t="n">
        <f aca="false">H18+H26+H32+H37</f>
        <v>0</v>
      </c>
      <c r="I38" s="27" t="n">
        <f aca="false">I18+I26+I32+I37</f>
        <v>0</v>
      </c>
      <c r="J38" s="27" t="n">
        <f aca="false">J18+J26+J32+J37</f>
        <v>0</v>
      </c>
      <c r="K38" s="27" t="n">
        <f aca="false">K18+K26+K32+K37</f>
        <v>0</v>
      </c>
      <c r="L38" s="27" t="n">
        <f aca="false">L18+L26+L32+L37</f>
        <v>0</v>
      </c>
    </row>
    <row r="39" customFormat="false" ht="15" hidden="false" customHeight="true" outlineLevel="0" collapsed="false"/>
    <row r="40" customFormat="false" ht="15" hidden="false" customHeight="true" outlineLevel="0" collapsed="false">
      <c r="B40" s="4" t="s">
        <v>412</v>
      </c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true" outlineLevel="0" collapsed="false">
      <c r="B41" s="28" t="s">
        <v>413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customFormat="false" ht="15" hidden="false" customHeight="true" outlineLevel="0" collapsed="false">
      <c r="B42" s="18" t="s">
        <v>414</v>
      </c>
      <c r="C42" s="12" t="s">
        <v>58</v>
      </c>
      <c r="D42" s="30" t="n">
        <f aca="false">SUM(E42:L42)</f>
        <v>480000</v>
      </c>
      <c r="E42" s="30" t="n">
        <f aca="false">E$82*E$84*IF(AND(E$4&gt;=ASM_A04_COD_YEAR,E$4&lt;ASM_A04_COD_YEAR+ASM_D06_YEARS_TRAINERS_ACTIVE),1,0)</f>
        <v>0</v>
      </c>
      <c r="F42" s="30" t="n">
        <f aca="false">F$82*F$84*IF(AND(F$4&gt;=ASM_A04_COD_YEAR,F$4&lt;ASM_A04_COD_YEAR+ASM_D06_YEARS_TRAINERS_ACTIVE),1,0)</f>
        <v>0</v>
      </c>
      <c r="G42" s="30" t="n">
        <f aca="false">G$82*G$84*IF(AND(G$4&gt;=ASM_A04_COD_YEAR,G$4&lt;ASM_A04_COD_YEAR+ASM_D06_YEARS_TRAINERS_ACTIVE),1,0)</f>
        <v>240000</v>
      </c>
      <c r="H42" s="30" t="n">
        <f aca="false">H$82*H$84*IF(AND(H$4&gt;=ASM_A04_COD_YEAR,H$4&lt;ASM_A04_COD_YEAR+ASM_D06_YEARS_TRAINERS_ACTIVE),1,0)</f>
        <v>240000</v>
      </c>
      <c r="I42" s="30" t="n">
        <f aca="false">I$82*I$84*IF(AND(I$4&gt;=ASM_A04_COD_YEAR,I$4&lt;ASM_A04_COD_YEAR+ASM_D06_YEARS_TRAINERS_ACTIVE),1,0)</f>
        <v>0</v>
      </c>
      <c r="J42" s="30" t="n">
        <f aca="false">J$82*J$84*IF(AND(J$4&gt;=ASM_A04_COD_YEAR,J$4&lt;ASM_A04_COD_YEAR+ASM_D06_YEARS_TRAINERS_ACTIVE),1,0)</f>
        <v>0</v>
      </c>
      <c r="K42" s="30" t="n">
        <f aca="false">K$82*K$84*IF(AND(K$4&gt;=ASM_A04_COD_YEAR,K$4&lt;ASM_A04_COD_YEAR+ASM_D06_YEARS_TRAINERS_ACTIVE),1,0)</f>
        <v>0</v>
      </c>
      <c r="L42" s="30" t="n">
        <f aca="false">L$82*L$84*IF(AND(L$4&gt;=ASM_A04_COD_YEAR,L$4&lt;ASM_A04_COD_YEAR+ASM_D06_YEARS_TRAINERS_ACTIVE),1,0)</f>
        <v>0</v>
      </c>
    </row>
    <row r="43" customFormat="false" ht="15" hidden="false" customHeight="true" outlineLevel="0" collapsed="false">
      <c r="B43" s="18" t="s">
        <v>415</v>
      </c>
      <c r="C43" s="12" t="s">
        <v>58</v>
      </c>
      <c r="D43" s="30" t="n">
        <f aca="false">SUM(E43:L43)</f>
        <v>320000</v>
      </c>
      <c r="E43" s="30" t="n">
        <f aca="false">E$83*E$85*IF(AND(E$4&gt;=ASM_A04_COD_YEAR,E$4&lt;ASM_A04_COD_YEAR+ASM_D07_YEARS_SPECIALIST_ACTIVE),1,0)</f>
        <v>0</v>
      </c>
      <c r="F43" s="30" t="n">
        <f aca="false">F$83*F$85*IF(AND(F$4&gt;=ASM_A04_COD_YEAR,F$4&lt;ASM_A04_COD_YEAR+ASM_D07_YEARS_SPECIALIST_ACTIVE),1,0)</f>
        <v>0</v>
      </c>
      <c r="G43" s="30" t="n">
        <f aca="false">G$83*G$85*IF(AND(G$4&gt;=ASM_A04_COD_YEAR,G$4&lt;ASM_A04_COD_YEAR+ASM_D07_YEARS_SPECIALIST_ACTIVE),1,0)</f>
        <v>160000</v>
      </c>
      <c r="H43" s="30" t="n">
        <f aca="false">H$83*H$85*IF(AND(H$4&gt;=ASM_A04_COD_YEAR,H$4&lt;ASM_A04_COD_YEAR+ASM_D07_YEARS_SPECIALIST_ACTIVE),1,0)</f>
        <v>160000</v>
      </c>
      <c r="I43" s="30" t="n">
        <f aca="false">I$83*I$85*IF(AND(I$4&gt;=ASM_A04_COD_YEAR,I$4&lt;ASM_A04_COD_YEAR+ASM_D07_YEARS_SPECIALIST_ACTIVE),1,0)</f>
        <v>0</v>
      </c>
      <c r="J43" s="30" t="n">
        <f aca="false">J$83*J$85*IF(AND(J$4&gt;=ASM_A04_COD_YEAR,J$4&lt;ASM_A04_COD_YEAR+ASM_D07_YEARS_SPECIALIST_ACTIVE),1,0)</f>
        <v>0</v>
      </c>
      <c r="K43" s="30" t="n">
        <f aca="false">K$83*K$85*IF(AND(K$4&gt;=ASM_A04_COD_YEAR,K$4&lt;ASM_A04_COD_YEAR+ASM_D07_YEARS_SPECIALIST_ACTIVE),1,0)</f>
        <v>0</v>
      </c>
      <c r="L43" s="30" t="n">
        <f aca="false">L$83*L$85*IF(AND(L$4&gt;=ASM_A04_COD_YEAR,L$4&lt;ASM_A04_COD_YEAR+ASM_D07_YEARS_SPECIALIST_ACTIVE),1,0)</f>
        <v>0</v>
      </c>
    </row>
    <row r="44" customFormat="false" ht="15" hidden="false" customHeight="true" outlineLevel="0" collapsed="false">
      <c r="B44" s="31" t="s">
        <v>416</v>
      </c>
      <c r="C44" s="12" t="s">
        <v>136</v>
      </c>
      <c r="D44" s="32" t="n">
        <f aca="false">SUM(D42:D43)</f>
        <v>800000</v>
      </c>
      <c r="E44" s="32" t="n">
        <f aca="false">SUM(E42:E43)</f>
        <v>0</v>
      </c>
      <c r="F44" s="32" t="n">
        <f aca="false">SUM(F42:F43)</f>
        <v>0</v>
      </c>
      <c r="G44" s="32" t="n">
        <f aca="false">SUM(G42:G43)</f>
        <v>400000</v>
      </c>
      <c r="H44" s="32" t="n">
        <f aca="false">SUM(H42:H43)</f>
        <v>400000</v>
      </c>
      <c r="I44" s="32" t="n">
        <f aca="false">SUM(I42:I43)</f>
        <v>0</v>
      </c>
      <c r="J44" s="32" t="n">
        <f aca="false">SUM(J42:J43)</f>
        <v>0</v>
      </c>
      <c r="K44" s="32" t="n">
        <f aca="false">SUM(K42:K43)</f>
        <v>0</v>
      </c>
      <c r="L44" s="32" t="n">
        <f aca="false">SUM(L42:L43)</f>
        <v>0</v>
      </c>
    </row>
    <row r="45" customFormat="false" ht="15" hidden="false" customHeight="true" outlineLevel="0" collapsed="false"/>
    <row r="46" customFormat="false" ht="15" hidden="false" customHeight="true" outlineLevel="0" collapsed="false">
      <c r="B46" s="28" t="s">
        <v>417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customFormat="false" ht="15" hidden="false" customHeight="true" outlineLevel="0" collapsed="false">
      <c r="B47" s="18" t="s">
        <v>418</v>
      </c>
      <c r="C47" s="12" t="s">
        <v>58</v>
      </c>
      <c r="D47" s="30" t="n">
        <f aca="false">SUM(E47:L47)</f>
        <v>873600</v>
      </c>
      <c r="E47" s="30" t="n">
        <f aca="false">E$148*E$136*FLAG_VALIDATION_YM1</f>
        <v>0</v>
      </c>
      <c r="F47" s="30" t="n">
        <f aca="false">F$148*F$136*FLAG_VALIDATION_Y0</f>
        <v>0</v>
      </c>
      <c r="G47" s="30" t="n">
        <f aca="false">G$148*G$136*FLAG_VALIDATION_Y1</f>
        <v>436800</v>
      </c>
      <c r="H47" s="30" t="n">
        <f aca="false">H$148*H$136*FLAG_VALIDATION_Y2</f>
        <v>436800</v>
      </c>
      <c r="I47" s="30" t="n">
        <f aca="false">I$148*I$136*FLAG_VALIDATION_Y3</f>
        <v>0</v>
      </c>
      <c r="J47" s="30" t="n">
        <f aca="false">J$148*J$136*FLAG_VALIDATION_Y4</f>
        <v>0</v>
      </c>
      <c r="K47" s="30" t="n">
        <f aca="false">K$148*K$136*FLAG_VALIDATION_Y5</f>
        <v>0</v>
      </c>
      <c r="L47" s="30" t="n">
        <f aca="false">L$148*L$136*FLAG_VALIDATION_Y6</f>
        <v>0</v>
      </c>
    </row>
    <row r="48" customFormat="false" ht="15" hidden="false" customHeight="true" outlineLevel="0" collapsed="false">
      <c r="B48" s="18" t="s">
        <v>419</v>
      </c>
      <c r="C48" s="12" t="s">
        <v>58</v>
      </c>
      <c r="D48" s="30" t="n">
        <f aca="false">SUM(E48:L48)</f>
        <v>-520000</v>
      </c>
      <c r="E48" s="30" t="n">
        <f aca="false">-E$148*E$140*FLAG_VALIDATION_YM1</f>
        <v>-0</v>
      </c>
      <c r="F48" s="30" t="n">
        <f aca="false">-F$148*F$140*FLAG_VALIDATION_Y0</f>
        <v>-0</v>
      </c>
      <c r="G48" s="30" t="n">
        <f aca="false">-G$148*G$140*FLAG_VALIDATION_Y1</f>
        <v>-260000</v>
      </c>
      <c r="H48" s="30" t="n">
        <f aca="false">-H$148*H$140*FLAG_VALIDATION_Y2</f>
        <v>-260000</v>
      </c>
      <c r="I48" s="30" t="n">
        <f aca="false">-I$148*I$140*FLAG_VALIDATION_Y3</f>
        <v>-0</v>
      </c>
      <c r="J48" s="30" t="n">
        <f aca="false">-J$148*J$140*FLAG_VALIDATION_Y4</f>
        <v>-0</v>
      </c>
      <c r="K48" s="30" t="n">
        <f aca="false">-K$148*K$140*FLAG_VALIDATION_Y5</f>
        <v>-0</v>
      </c>
      <c r="L48" s="30" t="n">
        <f aca="false">-L$148*L$140*FLAG_VALIDATION_Y6</f>
        <v>-0</v>
      </c>
    </row>
    <row r="49" customFormat="false" ht="15" hidden="false" customHeight="true" outlineLevel="0" collapsed="false">
      <c r="B49" s="18" t="s">
        <v>420</v>
      </c>
      <c r="C49" s="12" t="s">
        <v>58</v>
      </c>
      <c r="D49" s="30" t="n">
        <f aca="false">SUM(E49:L49)</f>
        <v>66150</v>
      </c>
      <c r="E49" s="30" t="n">
        <f aca="false">E$149*E$137*FLAG_VALIDATION_YM1</f>
        <v>0</v>
      </c>
      <c r="F49" s="30" t="n">
        <f aca="false">F$149*F$137*FLAG_VALIDATION_Y0</f>
        <v>0</v>
      </c>
      <c r="G49" s="30" t="n">
        <f aca="false">G$149*G$137*FLAG_VALIDATION_Y1</f>
        <v>33075</v>
      </c>
      <c r="H49" s="30" t="n">
        <f aca="false">H$149*H$137*FLAG_VALIDATION_Y2</f>
        <v>33075</v>
      </c>
      <c r="I49" s="30" t="n">
        <f aca="false">I$149*I$137*FLAG_VALIDATION_Y3</f>
        <v>0</v>
      </c>
      <c r="J49" s="30" t="n">
        <f aca="false">J$149*J$137*FLAG_VALIDATION_Y4</f>
        <v>0</v>
      </c>
      <c r="K49" s="30" t="n">
        <f aca="false">K$149*K$137*FLAG_VALIDATION_Y5</f>
        <v>0</v>
      </c>
      <c r="L49" s="30" t="n">
        <f aca="false">L$149*L$137*FLAG_VALIDATION_Y6</f>
        <v>0</v>
      </c>
    </row>
    <row r="50" customFormat="false" ht="15" hidden="false" customHeight="true" outlineLevel="0" collapsed="false">
      <c r="B50" s="18" t="s">
        <v>421</v>
      </c>
      <c r="C50" s="12" t="s">
        <v>58</v>
      </c>
      <c r="D50" s="30" t="n">
        <f aca="false">SUM(E50:L50)</f>
        <v>-36750</v>
      </c>
      <c r="E50" s="30" t="n">
        <f aca="false">-E$149*E$141*FLAG_VALIDATION_YM1</f>
        <v>-0</v>
      </c>
      <c r="F50" s="30" t="n">
        <f aca="false">-F$149*F$141*FLAG_VALIDATION_Y0</f>
        <v>-0</v>
      </c>
      <c r="G50" s="30" t="n">
        <f aca="false">-G$149*G$141*FLAG_VALIDATION_Y1</f>
        <v>-18375</v>
      </c>
      <c r="H50" s="30" t="n">
        <f aca="false">-H$149*H$141*FLAG_VALIDATION_Y2</f>
        <v>-18375</v>
      </c>
      <c r="I50" s="30" t="n">
        <f aca="false">-I$149*I$141*FLAG_VALIDATION_Y3</f>
        <v>-0</v>
      </c>
      <c r="J50" s="30" t="n">
        <f aca="false">-J$149*J$141*FLAG_VALIDATION_Y4</f>
        <v>-0</v>
      </c>
      <c r="K50" s="30" t="n">
        <f aca="false">-K$149*K$141*FLAG_VALIDATION_Y5</f>
        <v>-0</v>
      </c>
      <c r="L50" s="30" t="n">
        <f aca="false">-L$149*L$141*FLAG_VALIDATION_Y6</f>
        <v>-0</v>
      </c>
    </row>
    <row r="51" customFormat="false" ht="15" hidden="false" customHeight="true" outlineLevel="0" collapsed="false">
      <c r="B51" s="18" t="s">
        <v>422</v>
      </c>
      <c r="C51" s="12" t="s">
        <v>58</v>
      </c>
      <c r="D51" s="30" t="n">
        <f aca="false">SUM(E51:L51)</f>
        <v>31500</v>
      </c>
      <c r="E51" s="30" t="n">
        <f aca="false">E$150*E$138*FLAG_VALIDATION_YM1</f>
        <v>0</v>
      </c>
      <c r="F51" s="30" t="n">
        <f aca="false">F$150*F$138*FLAG_VALIDATION_Y0</f>
        <v>0</v>
      </c>
      <c r="G51" s="30" t="n">
        <f aca="false">G$150*G$138*FLAG_VALIDATION_Y1</f>
        <v>15750</v>
      </c>
      <c r="H51" s="30" t="n">
        <f aca="false">H$150*H$138*FLAG_VALIDATION_Y2</f>
        <v>15750</v>
      </c>
      <c r="I51" s="30" t="n">
        <f aca="false">I$150*I$138*FLAG_VALIDATION_Y3</f>
        <v>0</v>
      </c>
      <c r="J51" s="30" t="n">
        <f aca="false">J$150*J$138*FLAG_VALIDATION_Y4</f>
        <v>0</v>
      </c>
      <c r="K51" s="30" t="n">
        <f aca="false">K$150*K$138*FLAG_VALIDATION_Y5</f>
        <v>0</v>
      </c>
      <c r="L51" s="30" t="n">
        <f aca="false">L$150*L$138*FLAG_VALIDATION_Y6</f>
        <v>0</v>
      </c>
    </row>
    <row r="52" customFormat="false" ht="15" hidden="false" customHeight="true" outlineLevel="0" collapsed="false">
      <c r="B52" s="18" t="s">
        <v>423</v>
      </c>
      <c r="C52" s="12" t="s">
        <v>58</v>
      </c>
      <c r="D52" s="30" t="n">
        <f aca="false">SUM(E52:L52)</f>
        <v>-17500</v>
      </c>
      <c r="E52" s="30" t="n">
        <f aca="false">-E$150*E$142*FLAG_VALIDATION_YM1</f>
        <v>-0</v>
      </c>
      <c r="F52" s="30" t="n">
        <f aca="false">-F$150*F$142*FLAG_VALIDATION_Y0</f>
        <v>-0</v>
      </c>
      <c r="G52" s="30" t="n">
        <f aca="false">-G$150*G$142*FLAG_VALIDATION_Y1</f>
        <v>-8750</v>
      </c>
      <c r="H52" s="30" t="n">
        <f aca="false">-H$150*H$142*FLAG_VALIDATION_Y2</f>
        <v>-8750</v>
      </c>
      <c r="I52" s="30" t="n">
        <f aca="false">-I$150*I$142*FLAG_VALIDATION_Y3</f>
        <v>-0</v>
      </c>
      <c r="J52" s="30" t="n">
        <f aca="false">-J$150*J$142*FLAG_VALIDATION_Y4</f>
        <v>-0</v>
      </c>
      <c r="K52" s="30" t="n">
        <f aca="false">-K$150*K$142*FLAG_VALIDATION_Y5</f>
        <v>-0</v>
      </c>
      <c r="L52" s="30" t="n">
        <f aca="false">-L$150*L$142*FLAG_VALIDATION_Y6</f>
        <v>-0</v>
      </c>
    </row>
    <row r="53" customFormat="false" ht="15" hidden="false" customHeight="true" outlineLevel="0" collapsed="false">
      <c r="B53" s="18" t="s">
        <v>424</v>
      </c>
      <c r="C53" s="12" t="s">
        <v>58</v>
      </c>
      <c r="D53" s="30" t="n">
        <f aca="false">SUM(E53:L53)</f>
        <v>130200</v>
      </c>
      <c r="E53" s="30" t="n">
        <f aca="false">E$151*E$139*FLAG_VALIDATION_YM1</f>
        <v>0</v>
      </c>
      <c r="F53" s="30" t="n">
        <f aca="false">F$151*F$139*FLAG_VALIDATION_Y0</f>
        <v>0</v>
      </c>
      <c r="G53" s="30" t="n">
        <f aca="false">G$151*G$139*FLAG_VALIDATION_Y1</f>
        <v>65100</v>
      </c>
      <c r="H53" s="30" t="n">
        <f aca="false">H$151*H$139*FLAG_VALIDATION_Y2</f>
        <v>65100</v>
      </c>
      <c r="I53" s="30" t="n">
        <f aca="false">I$151*I$139*FLAG_VALIDATION_Y3</f>
        <v>0</v>
      </c>
      <c r="J53" s="30" t="n">
        <f aca="false">J$151*J$139*FLAG_VALIDATION_Y4</f>
        <v>0</v>
      </c>
      <c r="K53" s="30" t="n">
        <f aca="false">K$151*K$139*FLAG_VALIDATION_Y5</f>
        <v>0</v>
      </c>
      <c r="L53" s="30" t="n">
        <f aca="false">L$151*L$139*FLAG_VALIDATION_Y6</f>
        <v>0</v>
      </c>
    </row>
    <row r="54" customFormat="false" ht="15" hidden="false" customHeight="true" outlineLevel="0" collapsed="false">
      <c r="B54" s="18" t="s">
        <v>425</v>
      </c>
      <c r="C54" s="12" t="s">
        <v>58</v>
      </c>
      <c r="D54" s="30" t="n">
        <f aca="false">SUM(E54:L54)</f>
        <v>-77500</v>
      </c>
      <c r="E54" s="30" t="n">
        <f aca="false">-E$151*E$143*FLAG_VALIDATION_YM1</f>
        <v>-0</v>
      </c>
      <c r="F54" s="30" t="n">
        <f aca="false">-F$151*F$143*FLAG_VALIDATION_Y0</f>
        <v>-0</v>
      </c>
      <c r="G54" s="30" t="n">
        <f aca="false">-G$151*G$143*FLAG_VALIDATION_Y1</f>
        <v>-38750</v>
      </c>
      <c r="H54" s="30" t="n">
        <f aca="false">-H$151*H$143*FLAG_VALIDATION_Y2</f>
        <v>-38750</v>
      </c>
      <c r="I54" s="30" t="n">
        <f aca="false">-I$151*I$143*FLAG_VALIDATION_Y3</f>
        <v>-0</v>
      </c>
      <c r="J54" s="30" t="n">
        <f aca="false">-J$151*J$143*FLAG_VALIDATION_Y4</f>
        <v>-0</v>
      </c>
      <c r="K54" s="30" t="n">
        <f aca="false">-K$151*K$143*FLAG_VALIDATION_Y5</f>
        <v>-0</v>
      </c>
      <c r="L54" s="30" t="n">
        <f aca="false">-L$151*L$143*FLAG_VALIDATION_Y6</f>
        <v>-0</v>
      </c>
    </row>
    <row r="55" customFormat="false" ht="15" hidden="false" customHeight="true" outlineLevel="0" collapsed="false">
      <c r="B55" s="31" t="s">
        <v>426</v>
      </c>
      <c r="C55" s="12" t="s">
        <v>136</v>
      </c>
      <c r="D55" s="32" t="n">
        <f aca="false">SUM(D47:D54)</f>
        <v>449700</v>
      </c>
      <c r="E55" s="32" t="n">
        <f aca="false">SUM(E47:E54)</f>
        <v>0</v>
      </c>
      <c r="F55" s="32" t="n">
        <f aca="false">SUM(F47:F54)</f>
        <v>0</v>
      </c>
      <c r="G55" s="32" t="n">
        <f aca="false">SUM(G47:G54)</f>
        <v>224850</v>
      </c>
      <c r="H55" s="32" t="n">
        <f aca="false">SUM(H47:H54)</f>
        <v>224850</v>
      </c>
      <c r="I55" s="32" t="n">
        <f aca="false">SUM(I47:I54)</f>
        <v>0</v>
      </c>
      <c r="J55" s="32" t="n">
        <f aca="false">SUM(J47:J54)</f>
        <v>0</v>
      </c>
      <c r="K55" s="32" t="n">
        <f aca="false">SUM(K47:K54)</f>
        <v>0</v>
      </c>
      <c r="L55" s="32" t="n">
        <f aca="false">SUM(L47:L54)</f>
        <v>0</v>
      </c>
    </row>
    <row r="56" customFormat="false" ht="15" hidden="false" customHeight="true" outlineLevel="0" collapsed="false"/>
    <row r="57" customFormat="false" ht="15" hidden="false" customHeight="true" outlineLevel="0" collapsed="false">
      <c r="B57" s="28" t="s">
        <v>408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customFormat="false" ht="15" hidden="false" customHeight="true" outlineLevel="0" collapsed="false">
      <c r="B58" s="18" t="s">
        <v>427</v>
      </c>
      <c r="C58" s="12" t="s">
        <v>58</v>
      </c>
      <c r="D58" s="30" t="n">
        <f aca="false">SUM(E58:L58)</f>
        <v>80000</v>
      </c>
      <c r="E58" s="30" t="n">
        <f aca="false">E$104*IF(AND(E$4&gt;=ASM_A04_COD_YEAR,E$4&lt;ASM_A04_COD_YEAR+ASM_H04_N_YEARS_MONITORING),1,0)</f>
        <v>0</v>
      </c>
      <c r="F58" s="30" t="n">
        <f aca="false">F$104*IF(AND(F$4&gt;=ASM_A04_COD_YEAR,F$4&lt;ASM_A04_COD_YEAR+ASM_H04_N_YEARS_MONITORING),1,0)</f>
        <v>0</v>
      </c>
      <c r="G58" s="30" t="n">
        <f aca="false">G$104*IF(AND(G$4&gt;=ASM_A04_COD_YEAR,G$4&lt;ASM_A04_COD_YEAR+ASM_H04_N_YEARS_MONITORING),1,0)</f>
        <v>40000</v>
      </c>
      <c r="H58" s="30" t="n">
        <f aca="false">H$104*IF(AND(H$4&gt;=ASM_A04_COD_YEAR,H$4&lt;ASM_A04_COD_YEAR+ASM_H04_N_YEARS_MONITORING),1,0)</f>
        <v>40000</v>
      </c>
      <c r="I58" s="30" t="n">
        <f aca="false">I$104*IF(AND(I$4&gt;=ASM_A04_COD_YEAR,I$4&lt;ASM_A04_COD_YEAR+ASM_H04_N_YEARS_MONITORING),1,0)</f>
        <v>0</v>
      </c>
      <c r="J58" s="30" t="n">
        <f aca="false">J$104*IF(AND(J$4&gt;=ASM_A04_COD_YEAR,J$4&lt;ASM_A04_COD_YEAR+ASM_H04_N_YEARS_MONITORING),1,0)</f>
        <v>0</v>
      </c>
      <c r="K58" s="30" t="n">
        <f aca="false">K$104*IF(AND(K$4&gt;=ASM_A04_COD_YEAR,K$4&lt;ASM_A04_COD_YEAR+ASM_H04_N_YEARS_MONITORING),1,0)</f>
        <v>0</v>
      </c>
      <c r="L58" s="30" t="n">
        <f aca="false">L$104*IF(AND(L$4&gt;=ASM_A04_COD_YEAR,L$4&lt;ASM_A04_COD_YEAR+ASM_H04_N_YEARS_MONITORING),1,0)</f>
        <v>0</v>
      </c>
    </row>
    <row r="59" customFormat="false" ht="15" hidden="false" customHeight="true" outlineLevel="0" collapsed="false">
      <c r="B59" s="18" t="s">
        <v>428</v>
      </c>
      <c r="C59" s="12" t="s">
        <v>58</v>
      </c>
      <c r="D59" s="30" t="n">
        <f aca="false">SUM(E59:L59)</f>
        <v>30000</v>
      </c>
      <c r="E59" s="30" t="n">
        <f aca="false">E$107*IF(AND(E$4&gt;=ASM_A04_COD_YEAR,E$4&lt;ASM_A04_COD_YEAR+ASM_H07_N_YEARS_O3),1,0)</f>
        <v>0</v>
      </c>
      <c r="F59" s="30" t="n">
        <f aca="false">F$107*IF(AND(F$4&gt;=ASM_A04_COD_YEAR,F$4&lt;ASM_A04_COD_YEAR+ASM_H07_N_YEARS_O3),1,0)</f>
        <v>0</v>
      </c>
      <c r="G59" s="30" t="n">
        <f aca="false">G$107*IF(AND(G$4&gt;=ASM_A04_COD_YEAR,G$4&lt;ASM_A04_COD_YEAR+ASM_H07_N_YEARS_O3),1,0)</f>
        <v>15000</v>
      </c>
      <c r="H59" s="30" t="n">
        <f aca="false">H$107*IF(AND(H$4&gt;=ASM_A04_COD_YEAR,H$4&lt;ASM_A04_COD_YEAR+ASM_H07_N_YEARS_O3),1,0)</f>
        <v>15000</v>
      </c>
      <c r="I59" s="30" t="n">
        <f aca="false">I$107*IF(AND(I$4&gt;=ASM_A04_COD_YEAR,I$4&lt;ASM_A04_COD_YEAR+ASM_H07_N_YEARS_O3),1,0)</f>
        <v>0</v>
      </c>
      <c r="J59" s="30" t="n">
        <f aca="false">J$107*IF(AND(J$4&gt;=ASM_A04_COD_YEAR,J$4&lt;ASM_A04_COD_YEAR+ASM_H07_N_YEARS_O3),1,0)</f>
        <v>0</v>
      </c>
      <c r="K59" s="30" t="n">
        <f aca="false">K$107*IF(AND(K$4&gt;=ASM_A04_COD_YEAR,K$4&lt;ASM_A04_COD_YEAR+ASM_H07_N_YEARS_O3),1,0)</f>
        <v>0</v>
      </c>
      <c r="L59" s="30" t="n">
        <f aca="false">L$107*IF(AND(L$4&gt;=ASM_A04_COD_YEAR,L$4&lt;ASM_A04_COD_YEAR+ASM_H07_N_YEARS_O3),1,0)</f>
        <v>0</v>
      </c>
    </row>
    <row r="60" customFormat="false" ht="15" hidden="false" customHeight="true" outlineLevel="0" collapsed="false">
      <c r="B60" s="31" t="s">
        <v>410</v>
      </c>
      <c r="C60" s="12" t="s">
        <v>136</v>
      </c>
      <c r="D60" s="32" t="n">
        <f aca="false">SUM(D58:D59)</f>
        <v>110000</v>
      </c>
      <c r="E60" s="32" t="n">
        <f aca="false">SUM(E58:E59)</f>
        <v>0</v>
      </c>
      <c r="F60" s="32" t="n">
        <f aca="false">SUM(F58:F59)</f>
        <v>0</v>
      </c>
      <c r="G60" s="32" t="n">
        <f aca="false">SUM(G58:G59)</f>
        <v>55000</v>
      </c>
      <c r="H60" s="32" t="n">
        <f aca="false">SUM(H58:H59)</f>
        <v>55000</v>
      </c>
      <c r="I60" s="32" t="n">
        <f aca="false">SUM(I58:I59)</f>
        <v>0</v>
      </c>
      <c r="J60" s="32" t="n">
        <f aca="false">SUM(J58:J59)</f>
        <v>0</v>
      </c>
      <c r="K60" s="32" t="n">
        <f aca="false">SUM(K58:K59)</f>
        <v>0</v>
      </c>
      <c r="L60" s="32" t="n">
        <f aca="false">SUM(L58:L59)</f>
        <v>0</v>
      </c>
    </row>
    <row r="61" customFormat="false" ht="15" hidden="false" customHeight="true" outlineLevel="0" collapsed="false">
      <c r="B61" s="33" t="s">
        <v>429</v>
      </c>
      <c r="C61" s="12" t="s">
        <v>136</v>
      </c>
      <c r="D61" s="27" t="n">
        <f aca="false">D44+D55+D60</f>
        <v>1359700</v>
      </c>
      <c r="E61" s="27" t="n">
        <f aca="false">E44+E55+E60</f>
        <v>0</v>
      </c>
      <c r="F61" s="27" t="n">
        <f aca="false">F44+F55+F60</f>
        <v>0</v>
      </c>
      <c r="G61" s="27" t="n">
        <f aca="false">G44+G55+G60</f>
        <v>679850</v>
      </c>
      <c r="H61" s="27" t="n">
        <f aca="false">H44+H55+H60</f>
        <v>679850</v>
      </c>
      <c r="I61" s="27" t="n">
        <f aca="false">I44+I55+I60</f>
        <v>0</v>
      </c>
      <c r="J61" s="27" t="n">
        <f aca="false">J44+J55+J60</f>
        <v>0</v>
      </c>
      <c r="K61" s="27" t="n">
        <f aca="false">K44+K55+K60</f>
        <v>0</v>
      </c>
      <c r="L61" s="27" t="n">
        <f aca="false">L44+L55+L60</f>
        <v>0</v>
      </c>
    </row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>
      <c r="B64" s="34" t="s">
        <v>430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</row>
    <row r="65" customFormat="false" ht="15" hidden="false" customHeight="true" outlineLevel="0" collapsed="false">
      <c r="B65" s="36" t="s">
        <v>431</v>
      </c>
      <c r="C65" s="12" t="s">
        <v>432</v>
      </c>
      <c r="D65" s="37" t="n">
        <f aca="false">SUM(E65:L65)</f>
        <v>24</v>
      </c>
      <c r="E65" s="37" t="n">
        <f aca="false">ASM_A01_N_FARMS</f>
        <v>3</v>
      </c>
      <c r="F65" s="37" t="n">
        <f aca="false">ASM_A01_N_FARMS</f>
        <v>3</v>
      </c>
      <c r="G65" s="37" t="n">
        <f aca="false">ASM_A01_N_FARMS</f>
        <v>3</v>
      </c>
      <c r="H65" s="37" t="n">
        <f aca="false">ASM_A01_N_FARMS</f>
        <v>3</v>
      </c>
      <c r="I65" s="37" t="n">
        <f aca="false">ASM_A01_N_FARMS</f>
        <v>3</v>
      </c>
      <c r="J65" s="37" t="n">
        <f aca="false">ASM_A01_N_FARMS</f>
        <v>3</v>
      </c>
      <c r="K65" s="37" t="n">
        <f aca="false">ASM_A01_N_FARMS</f>
        <v>3</v>
      </c>
      <c r="L65" s="37" t="n">
        <f aca="false">ASM_A01_N_FARMS</f>
        <v>3</v>
      </c>
    </row>
    <row r="66" customFormat="false" ht="15" hidden="false" customHeight="true" outlineLevel="0" collapsed="false">
      <c r="B66" s="36" t="s">
        <v>433</v>
      </c>
      <c r="C66" s="12" t="s">
        <v>434</v>
      </c>
      <c r="D66" s="37" t="n">
        <f aca="false">SUM(E66:L66)</f>
        <v>720</v>
      </c>
      <c r="E66" s="37" t="n">
        <f aca="false">ASM_B01_TRAINING_SLOTS_PER_FARM</f>
        <v>90</v>
      </c>
      <c r="F66" s="37" t="n">
        <f aca="false">ASM_B01_TRAINING_SLOTS_PER_FARM</f>
        <v>90</v>
      </c>
      <c r="G66" s="37" t="n">
        <f aca="false">ASM_B01_TRAINING_SLOTS_PER_FARM</f>
        <v>90</v>
      </c>
      <c r="H66" s="37" t="n">
        <f aca="false">ASM_B01_TRAINING_SLOTS_PER_FARM</f>
        <v>90</v>
      </c>
      <c r="I66" s="37" t="n">
        <f aca="false">ASM_B01_TRAINING_SLOTS_PER_FARM</f>
        <v>90</v>
      </c>
      <c r="J66" s="37" t="n">
        <f aca="false">ASM_B01_TRAINING_SLOTS_PER_FARM</f>
        <v>90</v>
      </c>
      <c r="K66" s="37" t="n">
        <f aca="false">ASM_B01_TRAINING_SLOTS_PER_FARM</f>
        <v>90</v>
      </c>
      <c r="L66" s="37" t="n">
        <f aca="false">ASM_B01_TRAINING_SLOTS_PER_FARM</f>
        <v>90</v>
      </c>
    </row>
    <row r="67" customFormat="false" ht="15" hidden="false" customHeight="true" outlineLevel="0" collapsed="false">
      <c r="B67" s="36" t="s">
        <v>435</v>
      </c>
      <c r="C67" s="12" t="s">
        <v>95</v>
      </c>
      <c r="D67" s="37" t="n">
        <f aca="false">SUM(E67:L67)</f>
        <v>16</v>
      </c>
      <c r="E67" s="37" t="n">
        <f aca="false">ASM_B02_COHORTS_PER_FARM</f>
        <v>2</v>
      </c>
      <c r="F67" s="37" t="n">
        <f aca="false">ASM_B02_COHORTS_PER_FARM</f>
        <v>2</v>
      </c>
      <c r="G67" s="37" t="n">
        <f aca="false">ASM_B02_COHORTS_PER_FARM</f>
        <v>2</v>
      </c>
      <c r="H67" s="37" t="n">
        <f aca="false">ASM_B02_COHORTS_PER_FARM</f>
        <v>2</v>
      </c>
      <c r="I67" s="37" t="n">
        <f aca="false">ASM_B02_COHORTS_PER_FARM</f>
        <v>2</v>
      </c>
      <c r="J67" s="37" t="n">
        <f aca="false">ASM_B02_COHORTS_PER_FARM</f>
        <v>2</v>
      </c>
      <c r="K67" s="37" t="n">
        <f aca="false">ASM_B02_COHORTS_PER_FARM</f>
        <v>2</v>
      </c>
      <c r="L67" s="37" t="n">
        <f aca="false">ASM_B02_COHORTS_PER_FARM</f>
        <v>2</v>
      </c>
    </row>
    <row r="68" customFormat="false" ht="15" hidden="false" customHeight="true" outlineLevel="0" collapsed="false">
      <c r="B68" s="36" t="s">
        <v>436</v>
      </c>
      <c r="C68" s="12" t="s">
        <v>46</v>
      </c>
      <c r="D68" s="37" t="n">
        <f aca="false">SUM(E68:L68)</f>
        <v>320</v>
      </c>
      <c r="E68" s="37" t="n">
        <f aca="false">ASM_X01_PER_UOF_FERMIERS</f>
        <v>40</v>
      </c>
      <c r="F68" s="37" t="n">
        <f aca="false">ASM_X01_PER_UOF_FERMIERS</f>
        <v>40</v>
      </c>
      <c r="G68" s="37" t="n">
        <f aca="false">ASM_X01_PER_UOF_FERMIERS</f>
        <v>40</v>
      </c>
      <c r="H68" s="37" t="n">
        <f aca="false">ASM_X01_PER_UOF_FERMIERS</f>
        <v>40</v>
      </c>
      <c r="I68" s="37" t="n">
        <f aca="false">ASM_X01_PER_UOF_FERMIERS</f>
        <v>40</v>
      </c>
      <c r="J68" s="37" t="n">
        <f aca="false">ASM_X01_PER_UOF_FERMIERS</f>
        <v>40</v>
      </c>
      <c r="K68" s="37" t="n">
        <f aca="false">ASM_X01_PER_UOF_FERMIERS</f>
        <v>40</v>
      </c>
      <c r="L68" s="37" t="n">
        <f aca="false">ASM_X01_PER_UOF_FERMIERS</f>
        <v>40</v>
      </c>
    </row>
    <row r="69" customFormat="false" ht="15" hidden="false" customHeight="true" outlineLevel="0" collapsed="false">
      <c r="B69" s="36" t="s">
        <v>437</v>
      </c>
      <c r="C69" s="12" t="s">
        <v>46</v>
      </c>
      <c r="D69" s="37" t="n">
        <f aca="false">SUM(E69:L69)</f>
        <v>32</v>
      </c>
      <c r="E69" s="37" t="n">
        <f aca="false">ASM_X02_PER_UOF_TECH_EAU</f>
        <v>4</v>
      </c>
      <c r="F69" s="37" t="n">
        <f aca="false">ASM_X02_PER_UOF_TECH_EAU</f>
        <v>4</v>
      </c>
      <c r="G69" s="37" t="n">
        <f aca="false">ASM_X02_PER_UOF_TECH_EAU</f>
        <v>4</v>
      </c>
      <c r="H69" s="37" t="n">
        <f aca="false">ASM_X02_PER_UOF_TECH_EAU</f>
        <v>4</v>
      </c>
      <c r="I69" s="37" t="n">
        <f aca="false">ASM_X02_PER_UOF_TECH_EAU</f>
        <v>4</v>
      </c>
      <c r="J69" s="37" t="n">
        <f aca="false">ASM_X02_PER_UOF_TECH_EAU</f>
        <v>4</v>
      </c>
      <c r="K69" s="37" t="n">
        <f aca="false">ASM_X02_PER_UOF_TECH_EAU</f>
        <v>4</v>
      </c>
      <c r="L69" s="37" t="n">
        <f aca="false">ASM_X02_PER_UOF_TECH_EAU</f>
        <v>4</v>
      </c>
    </row>
    <row r="70" customFormat="false" ht="15" hidden="false" customHeight="true" outlineLevel="0" collapsed="false">
      <c r="B70" s="36" t="s">
        <v>438</v>
      </c>
      <c r="C70" s="12" t="s">
        <v>46</v>
      </c>
      <c r="D70" s="37" t="n">
        <f aca="false">SUM(E70:L70)</f>
        <v>16</v>
      </c>
      <c r="E70" s="37" t="n">
        <f aca="false">ASM_X03_PER_UOF_TECH_ENERGIE</f>
        <v>2</v>
      </c>
      <c r="F70" s="37" t="n">
        <f aca="false">ASM_X03_PER_UOF_TECH_ENERGIE</f>
        <v>2</v>
      </c>
      <c r="G70" s="37" t="n">
        <f aca="false">ASM_X03_PER_UOF_TECH_ENERGIE</f>
        <v>2</v>
      </c>
      <c r="H70" s="37" t="n">
        <f aca="false">ASM_X03_PER_UOF_TECH_ENERGIE</f>
        <v>2</v>
      </c>
      <c r="I70" s="37" t="n">
        <f aca="false">ASM_X03_PER_UOF_TECH_ENERGIE</f>
        <v>2</v>
      </c>
      <c r="J70" s="37" t="n">
        <f aca="false">ASM_X03_PER_UOF_TECH_ENERGIE</f>
        <v>2</v>
      </c>
      <c r="K70" s="37" t="n">
        <f aca="false">ASM_X03_PER_UOF_TECH_ENERGIE</f>
        <v>2</v>
      </c>
      <c r="L70" s="37" t="n">
        <f aca="false">ASM_X03_PER_UOF_TECH_ENERGIE</f>
        <v>2</v>
      </c>
    </row>
    <row r="71" customFormat="false" ht="15" hidden="false" customHeight="true" outlineLevel="0" collapsed="false">
      <c r="B71" s="36" t="s">
        <v>439</v>
      </c>
      <c r="C71" s="12" t="s">
        <v>46</v>
      </c>
      <c r="D71" s="37" t="n">
        <f aca="false">SUM(E71:L71)</f>
        <v>48</v>
      </c>
      <c r="E71" s="37" t="n">
        <f aca="false">ASM_X04_PER_UOF_MECA</f>
        <v>6</v>
      </c>
      <c r="F71" s="37" t="n">
        <f aca="false">ASM_X04_PER_UOF_MECA</f>
        <v>6</v>
      </c>
      <c r="G71" s="37" t="n">
        <f aca="false">ASM_X04_PER_UOF_MECA</f>
        <v>6</v>
      </c>
      <c r="H71" s="37" t="n">
        <f aca="false">ASM_X04_PER_UOF_MECA</f>
        <v>6</v>
      </c>
      <c r="I71" s="37" t="n">
        <f aca="false">ASM_X04_PER_UOF_MECA</f>
        <v>6</v>
      </c>
      <c r="J71" s="37" t="n">
        <f aca="false">ASM_X04_PER_UOF_MECA</f>
        <v>6</v>
      </c>
      <c r="K71" s="37" t="n">
        <f aca="false">ASM_X04_PER_UOF_MECA</f>
        <v>6</v>
      </c>
      <c r="L71" s="37" t="n">
        <f aca="false">ASM_X04_PER_UOF_MECA</f>
        <v>6</v>
      </c>
    </row>
    <row r="72" customFormat="false" ht="15" hidden="false" customHeight="true" outlineLevel="0" collapsed="false">
      <c r="B72" s="36" t="s">
        <v>440</v>
      </c>
      <c r="C72" s="12" t="s">
        <v>51</v>
      </c>
      <c r="D72" s="37" t="n">
        <f aca="false">SUM(E72:L72)</f>
        <v>80</v>
      </c>
      <c r="E72" s="37" t="n">
        <f aca="false">ASM_X05_N_UOF_PHASE_A</f>
        <v>10</v>
      </c>
      <c r="F72" s="37" t="n">
        <f aca="false">ASM_X05_N_UOF_PHASE_A</f>
        <v>10</v>
      </c>
      <c r="G72" s="37" t="n">
        <f aca="false">ASM_X05_N_UOF_PHASE_A</f>
        <v>10</v>
      </c>
      <c r="H72" s="37" t="n">
        <f aca="false">ASM_X05_N_UOF_PHASE_A</f>
        <v>10</v>
      </c>
      <c r="I72" s="37" t="n">
        <f aca="false">ASM_X05_N_UOF_PHASE_A</f>
        <v>10</v>
      </c>
      <c r="J72" s="37" t="n">
        <f aca="false">ASM_X05_N_UOF_PHASE_A</f>
        <v>10</v>
      </c>
      <c r="K72" s="37" t="n">
        <f aca="false">ASM_X05_N_UOF_PHASE_A</f>
        <v>10</v>
      </c>
      <c r="L72" s="37" t="n">
        <f aca="false">ASM_X05_N_UOF_PHASE_A</f>
        <v>10</v>
      </c>
    </row>
    <row r="73" customFormat="false" ht="15" hidden="false" customHeight="true" outlineLevel="0" collapsed="false">
      <c r="B73" s="36" t="s">
        <v>441</v>
      </c>
      <c r="C73" s="12" t="s">
        <v>46</v>
      </c>
      <c r="D73" s="37" t="n">
        <f aca="false">SUM(E73:L73)</f>
        <v>960</v>
      </c>
      <c r="E73" s="37" t="n">
        <f aca="false">ASM_X07_COHORTE_0_TRAINEES</f>
        <v>120</v>
      </c>
      <c r="F73" s="37" t="n">
        <f aca="false">ASM_X07_COHORTE_0_TRAINEES</f>
        <v>120</v>
      </c>
      <c r="G73" s="37" t="n">
        <f aca="false">ASM_X07_COHORTE_0_TRAINEES</f>
        <v>120</v>
      </c>
      <c r="H73" s="37" t="n">
        <f aca="false">ASM_X07_COHORTE_0_TRAINEES</f>
        <v>120</v>
      </c>
      <c r="I73" s="37" t="n">
        <f aca="false">ASM_X07_COHORTE_0_TRAINEES</f>
        <v>120</v>
      </c>
      <c r="J73" s="37" t="n">
        <f aca="false">ASM_X07_COHORTE_0_TRAINEES</f>
        <v>120</v>
      </c>
      <c r="K73" s="37" t="n">
        <f aca="false">ASM_X07_COHORTE_0_TRAINEES</f>
        <v>120</v>
      </c>
      <c r="L73" s="37" t="n">
        <f aca="false">ASM_X07_COHORTE_0_TRAINEES</f>
        <v>120</v>
      </c>
    </row>
    <row r="74" customFormat="false" ht="15" hidden="false" customHeight="true" outlineLevel="0" collapsed="false">
      <c r="B74" s="36" t="s">
        <v>442</v>
      </c>
      <c r="C74" s="12" t="s">
        <v>110</v>
      </c>
      <c r="D74" s="37" t="n">
        <f aca="false">SUM(E74:L74)</f>
        <v>96</v>
      </c>
      <c r="E74" s="37" t="n">
        <f aca="false">ASM_C01_DURATION_A_MONTHS</f>
        <v>12</v>
      </c>
      <c r="F74" s="37" t="n">
        <f aca="false">ASM_C01_DURATION_A_MONTHS</f>
        <v>12</v>
      </c>
      <c r="G74" s="37" t="n">
        <f aca="false">ASM_C01_DURATION_A_MONTHS</f>
        <v>12</v>
      </c>
      <c r="H74" s="37" t="n">
        <f aca="false">ASM_C01_DURATION_A_MONTHS</f>
        <v>12</v>
      </c>
      <c r="I74" s="37" t="n">
        <f aca="false">ASM_C01_DURATION_A_MONTHS</f>
        <v>12</v>
      </c>
      <c r="J74" s="37" t="n">
        <f aca="false">ASM_C01_DURATION_A_MONTHS</f>
        <v>12</v>
      </c>
      <c r="K74" s="37" t="n">
        <f aca="false">ASM_C01_DURATION_A_MONTHS</f>
        <v>12</v>
      </c>
      <c r="L74" s="37" t="n">
        <f aca="false">ASM_C01_DURATION_A_MONTHS</f>
        <v>12</v>
      </c>
    </row>
    <row r="75" customFormat="false" ht="15" hidden="false" customHeight="true" outlineLevel="0" collapsed="false">
      <c r="B75" s="36" t="s">
        <v>443</v>
      </c>
      <c r="C75" s="12" t="s">
        <v>110</v>
      </c>
      <c r="D75" s="37" t="n">
        <f aca="false">SUM(E75:L75)</f>
        <v>72</v>
      </c>
      <c r="E75" s="37" t="n">
        <f aca="false">ASM_C02_DURATION_B_MONTHS</f>
        <v>9</v>
      </c>
      <c r="F75" s="37" t="n">
        <f aca="false">ASM_C02_DURATION_B_MONTHS</f>
        <v>9</v>
      </c>
      <c r="G75" s="37" t="n">
        <f aca="false">ASM_C02_DURATION_B_MONTHS</f>
        <v>9</v>
      </c>
      <c r="H75" s="37" t="n">
        <f aca="false">ASM_C02_DURATION_B_MONTHS</f>
        <v>9</v>
      </c>
      <c r="I75" s="37" t="n">
        <f aca="false">ASM_C02_DURATION_B_MONTHS</f>
        <v>9</v>
      </c>
      <c r="J75" s="37" t="n">
        <f aca="false">ASM_C02_DURATION_B_MONTHS</f>
        <v>9</v>
      </c>
      <c r="K75" s="37" t="n">
        <f aca="false">ASM_C02_DURATION_B_MONTHS</f>
        <v>9</v>
      </c>
      <c r="L75" s="37" t="n">
        <f aca="false">ASM_C02_DURATION_B_MONTHS</f>
        <v>9</v>
      </c>
    </row>
    <row r="76" customFormat="false" ht="15" hidden="false" customHeight="true" outlineLevel="0" collapsed="false">
      <c r="B76" s="36" t="s">
        <v>444</v>
      </c>
      <c r="C76" s="12" t="s">
        <v>110</v>
      </c>
      <c r="D76" s="37" t="n">
        <f aca="false">SUM(E76:L76)</f>
        <v>72</v>
      </c>
      <c r="E76" s="37" t="n">
        <f aca="false">ASM_C03_DURATION_C_MONTHS</f>
        <v>9</v>
      </c>
      <c r="F76" s="37" t="n">
        <f aca="false">ASM_C03_DURATION_C_MONTHS</f>
        <v>9</v>
      </c>
      <c r="G76" s="37" t="n">
        <f aca="false">ASM_C03_DURATION_C_MONTHS</f>
        <v>9</v>
      </c>
      <c r="H76" s="37" t="n">
        <f aca="false">ASM_C03_DURATION_C_MONTHS</f>
        <v>9</v>
      </c>
      <c r="I76" s="37" t="n">
        <f aca="false">ASM_C03_DURATION_C_MONTHS</f>
        <v>9</v>
      </c>
      <c r="J76" s="37" t="n">
        <f aca="false">ASM_C03_DURATION_C_MONTHS</f>
        <v>9</v>
      </c>
      <c r="K76" s="37" t="n">
        <f aca="false">ASM_C03_DURATION_C_MONTHS</f>
        <v>9</v>
      </c>
      <c r="L76" s="37" t="n">
        <f aca="false">ASM_C03_DURATION_C_MONTHS</f>
        <v>9</v>
      </c>
    </row>
    <row r="77" customFormat="false" ht="15" hidden="false" customHeight="true" outlineLevel="0" collapsed="false">
      <c r="B77" s="36" t="s">
        <v>445</v>
      </c>
      <c r="C77" s="12" t="s">
        <v>110</v>
      </c>
      <c r="D77" s="37" t="n">
        <f aca="false">SUM(E77:L77)</f>
        <v>96</v>
      </c>
      <c r="E77" s="37" t="n">
        <f aca="false">ASM_C04_DURATION_D_MONTHS</f>
        <v>12</v>
      </c>
      <c r="F77" s="37" t="n">
        <f aca="false">ASM_C04_DURATION_D_MONTHS</f>
        <v>12</v>
      </c>
      <c r="G77" s="37" t="n">
        <f aca="false">ASM_C04_DURATION_D_MONTHS</f>
        <v>12</v>
      </c>
      <c r="H77" s="37" t="n">
        <f aca="false">ASM_C04_DURATION_D_MONTHS</f>
        <v>12</v>
      </c>
      <c r="I77" s="37" t="n">
        <f aca="false">ASM_C04_DURATION_D_MONTHS</f>
        <v>12</v>
      </c>
      <c r="J77" s="37" t="n">
        <f aca="false">ASM_C04_DURATION_D_MONTHS</f>
        <v>12</v>
      </c>
      <c r="K77" s="37" t="n">
        <f aca="false">ASM_C04_DURATION_D_MONTHS</f>
        <v>12</v>
      </c>
      <c r="L77" s="37" t="n">
        <f aca="false">ASM_C04_DURATION_D_MONTHS</f>
        <v>12</v>
      </c>
    </row>
    <row r="78" customFormat="false" ht="15" hidden="false" customHeight="true" outlineLevel="0" collapsed="false">
      <c r="B78" s="36" t="s">
        <v>446</v>
      </c>
      <c r="C78" s="12" t="s">
        <v>447</v>
      </c>
      <c r="D78" s="11" t="n">
        <f aca="false">SUM(E78:L78)</f>
        <v>56</v>
      </c>
      <c r="E78" s="11" t="n">
        <f aca="false">ASM_C05_STIPEND_PER_DAY_EUR</f>
        <v>7</v>
      </c>
      <c r="F78" s="11" t="n">
        <f aca="false">ASM_C05_STIPEND_PER_DAY_EUR</f>
        <v>7</v>
      </c>
      <c r="G78" s="11" t="n">
        <f aca="false">ASM_C05_STIPEND_PER_DAY_EUR</f>
        <v>7</v>
      </c>
      <c r="H78" s="11" t="n">
        <f aca="false">ASM_C05_STIPEND_PER_DAY_EUR</f>
        <v>7</v>
      </c>
      <c r="I78" s="11" t="n">
        <f aca="false">ASM_C05_STIPEND_PER_DAY_EUR</f>
        <v>7</v>
      </c>
      <c r="J78" s="11" t="n">
        <f aca="false">ASM_C05_STIPEND_PER_DAY_EUR</f>
        <v>7</v>
      </c>
      <c r="K78" s="11" t="n">
        <f aca="false">ASM_C05_STIPEND_PER_DAY_EUR</f>
        <v>7</v>
      </c>
      <c r="L78" s="11" t="n">
        <f aca="false">ASM_C05_STIPEND_PER_DAY_EUR</f>
        <v>7</v>
      </c>
    </row>
    <row r="79" customFormat="false" ht="15" hidden="false" customHeight="true" outlineLevel="0" collapsed="false">
      <c r="B79" s="36" t="s">
        <v>448</v>
      </c>
      <c r="C79" s="12" t="s">
        <v>447</v>
      </c>
      <c r="D79" s="11" t="n">
        <f aca="false">SUM(E79:L79)</f>
        <v>40</v>
      </c>
      <c r="E79" s="11" t="n">
        <f aca="false">ASM_C06_WORK_OFFSET_PER_DAY_EUR</f>
        <v>5</v>
      </c>
      <c r="F79" s="11" t="n">
        <f aca="false">ASM_C06_WORK_OFFSET_PER_DAY_EUR</f>
        <v>5</v>
      </c>
      <c r="G79" s="11" t="n">
        <f aca="false">ASM_C06_WORK_OFFSET_PER_DAY_EUR</f>
        <v>5</v>
      </c>
      <c r="H79" s="11" t="n">
        <f aca="false">ASM_C06_WORK_OFFSET_PER_DAY_EUR</f>
        <v>5</v>
      </c>
      <c r="I79" s="11" t="n">
        <f aca="false">ASM_C06_WORK_OFFSET_PER_DAY_EUR</f>
        <v>5</v>
      </c>
      <c r="J79" s="11" t="n">
        <f aca="false">ASM_C06_WORK_OFFSET_PER_DAY_EUR</f>
        <v>5</v>
      </c>
      <c r="K79" s="11" t="n">
        <f aca="false">ASM_C06_WORK_OFFSET_PER_DAY_EUR</f>
        <v>5</v>
      </c>
      <c r="L79" s="11" t="n">
        <f aca="false">ASM_C06_WORK_OFFSET_PER_DAY_EUR</f>
        <v>5</v>
      </c>
    </row>
    <row r="80" customFormat="false" ht="15" hidden="false" customHeight="true" outlineLevel="0" collapsed="false">
      <c r="B80" s="36" t="s">
        <v>449</v>
      </c>
      <c r="C80" s="12" t="s">
        <v>118</v>
      </c>
      <c r="D80" s="37" t="n">
        <f aca="false">SUM(E80:L80)</f>
        <v>24</v>
      </c>
      <c r="E80" s="37" t="n">
        <f aca="false">ASM_C07_OFFSET_START_MONTH</f>
        <v>3</v>
      </c>
      <c r="F80" s="37" t="n">
        <f aca="false">ASM_C07_OFFSET_START_MONTH</f>
        <v>3</v>
      </c>
      <c r="G80" s="37" t="n">
        <f aca="false">ASM_C07_OFFSET_START_MONTH</f>
        <v>3</v>
      </c>
      <c r="H80" s="37" t="n">
        <f aca="false">ASM_C07_OFFSET_START_MONTH</f>
        <v>3</v>
      </c>
      <c r="I80" s="37" t="n">
        <f aca="false">ASM_C07_OFFSET_START_MONTH</f>
        <v>3</v>
      </c>
      <c r="J80" s="37" t="n">
        <f aca="false">ASM_C07_OFFSET_START_MONTH</f>
        <v>3</v>
      </c>
      <c r="K80" s="37" t="n">
        <f aca="false">ASM_C07_OFFSET_START_MONTH</f>
        <v>3</v>
      </c>
      <c r="L80" s="37" t="n">
        <f aca="false">ASM_C07_OFFSET_START_MONTH</f>
        <v>3</v>
      </c>
    </row>
    <row r="81" customFormat="false" ht="15" hidden="false" customHeight="true" outlineLevel="0" collapsed="false">
      <c r="B81" s="36" t="s">
        <v>450</v>
      </c>
      <c r="C81" s="12" t="s">
        <v>55</v>
      </c>
      <c r="D81" s="37" t="n">
        <f aca="false">SUM(E81:L81)</f>
        <v>200</v>
      </c>
      <c r="E81" s="37" t="n">
        <f aca="false">ASM_X08_DAYS_PER_MONTH</f>
        <v>25</v>
      </c>
      <c r="F81" s="37" t="n">
        <f aca="false">ASM_X08_DAYS_PER_MONTH</f>
        <v>25</v>
      </c>
      <c r="G81" s="37" t="n">
        <f aca="false">ASM_X08_DAYS_PER_MONTH</f>
        <v>25</v>
      </c>
      <c r="H81" s="37" t="n">
        <f aca="false">ASM_X08_DAYS_PER_MONTH</f>
        <v>25</v>
      </c>
      <c r="I81" s="37" t="n">
        <f aca="false">ASM_X08_DAYS_PER_MONTH</f>
        <v>25</v>
      </c>
      <c r="J81" s="37" t="n">
        <f aca="false">ASM_X08_DAYS_PER_MONTH</f>
        <v>25</v>
      </c>
      <c r="K81" s="37" t="n">
        <f aca="false">ASM_X08_DAYS_PER_MONTH</f>
        <v>25</v>
      </c>
      <c r="L81" s="37" t="n">
        <f aca="false">ASM_X08_DAYS_PER_MONTH</f>
        <v>25</v>
      </c>
    </row>
    <row r="82" customFormat="false" ht="15" hidden="false" customHeight="true" outlineLevel="0" collapsed="false">
      <c r="B82" s="36" t="s">
        <v>451</v>
      </c>
      <c r="C82" s="12" t="s">
        <v>46</v>
      </c>
      <c r="D82" s="37" t="n">
        <f aca="false">SUM(E82:L82)</f>
        <v>96</v>
      </c>
      <c r="E82" s="37" t="n">
        <f aca="false">ASM_D01_N_TRAINERS_FILIERE</f>
        <v>12</v>
      </c>
      <c r="F82" s="37" t="n">
        <f aca="false">ASM_D01_N_TRAINERS_FILIERE</f>
        <v>12</v>
      </c>
      <c r="G82" s="37" t="n">
        <f aca="false">ASM_D01_N_TRAINERS_FILIERE</f>
        <v>12</v>
      </c>
      <c r="H82" s="37" t="n">
        <f aca="false">ASM_D01_N_TRAINERS_FILIERE</f>
        <v>12</v>
      </c>
      <c r="I82" s="37" t="n">
        <f aca="false">ASM_D01_N_TRAINERS_FILIERE</f>
        <v>12</v>
      </c>
      <c r="J82" s="37" t="n">
        <f aca="false">ASM_D01_N_TRAINERS_FILIERE</f>
        <v>12</v>
      </c>
      <c r="K82" s="37" t="n">
        <f aca="false">ASM_D01_N_TRAINERS_FILIERE</f>
        <v>12</v>
      </c>
      <c r="L82" s="37" t="n">
        <f aca="false">ASM_D01_N_TRAINERS_FILIERE</f>
        <v>12</v>
      </c>
    </row>
    <row r="83" customFormat="false" ht="15" hidden="false" customHeight="true" outlineLevel="0" collapsed="false">
      <c r="B83" s="36" t="s">
        <v>452</v>
      </c>
      <c r="C83" s="12" t="s">
        <v>46</v>
      </c>
      <c r="D83" s="37" t="n">
        <f aca="false">SUM(E83:L83)</f>
        <v>32</v>
      </c>
      <c r="E83" s="37" t="n">
        <f aca="false">ASM_D02_N_TRAINERS_SPECIALIST</f>
        <v>4</v>
      </c>
      <c r="F83" s="37" t="n">
        <f aca="false">ASM_D02_N_TRAINERS_SPECIALIST</f>
        <v>4</v>
      </c>
      <c r="G83" s="37" t="n">
        <f aca="false">ASM_D02_N_TRAINERS_SPECIALIST</f>
        <v>4</v>
      </c>
      <c r="H83" s="37" t="n">
        <f aca="false">ASM_D02_N_TRAINERS_SPECIALIST</f>
        <v>4</v>
      </c>
      <c r="I83" s="37" t="n">
        <f aca="false">ASM_D02_N_TRAINERS_SPECIALIST</f>
        <v>4</v>
      </c>
      <c r="J83" s="37" t="n">
        <f aca="false">ASM_D02_N_TRAINERS_SPECIALIST</f>
        <v>4</v>
      </c>
      <c r="K83" s="37" t="n">
        <f aca="false">ASM_D02_N_TRAINERS_SPECIALIST</f>
        <v>4</v>
      </c>
      <c r="L83" s="37" t="n">
        <f aca="false">ASM_D02_N_TRAINERS_SPECIALIST</f>
        <v>4</v>
      </c>
    </row>
    <row r="84" customFormat="false" ht="15" hidden="false" customHeight="true" outlineLevel="0" collapsed="false">
      <c r="B84" s="36" t="s">
        <v>453</v>
      </c>
      <c r="C84" s="12" t="s">
        <v>58</v>
      </c>
      <c r="D84" s="11" t="n">
        <f aca="false">SUM(E84:L84)</f>
        <v>160000</v>
      </c>
      <c r="E84" s="11" t="n">
        <f aca="false">ASM_D04_COST_TRAINER_FILIERE_YEAR</f>
        <v>20000</v>
      </c>
      <c r="F84" s="11" t="n">
        <f aca="false">ASM_D04_COST_TRAINER_FILIERE_YEAR</f>
        <v>20000</v>
      </c>
      <c r="G84" s="11" t="n">
        <f aca="false">ASM_D04_COST_TRAINER_FILIERE_YEAR</f>
        <v>20000</v>
      </c>
      <c r="H84" s="11" t="n">
        <f aca="false">ASM_D04_COST_TRAINER_FILIERE_YEAR</f>
        <v>20000</v>
      </c>
      <c r="I84" s="11" t="n">
        <f aca="false">ASM_D04_COST_TRAINER_FILIERE_YEAR</f>
        <v>20000</v>
      </c>
      <c r="J84" s="11" t="n">
        <f aca="false">ASM_D04_COST_TRAINER_FILIERE_YEAR</f>
        <v>20000</v>
      </c>
      <c r="K84" s="11" t="n">
        <f aca="false">ASM_D04_COST_TRAINER_FILIERE_YEAR</f>
        <v>20000</v>
      </c>
      <c r="L84" s="11" t="n">
        <f aca="false">ASM_D04_COST_TRAINER_FILIERE_YEAR</f>
        <v>20000</v>
      </c>
    </row>
    <row r="85" customFormat="false" ht="15" hidden="false" customHeight="true" outlineLevel="0" collapsed="false">
      <c r="B85" s="36" t="s">
        <v>454</v>
      </c>
      <c r="C85" s="12" t="s">
        <v>58</v>
      </c>
      <c r="D85" s="11" t="n">
        <f aca="false">SUM(E85:L85)</f>
        <v>320000</v>
      </c>
      <c r="E85" s="11" t="n">
        <f aca="false">ASM_D05_COST_TRAINER_SPECIALIST_YEAR</f>
        <v>40000</v>
      </c>
      <c r="F85" s="11" t="n">
        <f aca="false">ASM_D05_COST_TRAINER_SPECIALIST_YEAR</f>
        <v>40000</v>
      </c>
      <c r="G85" s="11" t="n">
        <f aca="false">ASM_D05_COST_TRAINER_SPECIALIST_YEAR</f>
        <v>40000</v>
      </c>
      <c r="H85" s="11" t="n">
        <f aca="false">ASM_D05_COST_TRAINER_SPECIALIST_YEAR</f>
        <v>40000</v>
      </c>
      <c r="I85" s="11" t="n">
        <f aca="false">ASM_D05_COST_TRAINER_SPECIALIST_YEAR</f>
        <v>40000</v>
      </c>
      <c r="J85" s="11" t="n">
        <f aca="false">ASM_D05_COST_TRAINER_SPECIALIST_YEAR</f>
        <v>40000</v>
      </c>
      <c r="K85" s="11" t="n">
        <f aca="false">ASM_D05_COST_TRAINER_SPECIALIST_YEAR</f>
        <v>40000</v>
      </c>
      <c r="L85" s="11" t="n">
        <f aca="false">ASM_D05_COST_TRAINER_SPECIALIST_YEAR</f>
        <v>40000</v>
      </c>
    </row>
    <row r="86" customFormat="false" ht="15" hidden="false" customHeight="true" outlineLevel="0" collapsed="false">
      <c r="B86" s="36" t="s">
        <v>455</v>
      </c>
      <c r="C86" s="12" t="s">
        <v>84</v>
      </c>
      <c r="D86" s="37" t="n">
        <f aca="false">SUM(E86:L86)</f>
        <v>16</v>
      </c>
      <c r="E86" s="37" t="n">
        <f aca="false">ASM_D06_YEARS_TRAINERS_ACTIVE</f>
        <v>2</v>
      </c>
      <c r="F86" s="37" t="n">
        <f aca="false">ASM_D06_YEARS_TRAINERS_ACTIVE</f>
        <v>2</v>
      </c>
      <c r="G86" s="37" t="n">
        <f aca="false">ASM_D06_YEARS_TRAINERS_ACTIVE</f>
        <v>2</v>
      </c>
      <c r="H86" s="37" t="n">
        <f aca="false">ASM_D06_YEARS_TRAINERS_ACTIVE</f>
        <v>2</v>
      </c>
      <c r="I86" s="37" t="n">
        <f aca="false">ASM_D06_YEARS_TRAINERS_ACTIVE</f>
        <v>2</v>
      </c>
      <c r="J86" s="37" t="n">
        <f aca="false">ASM_D06_YEARS_TRAINERS_ACTIVE</f>
        <v>2</v>
      </c>
      <c r="K86" s="37" t="n">
        <f aca="false">ASM_D06_YEARS_TRAINERS_ACTIVE</f>
        <v>2</v>
      </c>
      <c r="L86" s="37" t="n">
        <f aca="false">ASM_D06_YEARS_TRAINERS_ACTIVE</f>
        <v>2</v>
      </c>
    </row>
    <row r="87" customFormat="false" ht="15" hidden="false" customHeight="true" outlineLevel="0" collapsed="false">
      <c r="B87" s="36" t="s">
        <v>456</v>
      </c>
      <c r="C87" s="12" t="s">
        <v>84</v>
      </c>
      <c r="D87" s="37" t="n">
        <f aca="false">SUM(E87:L87)</f>
        <v>16</v>
      </c>
      <c r="E87" s="37" t="n">
        <f aca="false">ASM_D07_YEARS_SPECIALIST_ACTIVE</f>
        <v>2</v>
      </c>
      <c r="F87" s="37" t="n">
        <f aca="false">ASM_D07_YEARS_SPECIALIST_ACTIVE</f>
        <v>2</v>
      </c>
      <c r="G87" s="37" t="n">
        <f aca="false">ASM_D07_YEARS_SPECIALIST_ACTIVE</f>
        <v>2</v>
      </c>
      <c r="H87" s="37" t="n">
        <f aca="false">ASM_D07_YEARS_SPECIALIST_ACTIVE</f>
        <v>2</v>
      </c>
      <c r="I87" s="37" t="n">
        <f aca="false">ASM_D07_YEARS_SPECIALIST_ACTIVE</f>
        <v>2</v>
      </c>
      <c r="J87" s="37" t="n">
        <f aca="false">ASM_D07_YEARS_SPECIALIST_ACTIVE</f>
        <v>2</v>
      </c>
      <c r="K87" s="37" t="n">
        <f aca="false">ASM_D07_YEARS_SPECIALIST_ACTIVE</f>
        <v>2</v>
      </c>
      <c r="L87" s="37" t="n">
        <f aca="false">ASM_D07_YEARS_SPECIALIST_ACTIVE</f>
        <v>2</v>
      </c>
    </row>
    <row r="88" customFormat="false" ht="15" hidden="false" customHeight="true" outlineLevel="0" collapsed="false">
      <c r="B88" s="36" t="s">
        <v>457</v>
      </c>
      <c r="C88" s="12" t="s">
        <v>84</v>
      </c>
      <c r="D88" s="38" t="n">
        <f aca="false">SUM(E88:L88)</f>
        <v>8</v>
      </c>
      <c r="E88" s="38" t="n">
        <f aca="false">ASM_D08_DURATION_TOT_YEARS</f>
        <v>1</v>
      </c>
      <c r="F88" s="38" t="n">
        <f aca="false">ASM_D08_DURATION_TOT_YEARS</f>
        <v>1</v>
      </c>
      <c r="G88" s="38" t="n">
        <f aca="false">ASM_D08_DURATION_TOT_YEARS</f>
        <v>1</v>
      </c>
      <c r="H88" s="38" t="n">
        <f aca="false">ASM_D08_DURATION_TOT_YEARS</f>
        <v>1</v>
      </c>
      <c r="I88" s="38" t="n">
        <f aca="false">ASM_D08_DURATION_TOT_YEARS</f>
        <v>1</v>
      </c>
      <c r="J88" s="38" t="n">
        <f aca="false">ASM_D08_DURATION_TOT_YEARS</f>
        <v>1</v>
      </c>
      <c r="K88" s="38" t="n">
        <f aca="false">ASM_D08_DURATION_TOT_YEARS</f>
        <v>1</v>
      </c>
      <c r="L88" s="38" t="n">
        <f aca="false">ASM_D08_DURATION_TOT_YEARS</f>
        <v>1</v>
      </c>
    </row>
    <row r="89" customFormat="false" ht="15" hidden="false" customHeight="true" outlineLevel="0" collapsed="false">
      <c r="B89" s="36" t="s">
        <v>458</v>
      </c>
      <c r="C89" s="12" t="s">
        <v>58</v>
      </c>
      <c r="D89" s="11" t="n">
        <f aca="false">SUM(E89:L89)</f>
        <v>144000</v>
      </c>
      <c r="E89" s="11" t="n">
        <f aca="false">ASM_D09_COST_TOT_PER_TRAINER_YEAR</f>
        <v>18000</v>
      </c>
      <c r="F89" s="11" t="n">
        <f aca="false">ASM_D09_COST_TOT_PER_TRAINER_YEAR</f>
        <v>18000</v>
      </c>
      <c r="G89" s="11" t="n">
        <f aca="false">ASM_D09_COST_TOT_PER_TRAINER_YEAR</f>
        <v>18000</v>
      </c>
      <c r="H89" s="11" t="n">
        <f aca="false">ASM_D09_COST_TOT_PER_TRAINER_YEAR</f>
        <v>18000</v>
      </c>
      <c r="I89" s="11" t="n">
        <f aca="false">ASM_D09_COST_TOT_PER_TRAINER_YEAR</f>
        <v>18000</v>
      </c>
      <c r="J89" s="11" t="n">
        <f aca="false">ASM_D09_COST_TOT_PER_TRAINER_YEAR</f>
        <v>18000</v>
      </c>
      <c r="K89" s="11" t="n">
        <f aca="false">ASM_D09_COST_TOT_PER_TRAINER_YEAR</f>
        <v>18000</v>
      </c>
      <c r="L89" s="11" t="n">
        <f aca="false">ASM_D09_COST_TOT_PER_TRAINER_YEAR</f>
        <v>18000</v>
      </c>
    </row>
    <row r="90" customFormat="false" ht="15" hidden="false" customHeight="true" outlineLevel="0" collapsed="false">
      <c r="B90" s="36" t="s">
        <v>459</v>
      </c>
      <c r="C90" s="12" t="s">
        <v>46</v>
      </c>
      <c r="D90" s="37" t="n">
        <f aca="false">SUM(E90:L90)</f>
        <v>24</v>
      </c>
      <c r="E90" s="37" t="n">
        <f aca="false">ASM_X10_N_SPECIALISTS_INTL</f>
        <v>3</v>
      </c>
      <c r="F90" s="37" t="n">
        <f aca="false">ASM_X10_N_SPECIALISTS_INTL</f>
        <v>3</v>
      </c>
      <c r="G90" s="37" t="n">
        <f aca="false">ASM_X10_N_SPECIALISTS_INTL</f>
        <v>3</v>
      </c>
      <c r="H90" s="37" t="n">
        <f aca="false">ASM_X10_N_SPECIALISTS_INTL</f>
        <v>3</v>
      </c>
      <c r="I90" s="37" t="n">
        <f aca="false">ASM_X10_N_SPECIALISTS_INTL</f>
        <v>3</v>
      </c>
      <c r="J90" s="37" t="n">
        <f aca="false">ASM_X10_N_SPECIALISTS_INTL</f>
        <v>3</v>
      </c>
      <c r="K90" s="37" t="n">
        <f aca="false">ASM_X10_N_SPECIALISTS_INTL</f>
        <v>3</v>
      </c>
      <c r="L90" s="37" t="n">
        <f aca="false">ASM_X10_N_SPECIALISTS_INTL</f>
        <v>3</v>
      </c>
    </row>
    <row r="91" customFormat="false" ht="15" hidden="false" customHeight="true" outlineLevel="0" collapsed="false">
      <c r="B91" s="36" t="s">
        <v>460</v>
      </c>
      <c r="C91" s="12" t="s">
        <v>58</v>
      </c>
      <c r="D91" s="11" t="n">
        <f aca="false">SUM(E91:L91)</f>
        <v>320000</v>
      </c>
      <c r="E91" s="11" t="n">
        <f aca="false">ASM_X11_COST_SPECIALIST_INTL_EUR_YR</f>
        <v>40000</v>
      </c>
      <c r="F91" s="11" t="n">
        <f aca="false">ASM_X11_COST_SPECIALIST_INTL_EUR_YR</f>
        <v>40000</v>
      </c>
      <c r="G91" s="11" t="n">
        <f aca="false">ASM_X11_COST_SPECIALIST_INTL_EUR_YR</f>
        <v>40000</v>
      </c>
      <c r="H91" s="11" t="n">
        <f aca="false">ASM_X11_COST_SPECIALIST_INTL_EUR_YR</f>
        <v>40000</v>
      </c>
      <c r="I91" s="11" t="n">
        <f aca="false">ASM_X11_COST_SPECIALIST_INTL_EUR_YR</f>
        <v>40000</v>
      </c>
      <c r="J91" s="11" t="n">
        <f aca="false">ASM_X11_COST_SPECIALIST_INTL_EUR_YR</f>
        <v>40000</v>
      </c>
      <c r="K91" s="11" t="n">
        <f aca="false">ASM_X11_COST_SPECIALIST_INTL_EUR_YR</f>
        <v>40000</v>
      </c>
      <c r="L91" s="11" t="n">
        <f aca="false">ASM_X11_COST_SPECIALIST_INTL_EUR_YR</f>
        <v>40000</v>
      </c>
    </row>
    <row r="92" customFormat="false" ht="15" hidden="false" customHeight="true" outlineLevel="0" collapsed="false">
      <c r="B92" s="36" t="s">
        <v>461</v>
      </c>
      <c r="C92" s="12" t="s">
        <v>60</v>
      </c>
      <c r="D92" s="37" t="n">
        <f aca="false">SUM(E92:L92)</f>
        <v>1080</v>
      </c>
      <c r="E92" s="37" t="n">
        <f aca="false">ASM_X12_PHASE_A_TOTAL_BEDS</f>
        <v>135</v>
      </c>
      <c r="F92" s="37" t="n">
        <f aca="false">ASM_X12_PHASE_A_TOTAL_BEDS</f>
        <v>135</v>
      </c>
      <c r="G92" s="37" t="n">
        <f aca="false">ASM_X12_PHASE_A_TOTAL_BEDS</f>
        <v>135</v>
      </c>
      <c r="H92" s="37" t="n">
        <f aca="false">ASM_X12_PHASE_A_TOTAL_BEDS</f>
        <v>135</v>
      </c>
      <c r="I92" s="37" t="n">
        <f aca="false">ASM_X12_PHASE_A_TOTAL_BEDS</f>
        <v>135</v>
      </c>
      <c r="J92" s="37" t="n">
        <f aca="false">ASM_X12_PHASE_A_TOTAL_BEDS</f>
        <v>135</v>
      </c>
      <c r="K92" s="37" t="n">
        <f aca="false">ASM_X12_PHASE_A_TOTAL_BEDS</f>
        <v>135</v>
      </c>
      <c r="L92" s="37" t="n">
        <f aca="false">ASM_X12_PHASE_A_TOTAL_BEDS</f>
        <v>135</v>
      </c>
    </row>
    <row r="93" customFormat="false" ht="15" hidden="false" customHeight="true" outlineLevel="0" collapsed="false">
      <c r="B93" s="36" t="s">
        <v>462</v>
      </c>
      <c r="C93" s="12" t="s">
        <v>46</v>
      </c>
      <c r="D93" s="37" t="n">
        <f aca="false">SUM(E93:L93)</f>
        <v>1080</v>
      </c>
      <c r="E93" s="37" t="n">
        <f aca="false">ASM_X13_PHASE_A_RESIDENTS</f>
        <v>135</v>
      </c>
      <c r="F93" s="37" t="n">
        <f aca="false">ASM_X13_PHASE_A_RESIDENTS</f>
        <v>135</v>
      </c>
      <c r="G93" s="37" t="n">
        <f aca="false">ASM_X13_PHASE_A_RESIDENTS</f>
        <v>135</v>
      </c>
      <c r="H93" s="37" t="n">
        <f aca="false">ASM_X13_PHASE_A_RESIDENTS</f>
        <v>135</v>
      </c>
      <c r="I93" s="37" t="n">
        <f aca="false">ASM_X13_PHASE_A_RESIDENTS</f>
        <v>135</v>
      </c>
      <c r="J93" s="37" t="n">
        <f aca="false">ASM_X13_PHASE_A_RESIDENTS</f>
        <v>135</v>
      </c>
      <c r="K93" s="37" t="n">
        <f aca="false">ASM_X13_PHASE_A_RESIDENTS</f>
        <v>135</v>
      </c>
      <c r="L93" s="37" t="n">
        <f aca="false">ASM_X13_PHASE_A_RESIDENTS</f>
        <v>135</v>
      </c>
    </row>
    <row r="94" customFormat="false" ht="15" hidden="false" customHeight="true" outlineLevel="0" collapsed="false">
      <c r="B94" s="36" t="s">
        <v>463</v>
      </c>
      <c r="C94" s="12" t="s">
        <v>181</v>
      </c>
      <c r="D94" s="11" t="n">
        <f aca="false">SUM(E94:L94)</f>
        <v>17600</v>
      </c>
      <c r="E94" s="11" t="n">
        <f aca="false">ASM_F03_COST_PER_TRAINEE_BED_EUR</f>
        <v>2200</v>
      </c>
      <c r="F94" s="11" t="n">
        <f aca="false">ASM_F03_COST_PER_TRAINEE_BED_EUR</f>
        <v>2200</v>
      </c>
      <c r="G94" s="11" t="n">
        <f aca="false">ASM_F03_COST_PER_TRAINEE_BED_EUR</f>
        <v>2200</v>
      </c>
      <c r="H94" s="11" t="n">
        <f aca="false">ASM_F03_COST_PER_TRAINEE_BED_EUR</f>
        <v>2200</v>
      </c>
      <c r="I94" s="11" t="n">
        <f aca="false">ASM_F03_COST_PER_TRAINEE_BED_EUR</f>
        <v>2200</v>
      </c>
      <c r="J94" s="11" t="n">
        <f aca="false">ASM_F03_COST_PER_TRAINEE_BED_EUR</f>
        <v>2200</v>
      </c>
      <c r="K94" s="11" t="n">
        <f aca="false">ASM_F03_COST_PER_TRAINEE_BED_EUR</f>
        <v>2200</v>
      </c>
      <c r="L94" s="11" t="n">
        <f aca="false">ASM_F03_COST_PER_TRAINEE_BED_EUR</f>
        <v>2200</v>
      </c>
    </row>
    <row r="95" customFormat="false" ht="15" hidden="false" customHeight="true" outlineLevel="0" collapsed="false">
      <c r="B95" s="36" t="s">
        <v>464</v>
      </c>
      <c r="C95" s="12" t="s">
        <v>324</v>
      </c>
      <c r="D95" s="11" t="n">
        <f aca="false">SUM(E95:L95)</f>
        <v>128000</v>
      </c>
      <c r="E95" s="11" t="n">
        <f aca="false">ASM_F04_COST_REFECTOIRE_PER_FARM_EUR</f>
        <v>16000</v>
      </c>
      <c r="F95" s="11" t="n">
        <f aca="false">ASM_F04_COST_REFECTOIRE_PER_FARM_EUR</f>
        <v>16000</v>
      </c>
      <c r="G95" s="11" t="n">
        <f aca="false">ASM_F04_COST_REFECTOIRE_PER_FARM_EUR</f>
        <v>16000</v>
      </c>
      <c r="H95" s="11" t="n">
        <f aca="false">ASM_F04_COST_REFECTOIRE_PER_FARM_EUR</f>
        <v>16000</v>
      </c>
      <c r="I95" s="11" t="n">
        <f aca="false">ASM_F04_COST_REFECTOIRE_PER_FARM_EUR</f>
        <v>16000</v>
      </c>
      <c r="J95" s="11" t="n">
        <f aca="false">ASM_F04_COST_REFECTOIRE_PER_FARM_EUR</f>
        <v>16000</v>
      </c>
      <c r="K95" s="11" t="n">
        <f aca="false">ASM_F04_COST_REFECTOIRE_PER_FARM_EUR</f>
        <v>16000</v>
      </c>
      <c r="L95" s="11" t="n">
        <f aca="false">ASM_F04_COST_REFECTOIRE_PER_FARM_EUR</f>
        <v>16000</v>
      </c>
    </row>
    <row r="96" customFormat="false" ht="15" hidden="false" customHeight="true" outlineLevel="0" collapsed="false">
      <c r="B96" s="36" t="s">
        <v>465</v>
      </c>
      <c r="C96" s="12" t="s">
        <v>63</v>
      </c>
      <c r="D96" s="39" t="n">
        <f aca="false">SUM(E96:L96)</f>
        <v>1.2</v>
      </c>
      <c r="E96" s="39" t="n">
        <f aca="false">ASM_F05_PCT_RESIDENTS_FAMILY_HOUSING</f>
        <v>0.15</v>
      </c>
      <c r="F96" s="39" t="n">
        <f aca="false">ASM_F05_PCT_RESIDENTS_FAMILY_HOUSING</f>
        <v>0.15</v>
      </c>
      <c r="G96" s="39" t="n">
        <f aca="false">ASM_F05_PCT_RESIDENTS_FAMILY_HOUSING</f>
        <v>0.15</v>
      </c>
      <c r="H96" s="39" t="n">
        <f aca="false">ASM_F05_PCT_RESIDENTS_FAMILY_HOUSING</f>
        <v>0.15</v>
      </c>
      <c r="I96" s="39" t="n">
        <f aca="false">ASM_F05_PCT_RESIDENTS_FAMILY_HOUSING</f>
        <v>0.15</v>
      </c>
      <c r="J96" s="39" t="n">
        <f aca="false">ASM_F05_PCT_RESIDENTS_FAMILY_HOUSING</f>
        <v>0.15</v>
      </c>
      <c r="K96" s="39" t="n">
        <f aca="false">ASM_F05_PCT_RESIDENTS_FAMILY_HOUSING</f>
        <v>0.15</v>
      </c>
      <c r="L96" s="39" t="n">
        <f aca="false">ASM_F05_PCT_RESIDENTS_FAMILY_HOUSING</f>
        <v>0.15</v>
      </c>
    </row>
    <row r="97" customFormat="false" ht="15" hidden="false" customHeight="true" outlineLevel="0" collapsed="false">
      <c r="B97" s="36" t="s">
        <v>466</v>
      </c>
      <c r="C97" s="12" t="s">
        <v>187</v>
      </c>
      <c r="D97" s="11" t="n">
        <f aca="false">SUM(E97:L97)</f>
        <v>16000</v>
      </c>
      <c r="E97" s="11" t="n">
        <f aca="false">ASM_F07_COST_PER_FAMILY_UNIT_EUR</f>
        <v>2000</v>
      </c>
      <c r="F97" s="11" t="n">
        <f aca="false">ASM_F07_COST_PER_FAMILY_UNIT_EUR</f>
        <v>2000</v>
      </c>
      <c r="G97" s="11" t="n">
        <f aca="false">ASM_F07_COST_PER_FAMILY_UNIT_EUR</f>
        <v>2000</v>
      </c>
      <c r="H97" s="11" t="n">
        <f aca="false">ASM_F07_COST_PER_FAMILY_UNIT_EUR</f>
        <v>2000</v>
      </c>
      <c r="I97" s="11" t="n">
        <f aca="false">ASM_F07_COST_PER_FAMILY_UNIT_EUR</f>
        <v>2000</v>
      </c>
      <c r="J97" s="11" t="n">
        <f aca="false">ASM_F07_COST_PER_FAMILY_UNIT_EUR</f>
        <v>2000</v>
      </c>
      <c r="K97" s="11" t="n">
        <f aca="false">ASM_F07_COST_PER_FAMILY_UNIT_EUR</f>
        <v>2000</v>
      </c>
      <c r="L97" s="11" t="n">
        <f aca="false">ASM_F07_COST_PER_FAMILY_UNIT_EUR</f>
        <v>2000</v>
      </c>
    </row>
    <row r="98" customFormat="false" ht="15" hidden="false" customHeight="true" outlineLevel="0" collapsed="false">
      <c r="B98" s="36" t="s">
        <v>467</v>
      </c>
      <c r="C98" s="12" t="s">
        <v>136</v>
      </c>
      <c r="D98" s="11" t="n">
        <f aca="false">SUM(E98:L98)</f>
        <v>1760000</v>
      </c>
      <c r="E98" s="11" t="n">
        <f aca="false">ASM_G01_COST_CURRICULUM_SETUP_EUR</f>
        <v>220000</v>
      </c>
      <c r="F98" s="11" t="n">
        <f aca="false">ASM_G01_COST_CURRICULUM_SETUP_EUR</f>
        <v>220000</v>
      </c>
      <c r="G98" s="11" t="n">
        <f aca="false">ASM_G01_COST_CURRICULUM_SETUP_EUR</f>
        <v>220000</v>
      </c>
      <c r="H98" s="11" t="n">
        <f aca="false">ASM_G01_COST_CURRICULUM_SETUP_EUR</f>
        <v>220000</v>
      </c>
      <c r="I98" s="11" t="n">
        <f aca="false">ASM_G01_COST_CURRICULUM_SETUP_EUR</f>
        <v>220000</v>
      </c>
      <c r="J98" s="11" t="n">
        <f aca="false">ASM_G01_COST_CURRICULUM_SETUP_EUR</f>
        <v>220000</v>
      </c>
      <c r="K98" s="11" t="n">
        <f aca="false">ASM_G01_COST_CURRICULUM_SETUP_EUR</f>
        <v>220000</v>
      </c>
      <c r="L98" s="11" t="n">
        <f aca="false">ASM_G01_COST_CURRICULUM_SETUP_EUR</f>
        <v>220000</v>
      </c>
    </row>
    <row r="99" customFormat="false" ht="15" hidden="false" customHeight="true" outlineLevel="0" collapsed="false">
      <c r="B99" s="36" t="s">
        <v>468</v>
      </c>
      <c r="C99" s="12" t="s">
        <v>324</v>
      </c>
      <c r="D99" s="11" t="n">
        <f aca="false">SUM(E99:L99)</f>
        <v>360000</v>
      </c>
      <c r="E99" s="11" t="n">
        <f aca="false">ASM_G02_COST_PEDAGOGICAL_EQUIP_PER_FARM_EUR</f>
        <v>45000</v>
      </c>
      <c r="F99" s="11" t="n">
        <f aca="false">ASM_G02_COST_PEDAGOGICAL_EQUIP_PER_FARM_EUR</f>
        <v>45000</v>
      </c>
      <c r="G99" s="11" t="n">
        <f aca="false">ASM_G02_COST_PEDAGOGICAL_EQUIP_PER_FARM_EUR</f>
        <v>45000</v>
      </c>
      <c r="H99" s="11" t="n">
        <f aca="false">ASM_G02_COST_PEDAGOGICAL_EQUIP_PER_FARM_EUR</f>
        <v>45000</v>
      </c>
      <c r="I99" s="11" t="n">
        <f aca="false">ASM_G02_COST_PEDAGOGICAL_EQUIP_PER_FARM_EUR</f>
        <v>45000</v>
      </c>
      <c r="J99" s="11" t="n">
        <f aca="false">ASM_G02_COST_PEDAGOGICAL_EQUIP_PER_FARM_EUR</f>
        <v>45000</v>
      </c>
      <c r="K99" s="11" t="n">
        <f aca="false">ASM_G02_COST_PEDAGOGICAL_EQUIP_PER_FARM_EUR</f>
        <v>45000</v>
      </c>
      <c r="L99" s="11" t="n">
        <f aca="false">ASM_G02_COST_PEDAGOGICAL_EQUIP_PER_FARM_EUR</f>
        <v>45000</v>
      </c>
    </row>
    <row r="100" customFormat="false" ht="15" hidden="false" customHeight="true" outlineLevel="0" collapsed="false">
      <c r="B100" s="36" t="s">
        <v>469</v>
      </c>
      <c r="C100" s="12" t="s">
        <v>80</v>
      </c>
      <c r="D100" s="37" t="n">
        <f aca="false">SUM(E100:L100)</f>
        <v>16</v>
      </c>
      <c r="E100" s="37" t="n">
        <f aca="false">ASM_G03_N_FILIERE_CURRICULA</f>
        <v>2</v>
      </c>
      <c r="F100" s="37" t="n">
        <f aca="false">ASM_G03_N_FILIERE_CURRICULA</f>
        <v>2</v>
      </c>
      <c r="G100" s="37" t="n">
        <f aca="false">ASM_G03_N_FILIERE_CURRICULA</f>
        <v>2</v>
      </c>
      <c r="H100" s="37" t="n">
        <f aca="false">ASM_G03_N_FILIERE_CURRICULA</f>
        <v>2</v>
      </c>
      <c r="I100" s="37" t="n">
        <f aca="false">ASM_G03_N_FILIERE_CURRICULA</f>
        <v>2</v>
      </c>
      <c r="J100" s="37" t="n">
        <f aca="false">ASM_G03_N_FILIERE_CURRICULA</f>
        <v>2</v>
      </c>
      <c r="K100" s="37" t="n">
        <f aca="false">ASM_G03_N_FILIERE_CURRICULA</f>
        <v>2</v>
      </c>
      <c r="L100" s="37" t="n">
        <f aca="false">ASM_G03_N_FILIERE_CURRICULA</f>
        <v>2</v>
      </c>
    </row>
    <row r="101" customFormat="false" ht="15" hidden="false" customHeight="true" outlineLevel="0" collapsed="false">
      <c r="B101" s="36" t="s">
        <v>470</v>
      </c>
      <c r="C101" s="12" t="s">
        <v>471</v>
      </c>
      <c r="D101" s="11" t="n">
        <f aca="false">SUM(E101:L101)</f>
        <v>200000</v>
      </c>
      <c r="E101" s="11" t="n">
        <f aca="false">ASM_G04_COST_CURRICULUM_PER_FILIERE_EUR</f>
        <v>25000</v>
      </c>
      <c r="F101" s="11" t="n">
        <f aca="false">ASM_G04_COST_CURRICULUM_PER_FILIERE_EUR</f>
        <v>25000</v>
      </c>
      <c r="G101" s="11" t="n">
        <f aca="false">ASM_G04_COST_CURRICULUM_PER_FILIERE_EUR</f>
        <v>25000</v>
      </c>
      <c r="H101" s="11" t="n">
        <f aca="false">ASM_G04_COST_CURRICULUM_PER_FILIERE_EUR</f>
        <v>25000</v>
      </c>
      <c r="I101" s="11" t="n">
        <f aca="false">ASM_G04_COST_CURRICULUM_PER_FILIERE_EUR</f>
        <v>25000</v>
      </c>
      <c r="J101" s="11" t="n">
        <f aca="false">ASM_G04_COST_CURRICULUM_PER_FILIERE_EUR</f>
        <v>25000</v>
      </c>
      <c r="K101" s="11" t="n">
        <f aca="false">ASM_G04_COST_CURRICULUM_PER_FILIERE_EUR</f>
        <v>25000</v>
      </c>
      <c r="L101" s="11" t="n">
        <f aca="false">ASM_G04_COST_CURRICULUM_PER_FILIERE_EUR</f>
        <v>25000</v>
      </c>
    </row>
    <row r="102" customFormat="false" ht="15" hidden="false" customHeight="true" outlineLevel="0" collapsed="false">
      <c r="B102" s="36" t="s">
        <v>472</v>
      </c>
      <c r="C102" s="12" t="s">
        <v>136</v>
      </c>
      <c r="D102" s="11" t="n">
        <f aca="false">SUM(E102:L102)</f>
        <v>0</v>
      </c>
      <c r="E102" s="11" t="n">
        <f aca="false">ASM_H01_COST_CERTIFICATION_SETUP_EUR</f>
        <v>0</v>
      </c>
      <c r="F102" s="11" t="n">
        <f aca="false">ASM_H01_COST_CERTIFICATION_SETUP_EUR</f>
        <v>0</v>
      </c>
      <c r="G102" s="11" t="n">
        <f aca="false">ASM_H01_COST_CERTIFICATION_SETUP_EUR</f>
        <v>0</v>
      </c>
      <c r="H102" s="11" t="n">
        <f aca="false">ASM_H01_COST_CERTIFICATION_SETUP_EUR</f>
        <v>0</v>
      </c>
      <c r="I102" s="11" t="n">
        <f aca="false">ASM_H01_COST_CERTIFICATION_SETUP_EUR</f>
        <v>0</v>
      </c>
      <c r="J102" s="11" t="n">
        <f aca="false">ASM_H01_COST_CERTIFICATION_SETUP_EUR</f>
        <v>0</v>
      </c>
      <c r="K102" s="11" t="n">
        <f aca="false">ASM_H01_COST_CERTIFICATION_SETUP_EUR</f>
        <v>0</v>
      </c>
      <c r="L102" s="11" t="n">
        <f aca="false">ASM_H01_COST_CERTIFICATION_SETUP_EUR</f>
        <v>0</v>
      </c>
    </row>
    <row r="103" customFormat="false" ht="15" hidden="false" customHeight="true" outlineLevel="0" collapsed="false">
      <c r="B103" s="36" t="s">
        <v>473</v>
      </c>
      <c r="C103" s="12" t="s">
        <v>136</v>
      </c>
      <c r="D103" s="11" t="n">
        <f aca="false">SUM(E103:L103)</f>
        <v>480000</v>
      </c>
      <c r="E103" s="11" t="n">
        <f aca="false">ASM_H02_COST_MONITORING_EQUIP_EUR</f>
        <v>60000</v>
      </c>
      <c r="F103" s="11" t="n">
        <f aca="false">ASM_H02_COST_MONITORING_EQUIP_EUR</f>
        <v>60000</v>
      </c>
      <c r="G103" s="11" t="n">
        <f aca="false">ASM_H02_COST_MONITORING_EQUIP_EUR</f>
        <v>60000</v>
      </c>
      <c r="H103" s="11" t="n">
        <f aca="false">ASM_H02_COST_MONITORING_EQUIP_EUR</f>
        <v>60000</v>
      </c>
      <c r="I103" s="11" t="n">
        <f aca="false">ASM_H02_COST_MONITORING_EQUIP_EUR</f>
        <v>60000</v>
      </c>
      <c r="J103" s="11" t="n">
        <f aca="false">ASM_H02_COST_MONITORING_EQUIP_EUR</f>
        <v>60000</v>
      </c>
      <c r="K103" s="11" t="n">
        <f aca="false">ASM_H02_COST_MONITORING_EQUIP_EUR</f>
        <v>60000</v>
      </c>
      <c r="L103" s="11" t="n">
        <f aca="false">ASM_H02_COST_MONITORING_EQUIP_EUR</f>
        <v>60000</v>
      </c>
    </row>
    <row r="104" customFormat="false" ht="15" hidden="false" customHeight="true" outlineLevel="0" collapsed="false">
      <c r="B104" s="36" t="s">
        <v>474</v>
      </c>
      <c r="C104" s="12" t="s">
        <v>58</v>
      </c>
      <c r="D104" s="11" t="n">
        <f aca="false">SUM(E104:L104)</f>
        <v>320000</v>
      </c>
      <c r="E104" s="11" t="n">
        <f aca="false">ASM_H03_COST_COORDINATOR_YEAR_EUR</f>
        <v>40000</v>
      </c>
      <c r="F104" s="11" t="n">
        <f aca="false">ASM_H03_COST_COORDINATOR_YEAR_EUR</f>
        <v>40000</v>
      </c>
      <c r="G104" s="11" t="n">
        <f aca="false">ASM_H03_COST_COORDINATOR_YEAR_EUR</f>
        <v>40000</v>
      </c>
      <c r="H104" s="11" t="n">
        <f aca="false">ASM_H03_COST_COORDINATOR_YEAR_EUR</f>
        <v>40000</v>
      </c>
      <c r="I104" s="11" t="n">
        <f aca="false">ASM_H03_COST_COORDINATOR_YEAR_EUR</f>
        <v>40000</v>
      </c>
      <c r="J104" s="11" t="n">
        <f aca="false">ASM_H03_COST_COORDINATOR_YEAR_EUR</f>
        <v>40000</v>
      </c>
      <c r="K104" s="11" t="n">
        <f aca="false">ASM_H03_COST_COORDINATOR_YEAR_EUR</f>
        <v>40000</v>
      </c>
      <c r="L104" s="11" t="n">
        <f aca="false">ASM_H03_COST_COORDINATOR_YEAR_EUR</f>
        <v>40000</v>
      </c>
    </row>
    <row r="105" customFormat="false" ht="15" hidden="false" customHeight="true" outlineLevel="0" collapsed="false">
      <c r="B105" s="36" t="s">
        <v>475</v>
      </c>
      <c r="C105" s="12" t="s">
        <v>84</v>
      </c>
      <c r="D105" s="37" t="n">
        <f aca="false">SUM(E105:L105)</f>
        <v>16</v>
      </c>
      <c r="E105" s="37" t="n">
        <f aca="false">ASM_H04_N_YEARS_MONITORING</f>
        <v>2</v>
      </c>
      <c r="F105" s="37" t="n">
        <f aca="false">ASM_H04_N_YEARS_MONITORING</f>
        <v>2</v>
      </c>
      <c r="G105" s="37" t="n">
        <f aca="false">ASM_H04_N_YEARS_MONITORING</f>
        <v>2</v>
      </c>
      <c r="H105" s="37" t="n">
        <f aca="false">ASM_H04_N_YEARS_MONITORING</f>
        <v>2</v>
      </c>
      <c r="I105" s="37" t="n">
        <f aca="false">ASM_H04_N_YEARS_MONITORING</f>
        <v>2</v>
      </c>
      <c r="J105" s="37" t="n">
        <f aca="false">ASM_H04_N_YEARS_MONITORING</f>
        <v>2</v>
      </c>
      <c r="K105" s="37" t="n">
        <f aca="false">ASM_H04_N_YEARS_MONITORING</f>
        <v>2</v>
      </c>
      <c r="L105" s="37" t="n">
        <f aca="false">ASM_H04_N_YEARS_MONITORING</f>
        <v>2</v>
      </c>
    </row>
    <row r="106" customFormat="false" ht="15" hidden="false" customHeight="true" outlineLevel="0" collapsed="false">
      <c r="B106" s="36" t="s">
        <v>476</v>
      </c>
      <c r="C106" s="12" t="s">
        <v>136</v>
      </c>
      <c r="D106" s="11" t="n">
        <f aca="false">SUM(E106:L106)</f>
        <v>160000</v>
      </c>
      <c r="E106" s="11" t="n">
        <f aca="false">ASM_H05_COST_COMMS_MATERIALS_EUR</f>
        <v>20000</v>
      </c>
      <c r="F106" s="11" t="n">
        <f aca="false">ASM_H05_COST_COMMS_MATERIALS_EUR</f>
        <v>20000</v>
      </c>
      <c r="G106" s="11" t="n">
        <f aca="false">ASM_H05_COST_COMMS_MATERIALS_EUR</f>
        <v>20000</v>
      </c>
      <c r="H106" s="11" t="n">
        <f aca="false">ASM_H05_COST_COMMS_MATERIALS_EUR</f>
        <v>20000</v>
      </c>
      <c r="I106" s="11" t="n">
        <f aca="false">ASM_H05_COST_COMMS_MATERIALS_EUR</f>
        <v>20000</v>
      </c>
      <c r="J106" s="11" t="n">
        <f aca="false">ASM_H05_COST_COMMS_MATERIALS_EUR</f>
        <v>20000</v>
      </c>
      <c r="K106" s="11" t="n">
        <f aca="false">ASM_H05_COST_COMMS_MATERIALS_EUR</f>
        <v>20000</v>
      </c>
      <c r="L106" s="11" t="n">
        <f aca="false">ASM_H05_COST_COMMS_MATERIALS_EUR</f>
        <v>20000</v>
      </c>
    </row>
    <row r="107" customFormat="false" ht="15" hidden="false" customHeight="true" outlineLevel="0" collapsed="false">
      <c r="B107" s="36" t="s">
        <v>477</v>
      </c>
      <c r="C107" s="12" t="s">
        <v>58</v>
      </c>
      <c r="D107" s="11" t="n">
        <f aca="false">SUM(E107:L107)</f>
        <v>120000</v>
      </c>
      <c r="E107" s="11" t="n">
        <f aca="false">ASM_H06_COST_COMMS_OFFICER_YEAR_EUR</f>
        <v>15000</v>
      </c>
      <c r="F107" s="11" t="n">
        <f aca="false">ASM_H06_COST_COMMS_OFFICER_YEAR_EUR</f>
        <v>15000</v>
      </c>
      <c r="G107" s="11" t="n">
        <f aca="false">ASM_H06_COST_COMMS_OFFICER_YEAR_EUR</f>
        <v>15000</v>
      </c>
      <c r="H107" s="11" t="n">
        <f aca="false">ASM_H06_COST_COMMS_OFFICER_YEAR_EUR</f>
        <v>15000</v>
      </c>
      <c r="I107" s="11" t="n">
        <f aca="false">ASM_H06_COST_COMMS_OFFICER_YEAR_EUR</f>
        <v>15000</v>
      </c>
      <c r="J107" s="11" t="n">
        <f aca="false">ASM_H06_COST_COMMS_OFFICER_YEAR_EUR</f>
        <v>15000</v>
      </c>
      <c r="K107" s="11" t="n">
        <f aca="false">ASM_H06_COST_COMMS_OFFICER_YEAR_EUR</f>
        <v>15000</v>
      </c>
      <c r="L107" s="11" t="n">
        <f aca="false">ASM_H06_COST_COMMS_OFFICER_YEAR_EUR</f>
        <v>15000</v>
      </c>
    </row>
    <row r="108" customFormat="false" ht="15" hidden="false" customHeight="true" outlineLevel="0" collapsed="false">
      <c r="B108" s="36" t="s">
        <v>478</v>
      </c>
      <c r="C108" s="12" t="s">
        <v>84</v>
      </c>
      <c r="D108" s="37" t="n">
        <f aca="false">SUM(E108:L108)</f>
        <v>16</v>
      </c>
      <c r="E108" s="37" t="n">
        <f aca="false">ASM_H07_N_YEARS_O3</f>
        <v>2</v>
      </c>
      <c r="F108" s="37" t="n">
        <f aca="false">ASM_H07_N_YEARS_O3</f>
        <v>2</v>
      </c>
      <c r="G108" s="37" t="n">
        <f aca="false">ASM_H07_N_YEARS_O3</f>
        <v>2</v>
      </c>
      <c r="H108" s="37" t="n">
        <f aca="false">ASM_H07_N_YEARS_O3</f>
        <v>2</v>
      </c>
      <c r="I108" s="37" t="n">
        <f aca="false">ASM_H07_N_YEARS_O3</f>
        <v>2</v>
      </c>
      <c r="J108" s="37" t="n">
        <f aca="false">ASM_H07_N_YEARS_O3</f>
        <v>2</v>
      </c>
      <c r="K108" s="37" t="n">
        <f aca="false">ASM_H07_N_YEARS_O3</f>
        <v>2</v>
      </c>
      <c r="L108" s="37" t="n">
        <f aca="false">ASM_H07_N_YEARS_O3</f>
        <v>2</v>
      </c>
    </row>
    <row r="109" customFormat="false" ht="15" hidden="false" customHeight="true" outlineLevel="0" collapsed="false"/>
    <row r="110" customFormat="false" ht="15" hidden="false" customHeight="true" outlineLevel="0" collapsed="false">
      <c r="B110" s="34" t="s">
        <v>479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</row>
    <row r="111" customFormat="false" ht="15" hidden="false" customHeight="true" outlineLevel="0" collapsed="false">
      <c r="B111" s="40" t="s">
        <v>480</v>
      </c>
      <c r="C111" s="12" t="s">
        <v>98</v>
      </c>
      <c r="D111" s="20" t="n">
        <f aca="false">SUM(E111:L111)</f>
        <v>2160</v>
      </c>
      <c r="E111" s="20" t="n">
        <f aca="false">E$65*E$66</f>
        <v>270</v>
      </c>
      <c r="F111" s="20" t="n">
        <f aca="false">F$65*F$66</f>
        <v>270</v>
      </c>
      <c r="G111" s="20" t="n">
        <f aca="false">G$65*G$66</f>
        <v>270</v>
      </c>
      <c r="H111" s="20" t="n">
        <f aca="false">H$65*H$66</f>
        <v>270</v>
      </c>
      <c r="I111" s="20" t="n">
        <f aca="false">I$65*I$66</f>
        <v>270</v>
      </c>
      <c r="J111" s="20" t="n">
        <f aca="false">J$65*J$66</f>
        <v>270</v>
      </c>
      <c r="K111" s="20" t="n">
        <f aca="false">K$65*K$66</f>
        <v>270</v>
      </c>
      <c r="L111" s="20" t="n">
        <f aca="false">L$65*L$66</f>
        <v>270</v>
      </c>
    </row>
    <row r="112" customFormat="false" ht="15" hidden="false" customHeight="true" outlineLevel="0" collapsed="false">
      <c r="B112" s="40" t="s">
        <v>481</v>
      </c>
      <c r="C112" s="12" t="s">
        <v>46</v>
      </c>
      <c r="D112" s="20" t="n">
        <f aca="false">SUM(E112:L112)</f>
        <v>416</v>
      </c>
      <c r="E112" s="20" t="n">
        <f aca="false">E$68+E$69+E$70+E$71</f>
        <v>52</v>
      </c>
      <c r="F112" s="20" t="n">
        <f aca="false">F$68+F$69+F$70+F$71</f>
        <v>52</v>
      </c>
      <c r="G112" s="20" t="n">
        <f aca="false">G$68+G$69+G$70+G$71</f>
        <v>52</v>
      </c>
      <c r="H112" s="20" t="n">
        <f aca="false">H$68+H$69+H$70+H$71</f>
        <v>52</v>
      </c>
      <c r="I112" s="20" t="n">
        <f aca="false">I$68+I$69+I$70+I$71</f>
        <v>52</v>
      </c>
      <c r="J112" s="20" t="n">
        <f aca="false">J$68+J$69+J$70+J$71</f>
        <v>52</v>
      </c>
      <c r="K112" s="20" t="n">
        <f aca="false">K$68+K$69+K$70+K$71</f>
        <v>52</v>
      </c>
      <c r="L112" s="20" t="n">
        <f aca="false">L$68+L$69+L$70+L$71</f>
        <v>52</v>
      </c>
    </row>
    <row r="113" customFormat="false" ht="15" hidden="false" customHeight="true" outlineLevel="0" collapsed="false">
      <c r="B113" s="40" t="s">
        <v>482</v>
      </c>
      <c r="C113" s="12" t="s">
        <v>63</v>
      </c>
      <c r="D113" s="22" t="n">
        <f aca="false">SUM(E113:L113)</f>
        <v>6.15384615384615</v>
      </c>
      <c r="E113" s="22" t="n">
        <f aca="false">E$68/E$112</f>
        <v>0.769230769230769</v>
      </c>
      <c r="F113" s="22" t="n">
        <f aca="false">F$68/F$112</f>
        <v>0.769230769230769</v>
      </c>
      <c r="G113" s="22" t="n">
        <f aca="false">G$68/G$112</f>
        <v>0.769230769230769</v>
      </c>
      <c r="H113" s="22" t="n">
        <f aca="false">H$68/H$112</f>
        <v>0.769230769230769</v>
      </c>
      <c r="I113" s="22" t="n">
        <f aca="false">I$68/I$112</f>
        <v>0.769230769230769</v>
      </c>
      <c r="J113" s="22" t="n">
        <f aca="false">J$68/J$112</f>
        <v>0.769230769230769</v>
      </c>
      <c r="K113" s="22" t="n">
        <f aca="false">K$68/K$112</f>
        <v>0.769230769230769</v>
      </c>
      <c r="L113" s="22" t="n">
        <f aca="false">L$68/L$112</f>
        <v>0.769230769230769</v>
      </c>
    </row>
    <row r="114" customFormat="false" ht="15" hidden="false" customHeight="true" outlineLevel="0" collapsed="false">
      <c r="B114" s="40" t="s">
        <v>483</v>
      </c>
      <c r="C114" s="12" t="s">
        <v>63</v>
      </c>
      <c r="D114" s="22" t="n">
        <f aca="false">SUM(E114:L114)</f>
        <v>0.615384615384615</v>
      </c>
      <c r="E114" s="22" t="n">
        <f aca="false">E$69/E$112</f>
        <v>0.0769230769230769</v>
      </c>
      <c r="F114" s="22" t="n">
        <f aca="false">F$69/F$112</f>
        <v>0.0769230769230769</v>
      </c>
      <c r="G114" s="22" t="n">
        <f aca="false">G$69/G$112</f>
        <v>0.0769230769230769</v>
      </c>
      <c r="H114" s="22" t="n">
        <f aca="false">H$69/H$112</f>
        <v>0.0769230769230769</v>
      </c>
      <c r="I114" s="22" t="n">
        <f aca="false">I$69/I$112</f>
        <v>0.0769230769230769</v>
      </c>
      <c r="J114" s="22" t="n">
        <f aca="false">J$69/J$112</f>
        <v>0.0769230769230769</v>
      </c>
      <c r="K114" s="22" t="n">
        <f aca="false">K$69/K$112</f>
        <v>0.0769230769230769</v>
      </c>
      <c r="L114" s="22" t="n">
        <f aca="false">L$69/L$112</f>
        <v>0.0769230769230769</v>
      </c>
    </row>
    <row r="115" customFormat="false" ht="15" hidden="false" customHeight="true" outlineLevel="0" collapsed="false">
      <c r="B115" s="40" t="s">
        <v>484</v>
      </c>
      <c r="C115" s="12" t="s">
        <v>63</v>
      </c>
      <c r="D115" s="22" t="n">
        <f aca="false">SUM(E115:L115)</f>
        <v>0.307692307692308</v>
      </c>
      <c r="E115" s="22" t="n">
        <f aca="false">E$70/E$112</f>
        <v>0.0384615384615385</v>
      </c>
      <c r="F115" s="22" t="n">
        <f aca="false">F$70/F$112</f>
        <v>0.0384615384615385</v>
      </c>
      <c r="G115" s="22" t="n">
        <f aca="false">G$70/G$112</f>
        <v>0.0384615384615385</v>
      </c>
      <c r="H115" s="22" t="n">
        <f aca="false">H$70/H$112</f>
        <v>0.0384615384615385</v>
      </c>
      <c r="I115" s="22" t="n">
        <f aca="false">I$70/I$112</f>
        <v>0.0384615384615385</v>
      </c>
      <c r="J115" s="22" t="n">
        <f aca="false">J$70/J$112</f>
        <v>0.0384615384615385</v>
      </c>
      <c r="K115" s="22" t="n">
        <f aca="false">K$70/K$112</f>
        <v>0.0384615384615385</v>
      </c>
      <c r="L115" s="22" t="n">
        <f aca="false">L$70/L$112</f>
        <v>0.0384615384615385</v>
      </c>
    </row>
    <row r="116" customFormat="false" ht="15" hidden="false" customHeight="true" outlineLevel="0" collapsed="false">
      <c r="B116" s="40" t="s">
        <v>485</v>
      </c>
      <c r="C116" s="12" t="s">
        <v>63</v>
      </c>
      <c r="D116" s="22" t="n">
        <f aca="false">SUM(E116:L116)</f>
        <v>0.923076923076923</v>
      </c>
      <c r="E116" s="22" t="n">
        <f aca="false">E$71/E$112</f>
        <v>0.115384615384615</v>
      </c>
      <c r="F116" s="22" t="n">
        <f aca="false">F$71/F$112</f>
        <v>0.115384615384615</v>
      </c>
      <c r="G116" s="22" t="n">
        <f aca="false">G$71/G$112</f>
        <v>0.115384615384615</v>
      </c>
      <c r="H116" s="22" t="n">
        <f aca="false">H$71/H$112</f>
        <v>0.115384615384615</v>
      </c>
      <c r="I116" s="22" t="n">
        <f aca="false">I$71/I$112</f>
        <v>0.115384615384615</v>
      </c>
      <c r="J116" s="22" t="n">
        <f aca="false">J$71/J$112</f>
        <v>0.115384615384615</v>
      </c>
      <c r="K116" s="22" t="n">
        <f aca="false">K$71/K$112</f>
        <v>0.115384615384615</v>
      </c>
      <c r="L116" s="22" t="n">
        <f aca="false">L$71/L$112</f>
        <v>0.115384615384615</v>
      </c>
    </row>
    <row r="117" customFormat="false" ht="15" hidden="false" customHeight="true" outlineLevel="0" collapsed="false">
      <c r="B117" s="40" t="s">
        <v>486</v>
      </c>
      <c r="C117" s="12" t="s">
        <v>46</v>
      </c>
      <c r="D117" s="20" t="n">
        <f aca="false">SUM(E117:L117)</f>
        <v>3200</v>
      </c>
      <c r="E117" s="20" t="n">
        <f aca="false">E$68*E$72</f>
        <v>400</v>
      </c>
      <c r="F117" s="20" t="n">
        <f aca="false">F$68*F$72</f>
        <v>400</v>
      </c>
      <c r="G117" s="20" t="n">
        <f aca="false">G$68*G$72</f>
        <v>400</v>
      </c>
      <c r="H117" s="20" t="n">
        <f aca="false">H$68*H$72</f>
        <v>400</v>
      </c>
      <c r="I117" s="20" t="n">
        <f aca="false">I$68*I$72</f>
        <v>400</v>
      </c>
      <c r="J117" s="20" t="n">
        <f aca="false">J$68*J$72</f>
        <v>400</v>
      </c>
      <c r="K117" s="20" t="n">
        <f aca="false">K$68*K$72</f>
        <v>400</v>
      </c>
      <c r="L117" s="20" t="n">
        <f aca="false">L$68*L$72</f>
        <v>400</v>
      </c>
    </row>
    <row r="118" customFormat="false" ht="15" hidden="false" customHeight="true" outlineLevel="0" collapsed="false">
      <c r="B118" s="40" t="s">
        <v>487</v>
      </c>
      <c r="C118" s="12" t="s">
        <v>46</v>
      </c>
      <c r="D118" s="20" t="n">
        <f aca="false">SUM(E118:L118)</f>
        <v>960</v>
      </c>
      <c r="E118" s="20" t="n">
        <f aca="false">E$73</f>
        <v>120</v>
      </c>
      <c r="F118" s="20" t="n">
        <f aca="false">F$73</f>
        <v>120</v>
      </c>
      <c r="G118" s="20" t="n">
        <f aca="false">G$73</f>
        <v>120</v>
      </c>
      <c r="H118" s="20" t="n">
        <f aca="false">H$73</f>
        <v>120</v>
      </c>
      <c r="I118" s="20" t="n">
        <f aca="false">I$73</f>
        <v>120</v>
      </c>
      <c r="J118" s="20" t="n">
        <f aca="false">J$73</f>
        <v>120</v>
      </c>
      <c r="K118" s="20" t="n">
        <f aca="false">K$73</f>
        <v>120</v>
      </c>
      <c r="L118" s="20" t="n">
        <f aca="false">L$73</f>
        <v>120</v>
      </c>
    </row>
    <row r="119" customFormat="false" ht="15" hidden="false" customHeight="true" outlineLevel="0" collapsed="false">
      <c r="B119" s="40" t="s">
        <v>488</v>
      </c>
      <c r="C119" s="12" t="s">
        <v>46</v>
      </c>
      <c r="D119" s="20" t="n">
        <f aca="false">SUM(E119:L119)</f>
        <v>4160</v>
      </c>
      <c r="E119" s="20" t="n">
        <f aca="false">E$117+E$118</f>
        <v>520</v>
      </c>
      <c r="F119" s="20" t="n">
        <f aca="false">F$117+F$118</f>
        <v>520</v>
      </c>
      <c r="G119" s="20" t="n">
        <f aca="false">G$117+G$118</f>
        <v>520</v>
      </c>
      <c r="H119" s="20" t="n">
        <f aca="false">H$117+H$118</f>
        <v>520</v>
      </c>
      <c r="I119" s="20" t="n">
        <f aca="false">I$117+I$118</f>
        <v>520</v>
      </c>
      <c r="J119" s="20" t="n">
        <f aca="false">J$117+J$118</f>
        <v>520</v>
      </c>
      <c r="K119" s="20" t="n">
        <f aca="false">K$117+K$118</f>
        <v>520</v>
      </c>
      <c r="L119" s="20" t="n">
        <f aca="false">L$117+L$118</f>
        <v>520</v>
      </c>
    </row>
    <row r="120" customFormat="false" ht="15" hidden="false" customHeight="true" outlineLevel="0" collapsed="false">
      <c r="B120" s="40" t="s">
        <v>489</v>
      </c>
      <c r="C120" s="12" t="s">
        <v>46</v>
      </c>
      <c r="D120" s="20" t="n">
        <f aca="false">SUM(E120:L120)</f>
        <v>320</v>
      </c>
      <c r="E120" s="20" t="n">
        <f aca="false">E$69*E$72</f>
        <v>40</v>
      </c>
      <c r="F120" s="20" t="n">
        <f aca="false">F$69*F$72</f>
        <v>40</v>
      </c>
      <c r="G120" s="20" t="n">
        <f aca="false">G$69*G$72</f>
        <v>40</v>
      </c>
      <c r="H120" s="20" t="n">
        <f aca="false">H$69*H$72</f>
        <v>40</v>
      </c>
      <c r="I120" s="20" t="n">
        <f aca="false">I$69*I$72</f>
        <v>40</v>
      </c>
      <c r="J120" s="20" t="n">
        <f aca="false">J$69*J$72</f>
        <v>40</v>
      </c>
      <c r="K120" s="20" t="n">
        <f aca="false">K$69*K$72</f>
        <v>40</v>
      </c>
      <c r="L120" s="20" t="n">
        <f aca="false">L$69*L$72</f>
        <v>40</v>
      </c>
    </row>
    <row r="121" customFormat="false" ht="15" hidden="false" customHeight="true" outlineLevel="0" collapsed="false">
      <c r="B121" s="40" t="s">
        <v>490</v>
      </c>
      <c r="C121" s="12" t="s">
        <v>46</v>
      </c>
      <c r="D121" s="20" t="n">
        <f aca="false">SUM(E121:L121)</f>
        <v>160</v>
      </c>
      <c r="E121" s="20" t="n">
        <f aca="false">E$70*E$72</f>
        <v>20</v>
      </c>
      <c r="F121" s="20" t="n">
        <f aca="false">F$70*F$72</f>
        <v>20</v>
      </c>
      <c r="G121" s="20" t="n">
        <f aca="false">G$70*G$72</f>
        <v>20</v>
      </c>
      <c r="H121" s="20" t="n">
        <f aca="false">H$70*H$72</f>
        <v>20</v>
      </c>
      <c r="I121" s="20" t="n">
        <f aca="false">I$70*I$72</f>
        <v>20</v>
      </c>
      <c r="J121" s="20" t="n">
        <f aca="false">J$70*J$72</f>
        <v>20</v>
      </c>
      <c r="K121" s="20" t="n">
        <f aca="false">K$70*K$72</f>
        <v>20</v>
      </c>
      <c r="L121" s="20" t="n">
        <f aca="false">L$70*L$72</f>
        <v>20</v>
      </c>
    </row>
    <row r="122" customFormat="false" ht="15" hidden="false" customHeight="true" outlineLevel="0" collapsed="false">
      <c r="B122" s="40" t="s">
        <v>491</v>
      </c>
      <c r="C122" s="12" t="s">
        <v>46</v>
      </c>
      <c r="D122" s="20" t="n">
        <f aca="false">SUM(E122:L122)</f>
        <v>480</v>
      </c>
      <c r="E122" s="20" t="n">
        <f aca="false">E$71*E$72</f>
        <v>60</v>
      </c>
      <c r="F122" s="20" t="n">
        <f aca="false">F$71*F$72</f>
        <v>60</v>
      </c>
      <c r="G122" s="20" t="n">
        <f aca="false">G$71*G$72</f>
        <v>60</v>
      </c>
      <c r="H122" s="20" t="n">
        <f aca="false">H$71*H$72</f>
        <v>60</v>
      </c>
      <c r="I122" s="20" t="n">
        <f aca="false">I$71*I$72</f>
        <v>60</v>
      </c>
      <c r="J122" s="20" t="n">
        <f aca="false">J$71*J$72</f>
        <v>60</v>
      </c>
      <c r="K122" s="20" t="n">
        <f aca="false">K$71*K$72</f>
        <v>60</v>
      </c>
      <c r="L122" s="20" t="n">
        <f aca="false">L$71*L$72</f>
        <v>60</v>
      </c>
    </row>
    <row r="123" customFormat="false" ht="15" hidden="false" customHeight="true" outlineLevel="0" collapsed="false">
      <c r="B123" s="40" t="s">
        <v>492</v>
      </c>
      <c r="C123" s="12" t="s">
        <v>46</v>
      </c>
      <c r="D123" s="20" t="n">
        <f aca="false">SUM(E123:L123)</f>
        <v>5120</v>
      </c>
      <c r="E123" s="20" t="n">
        <f aca="false">E$119+E$120+E$121+E$122</f>
        <v>640</v>
      </c>
      <c r="F123" s="20" t="n">
        <f aca="false">F$119+F$120+F$121+F$122</f>
        <v>640</v>
      </c>
      <c r="G123" s="20" t="n">
        <f aca="false">G$119+G$120+G$121+G$122</f>
        <v>640</v>
      </c>
      <c r="H123" s="20" t="n">
        <f aca="false">H$119+H$120+H$121+H$122</f>
        <v>640</v>
      </c>
      <c r="I123" s="20" t="n">
        <f aca="false">I$119+I$120+I$121+I$122</f>
        <v>640</v>
      </c>
      <c r="J123" s="20" t="n">
        <f aca="false">J$119+J$120+J$121+J$122</f>
        <v>640</v>
      </c>
      <c r="K123" s="20" t="n">
        <f aca="false">K$119+K$120+K$121+K$122</f>
        <v>640</v>
      </c>
      <c r="L123" s="20" t="n">
        <f aca="false">L$119+L$120+L$121+L$122</f>
        <v>640</v>
      </c>
    </row>
    <row r="124" customFormat="false" ht="15" hidden="false" customHeight="true" outlineLevel="0" collapsed="false">
      <c r="B124" s="40" t="s">
        <v>493</v>
      </c>
      <c r="C124" s="12" t="s">
        <v>46</v>
      </c>
      <c r="D124" s="20" t="n">
        <f aca="false">SUM(E124:L124)</f>
        <v>128</v>
      </c>
      <c r="E124" s="20" t="n">
        <f aca="false">E$82+E$83</f>
        <v>16</v>
      </c>
      <c r="F124" s="20" t="n">
        <f aca="false">F$82+F$83</f>
        <v>16</v>
      </c>
      <c r="G124" s="20" t="n">
        <f aca="false">G$82+G$83</f>
        <v>16</v>
      </c>
      <c r="H124" s="20" t="n">
        <f aca="false">H$82+H$83</f>
        <v>16</v>
      </c>
      <c r="I124" s="20" t="n">
        <f aca="false">I$82+I$83</f>
        <v>16</v>
      </c>
      <c r="J124" s="20" t="n">
        <f aca="false">J$82+J$83</f>
        <v>16</v>
      </c>
      <c r="K124" s="20" t="n">
        <f aca="false">K$82+K$83</f>
        <v>16</v>
      </c>
      <c r="L124" s="20" t="n">
        <f aca="false">L$82+L$83</f>
        <v>16</v>
      </c>
    </row>
    <row r="125" customFormat="false" ht="15" hidden="false" customHeight="true" outlineLevel="0" collapsed="false">
      <c r="B125" s="40" t="s">
        <v>494</v>
      </c>
      <c r="C125" s="12" t="s">
        <v>136</v>
      </c>
      <c r="D125" s="30" t="n">
        <f aca="false">SUM(E125:L125)</f>
        <v>960000</v>
      </c>
      <c r="E125" s="30" t="n">
        <f aca="false">E$90*E$91*E$88</f>
        <v>120000</v>
      </c>
      <c r="F125" s="30" t="n">
        <f aca="false">F$90*F$91*F$88</f>
        <v>120000</v>
      </c>
      <c r="G125" s="30" t="n">
        <f aca="false">G$90*G$91*G$88</f>
        <v>120000</v>
      </c>
      <c r="H125" s="30" t="n">
        <f aca="false">H$90*H$91*H$88</f>
        <v>120000</v>
      </c>
      <c r="I125" s="30" t="n">
        <f aca="false">I$90*I$91*I$88</f>
        <v>120000</v>
      </c>
      <c r="J125" s="30" t="n">
        <f aca="false">J$90*J$91*J$88</f>
        <v>120000</v>
      </c>
      <c r="K125" s="30" t="n">
        <f aca="false">K$90*K$91*K$88</f>
        <v>120000</v>
      </c>
      <c r="L125" s="30" t="n">
        <f aca="false">L$90*L$91*L$88</f>
        <v>120000</v>
      </c>
    </row>
    <row r="126" customFormat="false" ht="15" hidden="false" customHeight="true" outlineLevel="0" collapsed="false">
      <c r="B126" s="40" t="s">
        <v>495</v>
      </c>
      <c r="C126" s="12" t="s">
        <v>60</v>
      </c>
      <c r="D126" s="20" t="n">
        <f aca="false">SUM(E126:L126)</f>
        <v>360</v>
      </c>
      <c r="E126" s="20" t="n">
        <f aca="false">E$92/E$65</f>
        <v>45</v>
      </c>
      <c r="F126" s="20" t="n">
        <f aca="false">F$92/F$65</f>
        <v>45</v>
      </c>
      <c r="G126" s="20" t="n">
        <f aca="false">G$92/G$65</f>
        <v>45</v>
      </c>
      <c r="H126" s="20" t="n">
        <f aca="false">H$92/H$65</f>
        <v>45</v>
      </c>
      <c r="I126" s="20" t="n">
        <f aca="false">I$92/I$65</f>
        <v>45</v>
      </c>
      <c r="J126" s="20" t="n">
        <f aca="false">J$92/J$65</f>
        <v>45</v>
      </c>
      <c r="K126" s="20" t="n">
        <f aca="false">K$92/K$65</f>
        <v>45</v>
      </c>
      <c r="L126" s="20" t="n">
        <f aca="false">L$92/L$65</f>
        <v>45</v>
      </c>
    </row>
    <row r="127" customFormat="false" ht="15" hidden="false" customHeight="true" outlineLevel="0" collapsed="false">
      <c r="B127" s="40" t="s">
        <v>496</v>
      </c>
      <c r="C127" s="12" t="s">
        <v>185</v>
      </c>
      <c r="D127" s="20" t="n">
        <f aca="false">SUM(E127:L127)</f>
        <v>160</v>
      </c>
      <c r="E127" s="20" t="n">
        <f aca="false">ROUND(E$93*E$96,0)</f>
        <v>20</v>
      </c>
      <c r="F127" s="20" t="n">
        <f aca="false">ROUND(F$93*F$96,0)</f>
        <v>20</v>
      </c>
      <c r="G127" s="20" t="n">
        <f aca="false">ROUND(G$93*G$96,0)</f>
        <v>20</v>
      </c>
      <c r="H127" s="20" t="n">
        <f aca="false">ROUND(H$93*H$96,0)</f>
        <v>20</v>
      </c>
      <c r="I127" s="20" t="n">
        <f aca="false">ROUND(I$93*I$96,0)</f>
        <v>20</v>
      </c>
      <c r="J127" s="20" t="n">
        <f aca="false">ROUND(J$93*J$96,0)</f>
        <v>20</v>
      </c>
      <c r="K127" s="20" t="n">
        <f aca="false">ROUND(K$93*K$96,0)</f>
        <v>20</v>
      </c>
      <c r="L127" s="20" t="n">
        <f aca="false">ROUND(L$93*L$96,0)</f>
        <v>20</v>
      </c>
    </row>
    <row r="128" customFormat="false" ht="15" hidden="false" customHeight="true" outlineLevel="0" collapsed="false">
      <c r="B128" s="40" t="s">
        <v>497</v>
      </c>
      <c r="C128" s="12" t="s">
        <v>55</v>
      </c>
      <c r="D128" s="20" t="n">
        <f aca="false">SUM(E128:L128)</f>
        <v>2400</v>
      </c>
      <c r="E128" s="20" t="n">
        <f aca="false">E$74*E$81</f>
        <v>300</v>
      </c>
      <c r="F128" s="20" t="n">
        <f aca="false">F$74*F$81</f>
        <v>300</v>
      </c>
      <c r="G128" s="20" t="n">
        <f aca="false">G$74*G$81</f>
        <v>300</v>
      </c>
      <c r="H128" s="20" t="n">
        <f aca="false">H$74*H$81</f>
        <v>300</v>
      </c>
      <c r="I128" s="20" t="n">
        <f aca="false">I$74*I$81</f>
        <v>300</v>
      </c>
      <c r="J128" s="20" t="n">
        <f aca="false">J$74*J$81</f>
        <v>300</v>
      </c>
      <c r="K128" s="20" t="n">
        <f aca="false">K$74*K$81</f>
        <v>300</v>
      </c>
      <c r="L128" s="20" t="n">
        <f aca="false">L$74*L$81</f>
        <v>300</v>
      </c>
    </row>
    <row r="129" customFormat="false" ht="15" hidden="false" customHeight="true" outlineLevel="0" collapsed="false">
      <c r="B129" s="40" t="s">
        <v>498</v>
      </c>
      <c r="C129" s="12" t="s">
        <v>55</v>
      </c>
      <c r="D129" s="20" t="n">
        <f aca="false">SUM(E129:L129)</f>
        <v>1800</v>
      </c>
      <c r="E129" s="20" t="n">
        <f aca="false">E$75*E$81</f>
        <v>225</v>
      </c>
      <c r="F129" s="20" t="n">
        <f aca="false">F$75*F$81</f>
        <v>225</v>
      </c>
      <c r="G129" s="20" t="n">
        <f aca="false">G$75*G$81</f>
        <v>225</v>
      </c>
      <c r="H129" s="20" t="n">
        <f aca="false">H$75*H$81</f>
        <v>225</v>
      </c>
      <c r="I129" s="20" t="n">
        <f aca="false">I$75*I$81</f>
        <v>225</v>
      </c>
      <c r="J129" s="20" t="n">
        <f aca="false">J$75*J$81</f>
        <v>225</v>
      </c>
      <c r="K129" s="20" t="n">
        <f aca="false">K$75*K$81</f>
        <v>225</v>
      </c>
      <c r="L129" s="20" t="n">
        <f aca="false">L$75*L$81</f>
        <v>225</v>
      </c>
    </row>
    <row r="130" customFormat="false" ht="15" hidden="false" customHeight="true" outlineLevel="0" collapsed="false">
      <c r="B130" s="40" t="s">
        <v>499</v>
      </c>
      <c r="C130" s="12" t="s">
        <v>55</v>
      </c>
      <c r="D130" s="20" t="n">
        <f aca="false">SUM(E130:L130)</f>
        <v>1800</v>
      </c>
      <c r="E130" s="20" t="n">
        <f aca="false">E$76*E$81</f>
        <v>225</v>
      </c>
      <c r="F130" s="20" t="n">
        <f aca="false">F$76*F$81</f>
        <v>225</v>
      </c>
      <c r="G130" s="20" t="n">
        <f aca="false">G$76*G$81</f>
        <v>225</v>
      </c>
      <c r="H130" s="20" t="n">
        <f aca="false">H$76*H$81</f>
        <v>225</v>
      </c>
      <c r="I130" s="20" t="n">
        <f aca="false">I$76*I$81</f>
        <v>225</v>
      </c>
      <c r="J130" s="20" t="n">
        <f aca="false">J$76*J$81</f>
        <v>225</v>
      </c>
      <c r="K130" s="20" t="n">
        <f aca="false">K$76*K$81</f>
        <v>225</v>
      </c>
      <c r="L130" s="20" t="n">
        <f aca="false">L$76*L$81</f>
        <v>225</v>
      </c>
    </row>
    <row r="131" customFormat="false" ht="15" hidden="false" customHeight="true" outlineLevel="0" collapsed="false">
      <c r="B131" s="40" t="s">
        <v>500</v>
      </c>
      <c r="C131" s="12" t="s">
        <v>55</v>
      </c>
      <c r="D131" s="20" t="n">
        <f aca="false">SUM(E131:L131)</f>
        <v>2400</v>
      </c>
      <c r="E131" s="20" t="n">
        <f aca="false">E$77*E$81</f>
        <v>300</v>
      </c>
      <c r="F131" s="20" t="n">
        <f aca="false">F$77*F$81</f>
        <v>300</v>
      </c>
      <c r="G131" s="20" t="n">
        <f aca="false">G$77*G$81</f>
        <v>300</v>
      </c>
      <c r="H131" s="20" t="n">
        <f aca="false">H$77*H$81</f>
        <v>300</v>
      </c>
      <c r="I131" s="20" t="n">
        <f aca="false">I$77*I$81</f>
        <v>300</v>
      </c>
      <c r="J131" s="20" t="n">
        <f aca="false">J$77*J$81</f>
        <v>300</v>
      </c>
      <c r="K131" s="20" t="n">
        <f aca="false">K$77*K$81</f>
        <v>300</v>
      </c>
      <c r="L131" s="20" t="n">
        <f aca="false">L$77*L$81</f>
        <v>300</v>
      </c>
    </row>
    <row r="132" customFormat="false" ht="15" hidden="false" customHeight="true" outlineLevel="0" collapsed="false">
      <c r="B132" s="40" t="s">
        <v>501</v>
      </c>
      <c r="C132" s="12" t="s">
        <v>55</v>
      </c>
      <c r="D132" s="20" t="n">
        <f aca="false">SUM(E132:L132)</f>
        <v>2000</v>
      </c>
      <c r="E132" s="20" t="n">
        <f aca="false">(E$74-E$80+1)*E$81</f>
        <v>250</v>
      </c>
      <c r="F132" s="20" t="n">
        <f aca="false">(F$74-F$80+1)*F$81</f>
        <v>250</v>
      </c>
      <c r="G132" s="20" t="n">
        <f aca="false">(G$74-G$80+1)*G$81</f>
        <v>250</v>
      </c>
      <c r="H132" s="20" t="n">
        <f aca="false">(H$74-H$80+1)*H$81</f>
        <v>250</v>
      </c>
      <c r="I132" s="20" t="n">
        <f aca="false">(I$74-I$80+1)*I$81</f>
        <v>250</v>
      </c>
      <c r="J132" s="20" t="n">
        <f aca="false">(J$74-J$80+1)*J$81</f>
        <v>250</v>
      </c>
      <c r="K132" s="20" t="n">
        <f aca="false">(K$74-K$80+1)*K$81</f>
        <v>250</v>
      </c>
      <c r="L132" s="20" t="n">
        <f aca="false">(L$74-L$80+1)*L$81</f>
        <v>250</v>
      </c>
    </row>
    <row r="133" customFormat="false" ht="15" hidden="false" customHeight="true" outlineLevel="0" collapsed="false">
      <c r="B133" s="40" t="s">
        <v>502</v>
      </c>
      <c r="C133" s="12" t="s">
        <v>55</v>
      </c>
      <c r="D133" s="20" t="n">
        <f aca="false">SUM(E133:L133)</f>
        <v>1400</v>
      </c>
      <c r="E133" s="20" t="n">
        <f aca="false">(E$75-E$80+1)*E$81</f>
        <v>175</v>
      </c>
      <c r="F133" s="20" t="n">
        <f aca="false">(F$75-F$80+1)*F$81</f>
        <v>175</v>
      </c>
      <c r="G133" s="20" t="n">
        <f aca="false">(G$75-G$80+1)*G$81</f>
        <v>175</v>
      </c>
      <c r="H133" s="20" t="n">
        <f aca="false">(H$75-H$80+1)*H$81</f>
        <v>175</v>
      </c>
      <c r="I133" s="20" t="n">
        <f aca="false">(I$75-I$80+1)*I$81</f>
        <v>175</v>
      </c>
      <c r="J133" s="20" t="n">
        <f aca="false">(J$75-J$80+1)*J$81</f>
        <v>175</v>
      </c>
      <c r="K133" s="20" t="n">
        <f aca="false">(K$75-K$80+1)*K$81</f>
        <v>175</v>
      </c>
      <c r="L133" s="20" t="n">
        <f aca="false">(L$75-L$80+1)*L$81</f>
        <v>175</v>
      </c>
    </row>
    <row r="134" customFormat="false" ht="15" hidden="false" customHeight="true" outlineLevel="0" collapsed="false">
      <c r="B134" s="40" t="s">
        <v>503</v>
      </c>
      <c r="C134" s="12" t="s">
        <v>55</v>
      </c>
      <c r="D134" s="20" t="n">
        <f aca="false">SUM(E134:L134)</f>
        <v>1400</v>
      </c>
      <c r="E134" s="20" t="n">
        <f aca="false">(E$76-E$80+1)*E$81</f>
        <v>175</v>
      </c>
      <c r="F134" s="20" t="n">
        <f aca="false">(F$76-F$80+1)*F$81</f>
        <v>175</v>
      </c>
      <c r="G134" s="20" t="n">
        <f aca="false">(G$76-G$80+1)*G$81</f>
        <v>175</v>
      </c>
      <c r="H134" s="20" t="n">
        <f aca="false">(H$76-H$80+1)*H$81</f>
        <v>175</v>
      </c>
      <c r="I134" s="20" t="n">
        <f aca="false">(I$76-I$80+1)*I$81</f>
        <v>175</v>
      </c>
      <c r="J134" s="20" t="n">
        <f aca="false">(J$76-J$80+1)*J$81</f>
        <v>175</v>
      </c>
      <c r="K134" s="20" t="n">
        <f aca="false">(K$76-K$80+1)*K$81</f>
        <v>175</v>
      </c>
      <c r="L134" s="20" t="n">
        <f aca="false">(L$76-L$80+1)*L$81</f>
        <v>175</v>
      </c>
    </row>
    <row r="135" customFormat="false" ht="15" hidden="false" customHeight="true" outlineLevel="0" collapsed="false">
      <c r="B135" s="40" t="s">
        <v>504</v>
      </c>
      <c r="C135" s="12" t="s">
        <v>55</v>
      </c>
      <c r="D135" s="20" t="n">
        <f aca="false">SUM(E135:L135)</f>
        <v>2000</v>
      </c>
      <c r="E135" s="20" t="n">
        <f aca="false">(E$77-E$80+1)*E$81</f>
        <v>250</v>
      </c>
      <c r="F135" s="20" t="n">
        <f aca="false">(F$77-F$80+1)*F$81</f>
        <v>250</v>
      </c>
      <c r="G135" s="20" t="n">
        <f aca="false">(G$77-G$80+1)*G$81</f>
        <v>250</v>
      </c>
      <c r="H135" s="20" t="n">
        <f aca="false">(H$77-H$80+1)*H$81</f>
        <v>250</v>
      </c>
      <c r="I135" s="20" t="n">
        <f aca="false">(I$77-I$80+1)*I$81</f>
        <v>250</v>
      </c>
      <c r="J135" s="20" t="n">
        <f aca="false">(J$77-J$80+1)*J$81</f>
        <v>250</v>
      </c>
      <c r="K135" s="20" t="n">
        <f aca="false">(K$77-K$80+1)*K$81</f>
        <v>250</v>
      </c>
      <c r="L135" s="20" t="n">
        <f aca="false">(L$77-L$80+1)*L$81</f>
        <v>250</v>
      </c>
    </row>
    <row r="136" customFormat="false" ht="15" hidden="false" customHeight="true" outlineLevel="0" collapsed="false">
      <c r="B136" s="40" t="s">
        <v>505</v>
      </c>
      <c r="C136" s="12" t="s">
        <v>506</v>
      </c>
      <c r="D136" s="30" t="n">
        <f aca="false">SUM(E136:L136)</f>
        <v>16800</v>
      </c>
      <c r="E136" s="30" t="n">
        <f aca="false">E$78*E$128</f>
        <v>2100</v>
      </c>
      <c r="F136" s="30" t="n">
        <f aca="false">F$78*F$128</f>
        <v>2100</v>
      </c>
      <c r="G136" s="30" t="n">
        <f aca="false">G$78*G$128</f>
        <v>2100</v>
      </c>
      <c r="H136" s="30" t="n">
        <f aca="false">H$78*H$128</f>
        <v>2100</v>
      </c>
      <c r="I136" s="30" t="n">
        <f aca="false">I$78*I$128</f>
        <v>2100</v>
      </c>
      <c r="J136" s="30" t="n">
        <f aca="false">J$78*J$128</f>
        <v>2100</v>
      </c>
      <c r="K136" s="30" t="n">
        <f aca="false">K$78*K$128</f>
        <v>2100</v>
      </c>
      <c r="L136" s="30" t="n">
        <f aca="false">L$78*L$128</f>
        <v>2100</v>
      </c>
    </row>
    <row r="137" customFormat="false" ht="15" hidden="false" customHeight="true" outlineLevel="0" collapsed="false">
      <c r="B137" s="40" t="s">
        <v>507</v>
      </c>
      <c r="C137" s="12" t="s">
        <v>506</v>
      </c>
      <c r="D137" s="30" t="n">
        <f aca="false">SUM(E137:L137)</f>
        <v>12600</v>
      </c>
      <c r="E137" s="30" t="n">
        <f aca="false">E$78*E$129</f>
        <v>1575</v>
      </c>
      <c r="F137" s="30" t="n">
        <f aca="false">F$78*F$129</f>
        <v>1575</v>
      </c>
      <c r="G137" s="30" t="n">
        <f aca="false">G$78*G$129</f>
        <v>1575</v>
      </c>
      <c r="H137" s="30" t="n">
        <f aca="false">H$78*H$129</f>
        <v>1575</v>
      </c>
      <c r="I137" s="30" t="n">
        <f aca="false">I$78*I$129</f>
        <v>1575</v>
      </c>
      <c r="J137" s="30" t="n">
        <f aca="false">J$78*J$129</f>
        <v>1575</v>
      </c>
      <c r="K137" s="30" t="n">
        <f aca="false">K$78*K$129</f>
        <v>1575</v>
      </c>
      <c r="L137" s="30" t="n">
        <f aca="false">L$78*L$129</f>
        <v>1575</v>
      </c>
    </row>
    <row r="138" customFormat="false" ht="15" hidden="false" customHeight="true" outlineLevel="0" collapsed="false">
      <c r="B138" s="40" t="s">
        <v>508</v>
      </c>
      <c r="C138" s="12" t="s">
        <v>506</v>
      </c>
      <c r="D138" s="30" t="n">
        <f aca="false">SUM(E138:L138)</f>
        <v>12600</v>
      </c>
      <c r="E138" s="30" t="n">
        <f aca="false">E$78*E$130</f>
        <v>1575</v>
      </c>
      <c r="F138" s="30" t="n">
        <f aca="false">F$78*F$130</f>
        <v>1575</v>
      </c>
      <c r="G138" s="30" t="n">
        <f aca="false">G$78*G$130</f>
        <v>1575</v>
      </c>
      <c r="H138" s="30" t="n">
        <f aca="false">H$78*H$130</f>
        <v>1575</v>
      </c>
      <c r="I138" s="30" t="n">
        <f aca="false">I$78*I$130</f>
        <v>1575</v>
      </c>
      <c r="J138" s="30" t="n">
        <f aca="false">J$78*J$130</f>
        <v>1575</v>
      </c>
      <c r="K138" s="30" t="n">
        <f aca="false">K$78*K$130</f>
        <v>1575</v>
      </c>
      <c r="L138" s="30" t="n">
        <f aca="false">L$78*L$130</f>
        <v>1575</v>
      </c>
    </row>
    <row r="139" customFormat="false" ht="15" hidden="false" customHeight="true" outlineLevel="0" collapsed="false">
      <c r="B139" s="40" t="s">
        <v>509</v>
      </c>
      <c r="C139" s="12" t="s">
        <v>506</v>
      </c>
      <c r="D139" s="30" t="n">
        <f aca="false">SUM(E139:L139)</f>
        <v>16800</v>
      </c>
      <c r="E139" s="30" t="n">
        <f aca="false">E$78*E$131</f>
        <v>2100</v>
      </c>
      <c r="F139" s="30" t="n">
        <f aca="false">F$78*F$131</f>
        <v>2100</v>
      </c>
      <c r="G139" s="30" t="n">
        <f aca="false">G$78*G$131</f>
        <v>2100</v>
      </c>
      <c r="H139" s="30" t="n">
        <f aca="false">H$78*H$131</f>
        <v>2100</v>
      </c>
      <c r="I139" s="30" t="n">
        <f aca="false">I$78*I$131</f>
        <v>2100</v>
      </c>
      <c r="J139" s="30" t="n">
        <f aca="false">J$78*J$131</f>
        <v>2100</v>
      </c>
      <c r="K139" s="30" t="n">
        <f aca="false">K$78*K$131</f>
        <v>2100</v>
      </c>
      <c r="L139" s="30" t="n">
        <f aca="false">L$78*L$131</f>
        <v>2100</v>
      </c>
    </row>
    <row r="140" customFormat="false" ht="15" hidden="false" customHeight="true" outlineLevel="0" collapsed="false">
      <c r="B140" s="40" t="s">
        <v>510</v>
      </c>
      <c r="C140" s="12" t="s">
        <v>506</v>
      </c>
      <c r="D140" s="30" t="n">
        <f aca="false">SUM(E140:L140)</f>
        <v>10000</v>
      </c>
      <c r="E140" s="30" t="n">
        <f aca="false">E$79*E$132</f>
        <v>1250</v>
      </c>
      <c r="F140" s="30" t="n">
        <f aca="false">F$79*F$132</f>
        <v>1250</v>
      </c>
      <c r="G140" s="30" t="n">
        <f aca="false">G$79*G$132</f>
        <v>1250</v>
      </c>
      <c r="H140" s="30" t="n">
        <f aca="false">H$79*H$132</f>
        <v>1250</v>
      </c>
      <c r="I140" s="30" t="n">
        <f aca="false">I$79*I$132</f>
        <v>1250</v>
      </c>
      <c r="J140" s="30" t="n">
        <f aca="false">J$79*J$132</f>
        <v>1250</v>
      </c>
      <c r="K140" s="30" t="n">
        <f aca="false">K$79*K$132</f>
        <v>1250</v>
      </c>
      <c r="L140" s="30" t="n">
        <f aca="false">L$79*L$132</f>
        <v>1250</v>
      </c>
    </row>
    <row r="141" customFormat="false" ht="15" hidden="false" customHeight="true" outlineLevel="0" collapsed="false">
      <c r="B141" s="40" t="s">
        <v>511</v>
      </c>
      <c r="C141" s="12" t="s">
        <v>506</v>
      </c>
      <c r="D141" s="30" t="n">
        <f aca="false">SUM(E141:L141)</f>
        <v>7000</v>
      </c>
      <c r="E141" s="30" t="n">
        <f aca="false">E$79*E$133</f>
        <v>875</v>
      </c>
      <c r="F141" s="30" t="n">
        <f aca="false">F$79*F$133</f>
        <v>875</v>
      </c>
      <c r="G141" s="30" t="n">
        <f aca="false">G$79*G$133</f>
        <v>875</v>
      </c>
      <c r="H141" s="30" t="n">
        <f aca="false">H$79*H$133</f>
        <v>875</v>
      </c>
      <c r="I141" s="30" t="n">
        <f aca="false">I$79*I$133</f>
        <v>875</v>
      </c>
      <c r="J141" s="30" t="n">
        <f aca="false">J$79*J$133</f>
        <v>875</v>
      </c>
      <c r="K141" s="30" t="n">
        <f aca="false">K$79*K$133</f>
        <v>875</v>
      </c>
      <c r="L141" s="30" t="n">
        <f aca="false">L$79*L$133</f>
        <v>875</v>
      </c>
    </row>
    <row r="142" customFormat="false" ht="15" hidden="false" customHeight="true" outlineLevel="0" collapsed="false">
      <c r="B142" s="40" t="s">
        <v>512</v>
      </c>
      <c r="C142" s="12" t="s">
        <v>506</v>
      </c>
      <c r="D142" s="30" t="n">
        <f aca="false">SUM(E142:L142)</f>
        <v>7000</v>
      </c>
      <c r="E142" s="30" t="n">
        <f aca="false">E$79*E$134</f>
        <v>875</v>
      </c>
      <c r="F142" s="30" t="n">
        <f aca="false">F$79*F$134</f>
        <v>875</v>
      </c>
      <c r="G142" s="30" t="n">
        <f aca="false">G$79*G$134</f>
        <v>875</v>
      </c>
      <c r="H142" s="30" t="n">
        <f aca="false">H$79*H$134</f>
        <v>875</v>
      </c>
      <c r="I142" s="30" t="n">
        <f aca="false">I$79*I$134</f>
        <v>875</v>
      </c>
      <c r="J142" s="30" t="n">
        <f aca="false">J$79*J$134</f>
        <v>875</v>
      </c>
      <c r="K142" s="30" t="n">
        <f aca="false">K$79*K$134</f>
        <v>875</v>
      </c>
      <c r="L142" s="30" t="n">
        <f aca="false">L$79*L$134</f>
        <v>875</v>
      </c>
    </row>
    <row r="143" customFormat="false" ht="15" hidden="false" customHeight="true" outlineLevel="0" collapsed="false">
      <c r="B143" s="40" t="s">
        <v>513</v>
      </c>
      <c r="C143" s="12" t="s">
        <v>506</v>
      </c>
      <c r="D143" s="30" t="n">
        <f aca="false">SUM(E143:L143)</f>
        <v>10000</v>
      </c>
      <c r="E143" s="30" t="n">
        <f aca="false">E$79*E$135</f>
        <v>1250</v>
      </c>
      <c r="F143" s="30" t="n">
        <f aca="false">F$79*F$135</f>
        <v>1250</v>
      </c>
      <c r="G143" s="30" t="n">
        <f aca="false">G$79*G$135</f>
        <v>1250</v>
      </c>
      <c r="H143" s="30" t="n">
        <f aca="false">H$79*H$135</f>
        <v>1250</v>
      </c>
      <c r="I143" s="30" t="n">
        <f aca="false">I$79*I$135</f>
        <v>1250</v>
      </c>
      <c r="J143" s="30" t="n">
        <f aca="false">J$79*J$135</f>
        <v>1250</v>
      </c>
      <c r="K143" s="30" t="n">
        <f aca="false">K$79*K$135</f>
        <v>1250</v>
      </c>
      <c r="L143" s="30" t="n">
        <f aca="false">L$79*L$135</f>
        <v>1250</v>
      </c>
    </row>
    <row r="144" customFormat="false" ht="15" hidden="false" customHeight="true" outlineLevel="0" collapsed="false">
      <c r="B144" s="40" t="s">
        <v>514</v>
      </c>
      <c r="C144" s="12" t="s">
        <v>506</v>
      </c>
      <c r="D144" s="30" t="n">
        <f aca="false">SUM(E144:L144)</f>
        <v>6800</v>
      </c>
      <c r="E144" s="30" t="n">
        <f aca="false">E$136-E$140</f>
        <v>850</v>
      </c>
      <c r="F144" s="30" t="n">
        <f aca="false">F$136-F$140</f>
        <v>850</v>
      </c>
      <c r="G144" s="30" t="n">
        <f aca="false">G$136-G$140</f>
        <v>850</v>
      </c>
      <c r="H144" s="30" t="n">
        <f aca="false">H$136-H$140</f>
        <v>850</v>
      </c>
      <c r="I144" s="30" t="n">
        <f aca="false">I$136-I$140</f>
        <v>850</v>
      </c>
      <c r="J144" s="30" t="n">
        <f aca="false">J$136-J$140</f>
        <v>850</v>
      </c>
      <c r="K144" s="30" t="n">
        <f aca="false">K$136-K$140</f>
        <v>850</v>
      </c>
      <c r="L144" s="30" t="n">
        <f aca="false">L$136-L$140</f>
        <v>850</v>
      </c>
    </row>
    <row r="145" customFormat="false" ht="15" hidden="false" customHeight="true" outlineLevel="0" collapsed="false">
      <c r="B145" s="40" t="s">
        <v>515</v>
      </c>
      <c r="C145" s="12" t="s">
        <v>506</v>
      </c>
      <c r="D145" s="30" t="n">
        <f aca="false">SUM(E145:L145)</f>
        <v>5600</v>
      </c>
      <c r="E145" s="30" t="n">
        <f aca="false">E$137-E$141</f>
        <v>700</v>
      </c>
      <c r="F145" s="30" t="n">
        <f aca="false">F$137-F$141</f>
        <v>700</v>
      </c>
      <c r="G145" s="30" t="n">
        <f aca="false">G$137-G$141</f>
        <v>700</v>
      </c>
      <c r="H145" s="30" t="n">
        <f aca="false">H$137-H$141</f>
        <v>700</v>
      </c>
      <c r="I145" s="30" t="n">
        <f aca="false">I$137-I$141</f>
        <v>700</v>
      </c>
      <c r="J145" s="30" t="n">
        <f aca="false">J$137-J$141</f>
        <v>700</v>
      </c>
      <c r="K145" s="30" t="n">
        <f aca="false">K$137-K$141</f>
        <v>700</v>
      </c>
      <c r="L145" s="30" t="n">
        <f aca="false">L$137-L$141</f>
        <v>700</v>
      </c>
    </row>
    <row r="146" customFormat="false" ht="15" hidden="false" customHeight="true" outlineLevel="0" collapsed="false">
      <c r="B146" s="40" t="s">
        <v>516</v>
      </c>
      <c r="C146" s="12" t="s">
        <v>506</v>
      </c>
      <c r="D146" s="30" t="n">
        <f aca="false">SUM(E146:L146)</f>
        <v>5600</v>
      </c>
      <c r="E146" s="30" t="n">
        <f aca="false">E$138-E$142</f>
        <v>700</v>
      </c>
      <c r="F146" s="30" t="n">
        <f aca="false">F$138-F$142</f>
        <v>700</v>
      </c>
      <c r="G146" s="30" t="n">
        <f aca="false">G$138-G$142</f>
        <v>700</v>
      </c>
      <c r="H146" s="30" t="n">
        <f aca="false">H$138-H$142</f>
        <v>700</v>
      </c>
      <c r="I146" s="30" t="n">
        <f aca="false">I$138-I$142</f>
        <v>700</v>
      </c>
      <c r="J146" s="30" t="n">
        <f aca="false">J$138-J$142</f>
        <v>700</v>
      </c>
      <c r="K146" s="30" t="n">
        <f aca="false">K$138-K$142</f>
        <v>700</v>
      </c>
      <c r="L146" s="30" t="n">
        <f aca="false">L$138-L$142</f>
        <v>700</v>
      </c>
    </row>
    <row r="147" customFormat="false" ht="15" hidden="false" customHeight="true" outlineLevel="0" collapsed="false">
      <c r="B147" s="40" t="s">
        <v>517</v>
      </c>
      <c r="C147" s="12" t="s">
        <v>506</v>
      </c>
      <c r="D147" s="30" t="n">
        <f aca="false">SUM(E147:L147)</f>
        <v>6800</v>
      </c>
      <c r="E147" s="30" t="n">
        <f aca="false">E$139-E$143</f>
        <v>850</v>
      </c>
      <c r="F147" s="30" t="n">
        <f aca="false">F$139-F$143</f>
        <v>850</v>
      </c>
      <c r="G147" s="30" t="n">
        <f aca="false">G$139-G$143</f>
        <v>850</v>
      </c>
      <c r="H147" s="30" t="n">
        <f aca="false">H$139-H$143</f>
        <v>850</v>
      </c>
      <c r="I147" s="30" t="n">
        <f aca="false">I$139-I$143</f>
        <v>850</v>
      </c>
      <c r="J147" s="30" t="n">
        <f aca="false">J$139-J$143</f>
        <v>850</v>
      </c>
      <c r="K147" s="30" t="n">
        <f aca="false">K$139-K$143</f>
        <v>850</v>
      </c>
      <c r="L147" s="30" t="n">
        <f aca="false">L$139-L$143</f>
        <v>850</v>
      </c>
    </row>
    <row r="148" customFormat="false" ht="15" hidden="false" customHeight="true" outlineLevel="0" collapsed="false">
      <c r="B148" s="40" t="s">
        <v>518</v>
      </c>
      <c r="C148" s="12" t="s">
        <v>519</v>
      </c>
      <c r="D148" s="20" t="n">
        <f aca="false">SUM(E148:L148)</f>
        <v>1664</v>
      </c>
      <c r="E148" s="20" t="n">
        <f aca="false">ROUND(E$111*E$113,0)</f>
        <v>208</v>
      </c>
      <c r="F148" s="20" t="n">
        <f aca="false">ROUND(F$111*F$113,0)</f>
        <v>208</v>
      </c>
      <c r="G148" s="20" t="n">
        <f aca="false">ROUND(G$111*G$113,0)</f>
        <v>208</v>
      </c>
      <c r="H148" s="20" t="n">
        <f aca="false">ROUND(H$111*H$113,0)</f>
        <v>208</v>
      </c>
      <c r="I148" s="20" t="n">
        <f aca="false">ROUND(I$111*I$113,0)</f>
        <v>208</v>
      </c>
      <c r="J148" s="20" t="n">
        <f aca="false">ROUND(J$111*J$113,0)</f>
        <v>208</v>
      </c>
      <c r="K148" s="20" t="n">
        <f aca="false">ROUND(K$111*K$113,0)</f>
        <v>208</v>
      </c>
      <c r="L148" s="20" t="n">
        <f aca="false">ROUND(L$111*L$113,0)</f>
        <v>208</v>
      </c>
    </row>
    <row r="149" customFormat="false" ht="15" hidden="false" customHeight="true" outlineLevel="0" collapsed="false">
      <c r="B149" s="40" t="s">
        <v>520</v>
      </c>
      <c r="C149" s="12" t="s">
        <v>519</v>
      </c>
      <c r="D149" s="20" t="n">
        <f aca="false">SUM(E149:L149)</f>
        <v>168</v>
      </c>
      <c r="E149" s="20" t="n">
        <f aca="false">ROUND(E$111*E$114,0)</f>
        <v>21</v>
      </c>
      <c r="F149" s="20" t="n">
        <f aca="false">ROUND(F$111*F$114,0)</f>
        <v>21</v>
      </c>
      <c r="G149" s="20" t="n">
        <f aca="false">ROUND(G$111*G$114,0)</f>
        <v>21</v>
      </c>
      <c r="H149" s="20" t="n">
        <f aca="false">ROUND(H$111*H$114,0)</f>
        <v>21</v>
      </c>
      <c r="I149" s="20" t="n">
        <f aca="false">ROUND(I$111*I$114,0)</f>
        <v>21</v>
      </c>
      <c r="J149" s="20" t="n">
        <f aca="false">ROUND(J$111*J$114,0)</f>
        <v>21</v>
      </c>
      <c r="K149" s="20" t="n">
        <f aca="false">ROUND(K$111*K$114,0)</f>
        <v>21</v>
      </c>
      <c r="L149" s="20" t="n">
        <f aca="false">ROUND(L$111*L$114,0)</f>
        <v>21</v>
      </c>
    </row>
    <row r="150" customFormat="false" ht="15" hidden="false" customHeight="true" outlineLevel="0" collapsed="false">
      <c r="B150" s="40" t="s">
        <v>521</v>
      </c>
      <c r="C150" s="12" t="s">
        <v>519</v>
      </c>
      <c r="D150" s="20" t="n">
        <f aca="false">SUM(E150:L150)</f>
        <v>80</v>
      </c>
      <c r="E150" s="20" t="n">
        <f aca="false">ROUND(E$111*E$115,0)</f>
        <v>10</v>
      </c>
      <c r="F150" s="20" t="n">
        <f aca="false">ROUND(F$111*F$115,0)</f>
        <v>10</v>
      </c>
      <c r="G150" s="20" t="n">
        <f aca="false">ROUND(G$111*G$115,0)</f>
        <v>10</v>
      </c>
      <c r="H150" s="20" t="n">
        <f aca="false">ROUND(H$111*H$115,0)</f>
        <v>10</v>
      </c>
      <c r="I150" s="20" t="n">
        <f aca="false">ROUND(I$111*I$115,0)</f>
        <v>10</v>
      </c>
      <c r="J150" s="20" t="n">
        <f aca="false">ROUND(J$111*J$115,0)</f>
        <v>10</v>
      </c>
      <c r="K150" s="20" t="n">
        <f aca="false">ROUND(K$111*K$115,0)</f>
        <v>10</v>
      </c>
      <c r="L150" s="20" t="n">
        <f aca="false">ROUND(L$111*L$115,0)</f>
        <v>10</v>
      </c>
    </row>
    <row r="151" customFormat="false" ht="15" hidden="false" customHeight="true" outlineLevel="0" collapsed="false">
      <c r="B151" s="40" t="s">
        <v>522</v>
      </c>
      <c r="C151" s="12" t="s">
        <v>519</v>
      </c>
      <c r="D151" s="20" t="n">
        <f aca="false">SUM(E151:L151)</f>
        <v>248</v>
      </c>
      <c r="E151" s="20" t="n">
        <f aca="false">E$111-E$148-E$149-E$150</f>
        <v>31</v>
      </c>
      <c r="F151" s="20" t="n">
        <f aca="false">F$111-F$148-F$149-F$150</f>
        <v>31</v>
      </c>
      <c r="G151" s="20" t="n">
        <f aca="false">G$111-G$148-G$149-G$150</f>
        <v>31</v>
      </c>
      <c r="H151" s="20" t="n">
        <f aca="false">H$111-H$148-H$149-H$150</f>
        <v>31</v>
      </c>
      <c r="I151" s="20" t="n">
        <f aca="false">I$111-I$148-I$149-I$150</f>
        <v>31</v>
      </c>
      <c r="J151" s="20" t="n">
        <f aca="false">J$111-J$148-J$149-J$150</f>
        <v>31</v>
      </c>
      <c r="K151" s="20" t="n">
        <f aca="false">K$111-K$148-K$149-K$150</f>
        <v>31</v>
      </c>
      <c r="L151" s="20" t="n">
        <f aca="false">L$111-L$148-L$149-L$150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523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385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23" t="s">
        <v>524</v>
      </c>
      <c r="C7" s="12" t="s">
        <v>136</v>
      </c>
      <c r="D7" s="24" t="n">
        <f aca="false">SUM(E7:L7)</f>
        <v>298401</v>
      </c>
      <c r="E7" s="24" t="n">
        <f aca="false">E20</f>
        <v>0</v>
      </c>
      <c r="F7" s="24" t="n">
        <f aca="false">F20</f>
        <v>298401</v>
      </c>
      <c r="G7" s="24" t="n">
        <f aca="false">G20</f>
        <v>0</v>
      </c>
      <c r="H7" s="24" t="n">
        <f aca="false">H20</f>
        <v>0</v>
      </c>
      <c r="I7" s="24" t="n">
        <f aca="false">I20</f>
        <v>0</v>
      </c>
      <c r="J7" s="24" t="n">
        <f aca="false">J20</f>
        <v>0</v>
      </c>
      <c r="K7" s="24" t="n">
        <f aca="false">K20</f>
        <v>0</v>
      </c>
      <c r="L7" s="24" t="n">
        <f aca="false">L20</f>
        <v>0</v>
      </c>
    </row>
    <row r="8" customFormat="false" ht="15" hidden="false" customHeight="true" outlineLevel="0" collapsed="false">
      <c r="B8" s="23" t="s">
        <v>525</v>
      </c>
      <c r="C8" s="12" t="s">
        <v>136</v>
      </c>
      <c r="D8" s="24" t="n">
        <f aca="false">SUM(E8:L8)</f>
        <v>388360</v>
      </c>
      <c r="E8" s="24" t="n">
        <f aca="false">E26+E34</f>
        <v>0</v>
      </c>
      <c r="F8" s="24" t="n">
        <f aca="false">F26+F34</f>
        <v>104800</v>
      </c>
      <c r="G8" s="24" t="n">
        <f aca="false">G26+G34</f>
        <v>141780</v>
      </c>
      <c r="H8" s="24" t="n">
        <f aca="false">H26+H34</f>
        <v>141780</v>
      </c>
      <c r="I8" s="24" t="n">
        <f aca="false">I26+I34</f>
        <v>0</v>
      </c>
      <c r="J8" s="24" t="n">
        <f aca="false">J26+J34</f>
        <v>0</v>
      </c>
      <c r="K8" s="24" t="n">
        <f aca="false">K26+K34</f>
        <v>0</v>
      </c>
      <c r="L8" s="24" t="n">
        <f aca="false">L26+L34</f>
        <v>0</v>
      </c>
    </row>
    <row r="9" customFormat="false" ht="15" hidden="false" customHeight="true" outlineLevel="0" collapsed="false">
      <c r="B9" s="23" t="s">
        <v>526</v>
      </c>
      <c r="C9" s="12" t="s">
        <v>136</v>
      </c>
      <c r="D9" s="24" t="n">
        <f aca="false">SUM(E9:L9)</f>
        <v>200000</v>
      </c>
      <c r="E9" s="24" t="n">
        <f aca="false">E40</f>
        <v>0</v>
      </c>
      <c r="F9" s="24" t="n">
        <f aca="false">F40</f>
        <v>200000</v>
      </c>
      <c r="G9" s="24" t="n">
        <f aca="false">G40</f>
        <v>0</v>
      </c>
      <c r="H9" s="24" t="n">
        <f aca="false">H40</f>
        <v>0</v>
      </c>
      <c r="I9" s="24" t="n">
        <f aca="false">I40</f>
        <v>0</v>
      </c>
      <c r="J9" s="24" t="n">
        <f aca="false">J40</f>
        <v>0</v>
      </c>
      <c r="K9" s="24" t="n">
        <f aca="false">K40</f>
        <v>0</v>
      </c>
      <c r="L9" s="24" t="n">
        <f aca="false">L40</f>
        <v>0</v>
      </c>
    </row>
    <row r="10" customFormat="false" ht="15" hidden="false" customHeight="true" outlineLevel="0" collapsed="false">
      <c r="B10" s="23" t="s">
        <v>527</v>
      </c>
      <c r="C10" s="12" t="s">
        <v>136</v>
      </c>
      <c r="D10" s="24" t="n">
        <f aca="false">SUM(E10:L10)</f>
        <v>291000</v>
      </c>
      <c r="E10" s="24" t="n">
        <f aca="false">E48+E55</f>
        <v>0</v>
      </c>
      <c r="F10" s="24" t="n">
        <f aca="false">F48+F55</f>
        <v>73000</v>
      </c>
      <c r="G10" s="24" t="n">
        <f aca="false">G48+G55</f>
        <v>109000</v>
      </c>
      <c r="H10" s="24" t="n">
        <f aca="false">H48+H55</f>
        <v>109000</v>
      </c>
      <c r="I10" s="24" t="n">
        <f aca="false">I48+I55</f>
        <v>0</v>
      </c>
      <c r="J10" s="24" t="n">
        <f aca="false">J48+J55</f>
        <v>0</v>
      </c>
      <c r="K10" s="24" t="n">
        <f aca="false">K48+K55</f>
        <v>0</v>
      </c>
      <c r="L10" s="24" t="n">
        <f aca="false">L48+L55</f>
        <v>0</v>
      </c>
    </row>
    <row r="11" customFormat="false" ht="15" hidden="false" customHeight="true" outlineLevel="0" collapsed="false">
      <c r="B11" s="23" t="s">
        <v>528</v>
      </c>
      <c r="C11" s="12" t="s">
        <v>136</v>
      </c>
      <c r="D11" s="24" t="n">
        <f aca="false">SUM(E11:L11)</f>
        <v>0</v>
      </c>
      <c r="E11" s="24" t="n">
        <f aca="false">0</f>
        <v>0</v>
      </c>
      <c r="F11" s="24" t="n">
        <f aca="false">0</f>
        <v>0</v>
      </c>
      <c r="G11" s="24" t="n">
        <f aca="false">0</f>
        <v>0</v>
      </c>
      <c r="H11" s="24" t="n">
        <f aca="false">0</f>
        <v>0</v>
      </c>
      <c r="I11" s="24" t="n">
        <f aca="false">0</f>
        <v>0</v>
      </c>
      <c r="J11" s="24" t="n">
        <f aca="false">0</f>
        <v>0</v>
      </c>
      <c r="K11" s="24" t="n">
        <f aca="false">0</f>
        <v>0</v>
      </c>
      <c r="L11" s="24" t="n">
        <f aca="false">0</f>
        <v>0</v>
      </c>
    </row>
    <row r="12" customFormat="false" ht="15" hidden="false" customHeight="true" outlineLevel="0" collapsed="false">
      <c r="B12" s="25" t="s">
        <v>529</v>
      </c>
      <c r="C12" s="26" t="s">
        <v>136</v>
      </c>
      <c r="D12" s="27" t="n">
        <f aca="false">SUM(E12:L12)</f>
        <v>1177761</v>
      </c>
      <c r="E12" s="27" t="n">
        <f aca="false">E7+E8+E9+E10-E11</f>
        <v>0</v>
      </c>
      <c r="F12" s="27" t="n">
        <f aca="false">F7+F8+F9+F10-F11</f>
        <v>676201</v>
      </c>
      <c r="G12" s="27" t="n">
        <f aca="false">G7+G8+G9+G10-G11</f>
        <v>250780</v>
      </c>
      <c r="H12" s="27" t="n">
        <f aca="false">H7+H8+H9+H10-H11</f>
        <v>250780</v>
      </c>
      <c r="I12" s="27" t="n">
        <f aca="false">I7+I8+I9+I10-I11</f>
        <v>0</v>
      </c>
      <c r="J12" s="27" t="n">
        <f aca="false">J7+J8+J9+J10-J11</f>
        <v>0</v>
      </c>
      <c r="K12" s="27" t="n">
        <f aca="false">K7+K8+K9+K10-K11</f>
        <v>0</v>
      </c>
      <c r="L12" s="27" t="n">
        <f aca="false">L7+L8+L9+L10-L11</f>
        <v>0</v>
      </c>
    </row>
    <row r="13" customFormat="false" ht="15" hidden="false" customHeight="true" outlineLevel="0" collapsed="false"/>
    <row r="14" customFormat="false" ht="15" hidden="false" customHeight="true" outlineLevel="0" collapsed="false">
      <c r="B14" s="4" t="s">
        <v>530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B15" s="28" t="s">
        <v>531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customFormat="false" ht="15" hidden="false" customHeight="true" outlineLevel="0" collapsed="false">
      <c r="B16" s="18" t="s">
        <v>320</v>
      </c>
      <c r="C16" s="12" t="s">
        <v>136</v>
      </c>
      <c r="D16" s="30" t="n">
        <f aca="false">SUM(E16:L16)</f>
        <v>125000</v>
      </c>
      <c r="E16" s="30" t="n">
        <f aca="false">$F$59*FLAG_CONSTRUCT_YM1</f>
        <v>0</v>
      </c>
      <c r="F16" s="30" t="n">
        <f aca="false">$F$59*FLAG_CONSTRUCT_Y0</f>
        <v>125000</v>
      </c>
      <c r="G16" s="30" t="n">
        <f aca="false">$F$59*FLAG_CONSTRUCT_Y1</f>
        <v>0</v>
      </c>
      <c r="H16" s="30" t="n">
        <f aca="false">$F$59*FLAG_CONSTRUCT_Y2</f>
        <v>0</v>
      </c>
      <c r="I16" s="30" t="n">
        <f aca="false">$F$59*FLAG_CONSTRUCT_Y3</f>
        <v>0</v>
      </c>
      <c r="J16" s="30" t="n">
        <f aca="false">$F$59*FLAG_CONSTRUCT_Y4</f>
        <v>0</v>
      </c>
      <c r="K16" s="30" t="n">
        <f aca="false">$F$59*FLAG_CONSTRUCT_Y5</f>
        <v>0</v>
      </c>
      <c r="L16" s="30" t="n">
        <f aca="false">$F$59*FLAG_CONSTRUCT_Y6</f>
        <v>0</v>
      </c>
    </row>
    <row r="17" customFormat="false" ht="15" hidden="false" customHeight="true" outlineLevel="0" collapsed="false">
      <c r="B17" s="18" t="s">
        <v>532</v>
      </c>
      <c r="C17" s="12" t="s">
        <v>136</v>
      </c>
      <c r="D17" s="30" t="n">
        <f aca="false">SUM(E17:L17)</f>
        <v>150000</v>
      </c>
      <c r="E17" s="30" t="n">
        <f aca="false">$F$60*FLAG_CONSTRUCT_YM1</f>
        <v>0</v>
      </c>
      <c r="F17" s="30" t="n">
        <f aca="false">$F$60*FLAG_CONSTRUCT_Y0</f>
        <v>150000</v>
      </c>
      <c r="G17" s="30" t="n">
        <f aca="false">$F$60*FLAG_CONSTRUCT_Y1</f>
        <v>0</v>
      </c>
      <c r="H17" s="30" t="n">
        <f aca="false">$F$60*FLAG_CONSTRUCT_Y2</f>
        <v>0</v>
      </c>
      <c r="I17" s="30" t="n">
        <f aca="false">$F$60*FLAG_CONSTRUCT_Y3</f>
        <v>0</v>
      </c>
      <c r="J17" s="30" t="n">
        <f aca="false">$F$60*FLAG_CONSTRUCT_Y4</f>
        <v>0</v>
      </c>
      <c r="K17" s="30" t="n">
        <f aca="false">$F$60*FLAG_CONSTRUCT_Y5</f>
        <v>0</v>
      </c>
      <c r="L17" s="30" t="n">
        <f aca="false">$F$60*FLAG_CONSTRUCT_Y6</f>
        <v>0</v>
      </c>
    </row>
    <row r="18" customFormat="false" ht="15" hidden="false" customHeight="true" outlineLevel="0" collapsed="false">
      <c r="B18" s="18" t="s">
        <v>323</v>
      </c>
      <c r="C18" s="12" t="s">
        <v>136</v>
      </c>
      <c r="D18" s="30" t="n">
        <f aca="false">SUM(E18:L18)</f>
        <v>15000</v>
      </c>
      <c r="E18" s="30" t="n">
        <f aca="false">ASM_A01_N_FARMS*$F$61*FLAG_CONSTRUCT_YM1</f>
        <v>0</v>
      </c>
      <c r="F18" s="30" t="n">
        <f aca="false">ASM_A01_N_FARMS*$F$61*FLAG_CONSTRUCT_Y0</f>
        <v>15000</v>
      </c>
      <c r="G18" s="30" t="n">
        <f aca="false">ASM_A01_N_FARMS*$F$61*FLAG_CONSTRUCT_Y1</f>
        <v>0</v>
      </c>
      <c r="H18" s="30" t="n">
        <f aca="false">ASM_A01_N_FARMS*$F$61*FLAG_CONSTRUCT_Y2</f>
        <v>0</v>
      </c>
      <c r="I18" s="30" t="n">
        <f aca="false">ASM_A01_N_FARMS*$F$61*FLAG_CONSTRUCT_Y3</f>
        <v>0</v>
      </c>
      <c r="J18" s="30" t="n">
        <f aca="false">ASM_A01_N_FARMS*$F$61*FLAG_CONSTRUCT_Y4</f>
        <v>0</v>
      </c>
      <c r="K18" s="30" t="n">
        <f aca="false">ASM_A01_N_FARMS*$F$61*FLAG_CONSTRUCT_Y5</f>
        <v>0</v>
      </c>
      <c r="L18" s="30" t="n">
        <f aca="false">ASM_A01_N_FARMS*$F$61*FLAG_CONSTRUCT_Y6</f>
        <v>0</v>
      </c>
    </row>
    <row r="19" customFormat="false" ht="15" hidden="false" customHeight="true" outlineLevel="0" collapsed="false">
      <c r="B19" s="18" t="s">
        <v>325</v>
      </c>
      <c r="C19" s="12" t="s">
        <v>136</v>
      </c>
      <c r="D19" s="30" t="n">
        <f aca="false">SUM(E19:L19)</f>
        <v>8401</v>
      </c>
      <c r="E19" s="30" t="n">
        <f aca="false">$F$62*FLAG_CONSTRUCT_YM1</f>
        <v>0</v>
      </c>
      <c r="F19" s="30" t="n">
        <f aca="false">$F$62*FLAG_CONSTRUCT_Y0</f>
        <v>8401</v>
      </c>
      <c r="G19" s="30" t="n">
        <f aca="false">$F$62*FLAG_CONSTRUCT_Y1</f>
        <v>0</v>
      </c>
      <c r="H19" s="30" t="n">
        <f aca="false">$F$62*FLAG_CONSTRUCT_Y2</f>
        <v>0</v>
      </c>
      <c r="I19" s="30" t="n">
        <f aca="false">$F$62*FLAG_CONSTRUCT_Y3</f>
        <v>0</v>
      </c>
      <c r="J19" s="30" t="n">
        <f aca="false">$F$62*FLAG_CONSTRUCT_Y4</f>
        <v>0</v>
      </c>
      <c r="K19" s="30" t="n">
        <f aca="false">$F$62*FLAG_CONSTRUCT_Y5</f>
        <v>0</v>
      </c>
      <c r="L19" s="30" t="n">
        <f aca="false">$F$62*FLAG_CONSTRUCT_Y6</f>
        <v>0</v>
      </c>
    </row>
    <row r="20" customFormat="false" ht="15" hidden="false" customHeight="true" outlineLevel="0" collapsed="false">
      <c r="B20" s="31" t="s">
        <v>533</v>
      </c>
      <c r="C20" s="12" t="s">
        <v>136</v>
      </c>
      <c r="D20" s="32" t="n">
        <f aca="false">SUM(D16:D19)</f>
        <v>298401</v>
      </c>
      <c r="E20" s="32" t="n">
        <f aca="false">SUM(E16:E19)</f>
        <v>0</v>
      </c>
      <c r="F20" s="32" t="n">
        <f aca="false">SUM(F16:F19)</f>
        <v>298401</v>
      </c>
      <c r="G20" s="32" t="n">
        <f aca="false">SUM(G16:G19)</f>
        <v>0</v>
      </c>
      <c r="H20" s="32" t="n">
        <f aca="false">SUM(H16:H19)</f>
        <v>0</v>
      </c>
      <c r="I20" s="32" t="n">
        <f aca="false">SUM(I16:I19)</f>
        <v>0</v>
      </c>
      <c r="J20" s="32" t="n">
        <f aca="false">SUM(J16:J19)</f>
        <v>0</v>
      </c>
      <c r="K20" s="32" t="n">
        <f aca="false">SUM(K16:K19)</f>
        <v>0</v>
      </c>
      <c r="L20" s="32" t="n">
        <f aca="false">SUM(L16:L19)</f>
        <v>0</v>
      </c>
    </row>
    <row r="21" customFormat="false" ht="15" hidden="false" customHeight="true" outlineLevel="0" collapsed="false"/>
    <row r="22" customFormat="false" ht="15" hidden="false" customHeight="true" outlineLevel="0" collapsed="false">
      <c r="B22" s="28" t="s">
        <v>534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customFormat="false" ht="15" hidden="false" customHeight="true" outlineLevel="0" collapsed="false">
      <c r="B23" s="18" t="s">
        <v>535</v>
      </c>
      <c r="C23" s="12" t="s">
        <v>136</v>
      </c>
      <c r="D23" s="30" t="n">
        <f aca="false">SUM(E23:L23)</f>
        <v>72000</v>
      </c>
      <c r="E23" s="30" t="n">
        <f aca="false">ASM_A01_N_FARMS*$F$63*FLAG_CONSTRUCT_YM1</f>
        <v>0</v>
      </c>
      <c r="F23" s="30" t="n">
        <f aca="false">ASM_A01_N_FARMS*$F$63*FLAG_CONSTRUCT_Y0</f>
        <v>72000</v>
      </c>
      <c r="G23" s="30" t="n">
        <f aca="false">ASM_A01_N_FARMS*$F$63*FLAG_CONSTRUCT_Y1</f>
        <v>0</v>
      </c>
      <c r="H23" s="30" t="n">
        <f aca="false">ASM_A01_N_FARMS*$F$63*FLAG_CONSTRUCT_Y2</f>
        <v>0</v>
      </c>
      <c r="I23" s="30" t="n">
        <f aca="false">ASM_A01_N_FARMS*$F$63*FLAG_CONSTRUCT_Y3</f>
        <v>0</v>
      </c>
      <c r="J23" s="30" t="n">
        <f aca="false">ASM_A01_N_FARMS*$F$63*FLAG_CONSTRUCT_Y4</f>
        <v>0</v>
      </c>
      <c r="K23" s="30" t="n">
        <f aca="false">ASM_A01_N_FARMS*$F$63*FLAG_CONSTRUCT_Y5</f>
        <v>0</v>
      </c>
      <c r="L23" s="30" t="n">
        <f aca="false">ASM_A01_N_FARMS*$F$63*FLAG_CONSTRUCT_Y6</f>
        <v>0</v>
      </c>
    </row>
    <row r="24" customFormat="false" ht="15" hidden="false" customHeight="true" outlineLevel="0" collapsed="false">
      <c r="B24" s="18" t="s">
        <v>536</v>
      </c>
      <c r="C24" s="12" t="s">
        <v>136</v>
      </c>
      <c r="D24" s="30" t="n">
        <f aca="false">SUM(E24:L24)</f>
        <v>25300</v>
      </c>
      <c r="E24" s="30" t="n">
        <f aca="false">$F$64*FLAG_CONSTRUCT_YM1</f>
        <v>0</v>
      </c>
      <c r="F24" s="30" t="n">
        <f aca="false">$F$64*FLAG_CONSTRUCT_Y0</f>
        <v>25300</v>
      </c>
      <c r="G24" s="30" t="n">
        <f aca="false">$F$64*FLAG_CONSTRUCT_Y1</f>
        <v>0</v>
      </c>
      <c r="H24" s="30" t="n">
        <f aca="false">$F$64*FLAG_CONSTRUCT_Y2</f>
        <v>0</v>
      </c>
      <c r="I24" s="30" t="n">
        <f aca="false">$F$64*FLAG_CONSTRUCT_Y3</f>
        <v>0</v>
      </c>
      <c r="J24" s="30" t="n">
        <f aca="false">$F$64*FLAG_CONSTRUCT_Y4</f>
        <v>0</v>
      </c>
      <c r="K24" s="30" t="n">
        <f aca="false">$F$64*FLAG_CONSTRUCT_Y5</f>
        <v>0</v>
      </c>
      <c r="L24" s="30" t="n">
        <f aca="false">$F$64*FLAG_CONSTRUCT_Y6</f>
        <v>0</v>
      </c>
    </row>
    <row r="25" customFormat="false" ht="15" hidden="false" customHeight="true" outlineLevel="0" collapsed="false">
      <c r="B25" s="18" t="s">
        <v>537</v>
      </c>
      <c r="C25" s="12" t="s">
        <v>136</v>
      </c>
      <c r="D25" s="30" t="n">
        <f aca="false">SUM(E25:L25)</f>
        <v>7500</v>
      </c>
      <c r="E25" s="30" t="n">
        <f aca="false">$F$65*$F$66*FLAG_CONSTRUCT_YM1</f>
        <v>0</v>
      </c>
      <c r="F25" s="30" t="n">
        <f aca="false">$F$65*$F$66*FLAG_CONSTRUCT_Y0</f>
        <v>7500</v>
      </c>
      <c r="G25" s="30" t="n">
        <f aca="false">$F$65*$F$66*FLAG_CONSTRUCT_Y1</f>
        <v>0</v>
      </c>
      <c r="H25" s="30" t="n">
        <f aca="false">$F$65*$F$66*FLAG_CONSTRUCT_Y2</f>
        <v>0</v>
      </c>
      <c r="I25" s="30" t="n">
        <f aca="false">$F$65*$F$66*FLAG_CONSTRUCT_Y3</f>
        <v>0</v>
      </c>
      <c r="J25" s="30" t="n">
        <f aca="false">$F$65*$F$66*FLAG_CONSTRUCT_Y4</f>
        <v>0</v>
      </c>
      <c r="K25" s="30" t="n">
        <f aca="false">$F$65*$F$66*FLAG_CONSTRUCT_Y5</f>
        <v>0</v>
      </c>
      <c r="L25" s="30" t="n">
        <f aca="false">$F$65*$F$66*FLAG_CONSTRUCT_Y6</f>
        <v>0</v>
      </c>
    </row>
    <row r="26" customFormat="false" ht="15" hidden="false" customHeight="true" outlineLevel="0" collapsed="false">
      <c r="B26" s="31" t="s">
        <v>538</v>
      </c>
      <c r="C26" s="12" t="s">
        <v>136</v>
      </c>
      <c r="D26" s="32" t="n">
        <f aca="false">SUM(D23:D25)</f>
        <v>104800</v>
      </c>
      <c r="E26" s="32" t="n">
        <f aca="false">SUM(E23:E25)</f>
        <v>0</v>
      </c>
      <c r="F26" s="32" t="n">
        <f aca="false">SUM(F23:F25)</f>
        <v>104800</v>
      </c>
      <c r="G26" s="32" t="n">
        <f aca="false">SUM(G23:G25)</f>
        <v>0</v>
      </c>
      <c r="H26" s="32" t="n">
        <f aca="false">SUM(H23:H25)</f>
        <v>0</v>
      </c>
      <c r="I26" s="32" t="n">
        <f aca="false">SUM(I23:I25)</f>
        <v>0</v>
      </c>
      <c r="J26" s="32" t="n">
        <f aca="false">SUM(J23:J25)</f>
        <v>0</v>
      </c>
      <c r="K26" s="32" t="n">
        <f aca="false">SUM(K23:K25)</f>
        <v>0</v>
      </c>
      <c r="L26" s="32" t="n">
        <f aca="false">SUM(L23:L25)</f>
        <v>0</v>
      </c>
    </row>
    <row r="27" customFormat="false" ht="15" hidden="false" customHeight="true" outlineLevel="0" collapsed="false"/>
    <row r="28" customFormat="false" ht="15" hidden="false" customHeight="true" outlineLevel="0" collapsed="false">
      <c r="B28" s="28" t="s">
        <v>539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customFormat="false" ht="15" hidden="false" customHeight="true" outlineLevel="0" collapsed="false">
      <c r="B29" s="18" t="s">
        <v>540</v>
      </c>
      <c r="C29" s="12" t="s">
        <v>58</v>
      </c>
      <c r="D29" s="30" t="n">
        <f aca="false">SUM(E29:L29)</f>
        <v>4560</v>
      </c>
      <c r="E29" s="30" t="n">
        <f aca="false">ASM_A01_N_FARMS*$F$67*FLAG_VALIDATION_YM1</f>
        <v>0</v>
      </c>
      <c r="F29" s="30" t="n">
        <f aca="false">ASM_A01_N_FARMS*$F$67*FLAG_VALIDATION_Y0</f>
        <v>0</v>
      </c>
      <c r="G29" s="30" t="n">
        <f aca="false">ASM_A01_N_FARMS*$F$67*FLAG_VALIDATION_Y1</f>
        <v>2280</v>
      </c>
      <c r="H29" s="30" t="n">
        <f aca="false">ASM_A01_N_FARMS*$F$67*FLAG_VALIDATION_Y2</f>
        <v>2280</v>
      </c>
      <c r="I29" s="30" t="n">
        <f aca="false">ASM_A01_N_FARMS*$F$67*FLAG_VALIDATION_Y3</f>
        <v>0</v>
      </c>
      <c r="J29" s="30" t="n">
        <f aca="false">ASM_A01_N_FARMS*$F$67*FLAG_VALIDATION_Y4</f>
        <v>0</v>
      </c>
      <c r="K29" s="30" t="n">
        <f aca="false">ASM_A01_N_FARMS*$F$67*FLAG_VALIDATION_Y5</f>
        <v>0</v>
      </c>
      <c r="L29" s="30" t="n">
        <f aca="false">ASM_A01_N_FARMS*$F$67*FLAG_VALIDATION_Y6</f>
        <v>0</v>
      </c>
    </row>
    <row r="30" customFormat="false" ht="15" hidden="false" customHeight="true" outlineLevel="0" collapsed="false">
      <c r="B30" s="18" t="s">
        <v>541</v>
      </c>
      <c r="C30" s="12" t="s">
        <v>58</v>
      </c>
      <c r="D30" s="30" t="n">
        <f aca="false">SUM(E30:L30)</f>
        <v>13000</v>
      </c>
      <c r="E30" s="30" t="n">
        <f aca="false">$F$68*FLAG_VALIDATION_YM1</f>
        <v>0</v>
      </c>
      <c r="F30" s="30" t="n">
        <f aca="false">$F$68*FLAG_VALIDATION_Y0</f>
        <v>0</v>
      </c>
      <c r="G30" s="30" t="n">
        <f aca="false">$F$68*FLAG_VALIDATION_Y1</f>
        <v>6500</v>
      </c>
      <c r="H30" s="30" t="n">
        <f aca="false">$F$68*FLAG_VALIDATION_Y2</f>
        <v>6500</v>
      </c>
      <c r="I30" s="30" t="n">
        <f aca="false">$F$68*FLAG_VALIDATION_Y3</f>
        <v>0</v>
      </c>
      <c r="J30" s="30" t="n">
        <f aca="false">$F$68*FLAG_VALIDATION_Y4</f>
        <v>0</v>
      </c>
      <c r="K30" s="30" t="n">
        <f aca="false">$F$68*FLAG_VALIDATION_Y5</f>
        <v>0</v>
      </c>
      <c r="L30" s="30" t="n">
        <f aca="false">$F$68*FLAG_VALIDATION_Y6</f>
        <v>0</v>
      </c>
    </row>
    <row r="31" customFormat="false" ht="15" hidden="false" customHeight="true" outlineLevel="0" collapsed="false">
      <c r="B31" s="18" t="s">
        <v>542</v>
      </c>
      <c r="C31" s="12" t="s">
        <v>58</v>
      </c>
      <c r="D31" s="30" t="n">
        <f aca="false">SUM(E31:L31)</f>
        <v>36000</v>
      </c>
      <c r="E31" s="30" t="n">
        <f aca="false">$F$69*$F$70*FLAG_VALIDATION_YM1</f>
        <v>0</v>
      </c>
      <c r="F31" s="30" t="n">
        <f aca="false">$F$69*$F$70*FLAG_VALIDATION_Y0</f>
        <v>0</v>
      </c>
      <c r="G31" s="30" t="n">
        <f aca="false">$F$69*$F$70*FLAG_VALIDATION_Y1</f>
        <v>18000</v>
      </c>
      <c r="H31" s="30" t="n">
        <f aca="false">$F$69*$F$70*FLAG_VALIDATION_Y2</f>
        <v>18000</v>
      </c>
      <c r="I31" s="30" t="n">
        <f aca="false">$F$69*$F$70*FLAG_VALIDATION_Y3</f>
        <v>0</v>
      </c>
      <c r="J31" s="30" t="n">
        <f aca="false">$F$69*$F$70*FLAG_VALIDATION_Y4</f>
        <v>0</v>
      </c>
      <c r="K31" s="30" t="n">
        <f aca="false">$F$69*$F$70*FLAG_VALIDATION_Y5</f>
        <v>0</v>
      </c>
      <c r="L31" s="30" t="n">
        <f aca="false">$F$69*$F$70*FLAG_VALIDATION_Y6</f>
        <v>0</v>
      </c>
    </row>
    <row r="32" customFormat="false" ht="15" hidden="false" customHeight="true" outlineLevel="0" collapsed="false">
      <c r="B32" s="18" t="s">
        <v>543</v>
      </c>
      <c r="C32" s="12" t="s">
        <v>58</v>
      </c>
      <c r="D32" s="30" t="n">
        <f aca="false">SUM(E32:L32)</f>
        <v>158700</v>
      </c>
      <c r="E32" s="30" t="n">
        <f aca="false">$F$71*FLAG_VALIDATION_YM1</f>
        <v>0</v>
      </c>
      <c r="F32" s="30" t="n">
        <f aca="false">$F$71*FLAG_VALIDATION_Y0</f>
        <v>0</v>
      </c>
      <c r="G32" s="30" t="n">
        <f aca="false">$F$71*FLAG_VALIDATION_Y1</f>
        <v>79350</v>
      </c>
      <c r="H32" s="30" t="n">
        <f aca="false">$F$71*FLAG_VALIDATION_Y2</f>
        <v>79350</v>
      </c>
      <c r="I32" s="30" t="n">
        <f aca="false">$F$71*FLAG_VALIDATION_Y3</f>
        <v>0</v>
      </c>
      <c r="J32" s="30" t="n">
        <f aca="false">$F$71*FLAG_VALIDATION_Y4</f>
        <v>0</v>
      </c>
      <c r="K32" s="30" t="n">
        <f aca="false">$F$71*FLAG_VALIDATION_Y5</f>
        <v>0</v>
      </c>
      <c r="L32" s="30" t="n">
        <f aca="false">$F$71*FLAG_VALIDATION_Y6</f>
        <v>0</v>
      </c>
    </row>
    <row r="33" customFormat="false" ht="15" hidden="false" customHeight="true" outlineLevel="0" collapsed="false">
      <c r="B33" s="18" t="s">
        <v>544</v>
      </c>
      <c r="C33" s="12" t="s">
        <v>58</v>
      </c>
      <c r="D33" s="30" t="n">
        <f aca="false">SUM(E33:L33)</f>
        <v>71300</v>
      </c>
      <c r="E33" s="30" t="n">
        <f aca="false">$F$72*FLAG_VALIDATION_YM1</f>
        <v>0</v>
      </c>
      <c r="F33" s="30" t="n">
        <f aca="false">$F$72*FLAG_VALIDATION_Y0</f>
        <v>0</v>
      </c>
      <c r="G33" s="30" t="n">
        <f aca="false">$F$72*FLAG_VALIDATION_Y1</f>
        <v>35650</v>
      </c>
      <c r="H33" s="30" t="n">
        <f aca="false">$F$72*FLAG_VALIDATION_Y2</f>
        <v>35650</v>
      </c>
      <c r="I33" s="30" t="n">
        <f aca="false">$F$72*FLAG_VALIDATION_Y3</f>
        <v>0</v>
      </c>
      <c r="J33" s="30" t="n">
        <f aca="false">$F$72*FLAG_VALIDATION_Y4</f>
        <v>0</v>
      </c>
      <c r="K33" s="30" t="n">
        <f aca="false">$F$72*FLAG_VALIDATION_Y5</f>
        <v>0</v>
      </c>
      <c r="L33" s="30" t="n">
        <f aca="false">$F$72*FLAG_VALIDATION_Y6</f>
        <v>0</v>
      </c>
    </row>
    <row r="34" customFormat="false" ht="15" hidden="false" customHeight="true" outlineLevel="0" collapsed="false">
      <c r="B34" s="31" t="s">
        <v>545</v>
      </c>
      <c r="C34" s="12" t="s">
        <v>136</v>
      </c>
      <c r="D34" s="32" t="n">
        <f aca="false">SUM(D29:D33)</f>
        <v>283560</v>
      </c>
      <c r="E34" s="32" t="n">
        <f aca="false">SUM(E29:E33)</f>
        <v>0</v>
      </c>
      <c r="F34" s="32" t="n">
        <f aca="false">SUM(F29:F33)</f>
        <v>0</v>
      </c>
      <c r="G34" s="32" t="n">
        <f aca="false">SUM(G29:G33)</f>
        <v>141780</v>
      </c>
      <c r="H34" s="32" t="n">
        <f aca="false">SUM(H29:H33)</f>
        <v>141780</v>
      </c>
      <c r="I34" s="32" t="n">
        <f aca="false">SUM(I29:I33)</f>
        <v>0</v>
      </c>
      <c r="J34" s="32" t="n">
        <f aca="false">SUM(J29:J33)</f>
        <v>0</v>
      </c>
      <c r="K34" s="32" t="n">
        <f aca="false">SUM(K29:K33)</f>
        <v>0</v>
      </c>
      <c r="L34" s="32" t="n">
        <f aca="false">SUM(L29:L33)</f>
        <v>0</v>
      </c>
    </row>
    <row r="35" customFormat="false" ht="15" hidden="false" customHeight="true" outlineLevel="0" collapsed="false"/>
    <row r="36" customFormat="false" ht="15" hidden="false" customHeight="true" outlineLevel="0" collapsed="false">
      <c r="B36" s="4" t="s">
        <v>546</v>
      </c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true" outlineLevel="0" collapsed="false">
      <c r="B37" s="28" t="s">
        <v>531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customFormat="false" ht="15" hidden="false" customHeight="true" outlineLevel="0" collapsed="false">
      <c r="B38" s="18" t="s">
        <v>342</v>
      </c>
      <c r="C38" s="12" t="s">
        <v>136</v>
      </c>
      <c r="D38" s="30" t="n">
        <f aca="false">SUM(E38:L38)</f>
        <v>125000</v>
      </c>
      <c r="E38" s="30" t="n">
        <f aca="false">$F$75*FLAG_CONSTRUCT_YM1</f>
        <v>0</v>
      </c>
      <c r="F38" s="30" t="n">
        <f aca="false">$F$75*FLAG_CONSTRUCT_Y0</f>
        <v>125000</v>
      </c>
      <c r="G38" s="30" t="n">
        <f aca="false">$F$75*FLAG_CONSTRUCT_Y1</f>
        <v>0</v>
      </c>
      <c r="H38" s="30" t="n">
        <f aca="false">$F$75*FLAG_CONSTRUCT_Y2</f>
        <v>0</v>
      </c>
      <c r="I38" s="30" t="n">
        <f aca="false">$F$75*FLAG_CONSTRUCT_Y3</f>
        <v>0</v>
      </c>
      <c r="J38" s="30" t="n">
        <f aca="false">$F$75*FLAG_CONSTRUCT_Y4</f>
        <v>0</v>
      </c>
      <c r="K38" s="30" t="n">
        <f aca="false">$F$75*FLAG_CONSTRUCT_Y5</f>
        <v>0</v>
      </c>
      <c r="L38" s="30" t="n">
        <f aca="false">$F$75*FLAG_CONSTRUCT_Y6</f>
        <v>0</v>
      </c>
    </row>
    <row r="39" customFormat="false" ht="15" hidden="false" customHeight="true" outlineLevel="0" collapsed="false">
      <c r="B39" s="18" t="s">
        <v>547</v>
      </c>
      <c r="C39" s="12" t="s">
        <v>136</v>
      </c>
      <c r="D39" s="30" t="n">
        <f aca="false">SUM(E39:L39)</f>
        <v>75000</v>
      </c>
      <c r="E39" s="30" t="n">
        <f aca="false">$F$76*FLAG_CONSTRUCT_YM1</f>
        <v>0</v>
      </c>
      <c r="F39" s="30" t="n">
        <f aca="false">$F$76*FLAG_CONSTRUCT_Y0</f>
        <v>75000</v>
      </c>
      <c r="G39" s="30" t="n">
        <f aca="false">$F$76*FLAG_CONSTRUCT_Y1</f>
        <v>0</v>
      </c>
      <c r="H39" s="30" t="n">
        <f aca="false">$F$76*FLAG_CONSTRUCT_Y2</f>
        <v>0</v>
      </c>
      <c r="I39" s="30" t="n">
        <f aca="false">$F$76*FLAG_CONSTRUCT_Y3</f>
        <v>0</v>
      </c>
      <c r="J39" s="30" t="n">
        <f aca="false">$F$76*FLAG_CONSTRUCT_Y4</f>
        <v>0</v>
      </c>
      <c r="K39" s="30" t="n">
        <f aca="false">$F$76*FLAG_CONSTRUCT_Y5</f>
        <v>0</v>
      </c>
      <c r="L39" s="30" t="n">
        <f aca="false">$F$76*FLAG_CONSTRUCT_Y6</f>
        <v>0</v>
      </c>
    </row>
    <row r="40" customFormat="false" ht="15" hidden="false" customHeight="true" outlineLevel="0" collapsed="false">
      <c r="B40" s="31" t="s">
        <v>548</v>
      </c>
      <c r="C40" s="12" t="s">
        <v>136</v>
      </c>
      <c r="D40" s="32" t="n">
        <f aca="false">SUM(D38:D39)</f>
        <v>200000</v>
      </c>
      <c r="E40" s="32" t="n">
        <f aca="false">SUM(E38:E39)</f>
        <v>0</v>
      </c>
      <c r="F40" s="32" t="n">
        <f aca="false">SUM(F38:F39)</f>
        <v>200000</v>
      </c>
      <c r="G40" s="32" t="n">
        <f aca="false">SUM(G38:G39)</f>
        <v>0</v>
      </c>
      <c r="H40" s="32" t="n">
        <f aca="false">SUM(H38:H39)</f>
        <v>0</v>
      </c>
      <c r="I40" s="32" t="n">
        <f aca="false">SUM(I38:I39)</f>
        <v>0</v>
      </c>
      <c r="J40" s="32" t="n">
        <f aca="false">SUM(J38:J39)</f>
        <v>0</v>
      </c>
      <c r="K40" s="32" t="n">
        <f aca="false">SUM(K38:K39)</f>
        <v>0</v>
      </c>
      <c r="L40" s="32" t="n">
        <f aca="false">SUM(L38:L39)</f>
        <v>0</v>
      </c>
    </row>
    <row r="41" customFormat="false" ht="15" hidden="false" customHeight="true" outlineLevel="0" collapsed="false"/>
    <row r="42" customFormat="false" ht="15" hidden="false" customHeight="true" outlineLevel="0" collapsed="false">
      <c r="B42" s="28" t="s">
        <v>534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customFormat="false" ht="15" hidden="false" customHeight="true" outlineLevel="0" collapsed="false">
      <c r="B43" s="18" t="s">
        <v>549</v>
      </c>
      <c r="C43" s="12" t="s">
        <v>136</v>
      </c>
      <c r="D43" s="30" t="n">
        <f aca="false">SUM(E43:L43)</f>
        <v>17000</v>
      </c>
      <c r="E43" s="30" t="n">
        <f aca="false">$F$77*FLAG_CONSTRUCT_YM1</f>
        <v>0</v>
      </c>
      <c r="F43" s="30" t="n">
        <f aca="false">$F$77*FLAG_CONSTRUCT_Y0</f>
        <v>17000</v>
      </c>
      <c r="G43" s="30" t="n">
        <f aca="false">$F$77*FLAG_CONSTRUCT_Y1</f>
        <v>0</v>
      </c>
      <c r="H43" s="30" t="n">
        <f aca="false">$F$77*FLAG_CONSTRUCT_Y2</f>
        <v>0</v>
      </c>
      <c r="I43" s="30" t="n">
        <f aca="false">$F$77*FLAG_CONSTRUCT_Y3</f>
        <v>0</v>
      </c>
      <c r="J43" s="30" t="n">
        <f aca="false">$F$77*FLAG_CONSTRUCT_Y4</f>
        <v>0</v>
      </c>
      <c r="K43" s="30" t="n">
        <f aca="false">$F$77*FLAG_CONSTRUCT_Y5</f>
        <v>0</v>
      </c>
      <c r="L43" s="30" t="n">
        <f aca="false">$F$77*FLAG_CONSTRUCT_Y6</f>
        <v>0</v>
      </c>
    </row>
    <row r="44" customFormat="false" ht="15" hidden="false" customHeight="true" outlineLevel="0" collapsed="false">
      <c r="B44" s="18" t="s">
        <v>550</v>
      </c>
      <c r="C44" s="12" t="s">
        <v>136</v>
      </c>
      <c r="D44" s="30" t="n">
        <f aca="false">SUM(E44:L44)</f>
        <v>24000</v>
      </c>
      <c r="E44" s="30" t="n">
        <f aca="false">$F$78*FLAG_CONSTRUCT_YM1</f>
        <v>0</v>
      </c>
      <c r="F44" s="30" t="n">
        <f aca="false">$F$78*FLAG_CONSTRUCT_Y0</f>
        <v>24000</v>
      </c>
      <c r="G44" s="30" t="n">
        <f aca="false">$F$78*FLAG_CONSTRUCT_Y1</f>
        <v>0</v>
      </c>
      <c r="H44" s="30" t="n">
        <f aca="false">$F$78*FLAG_CONSTRUCT_Y2</f>
        <v>0</v>
      </c>
      <c r="I44" s="30" t="n">
        <f aca="false">$F$78*FLAG_CONSTRUCT_Y3</f>
        <v>0</v>
      </c>
      <c r="J44" s="30" t="n">
        <f aca="false">$F$78*FLAG_CONSTRUCT_Y4</f>
        <v>0</v>
      </c>
      <c r="K44" s="30" t="n">
        <f aca="false">$F$78*FLAG_CONSTRUCT_Y5</f>
        <v>0</v>
      </c>
      <c r="L44" s="30" t="n">
        <f aca="false">$F$78*FLAG_CONSTRUCT_Y6</f>
        <v>0</v>
      </c>
    </row>
    <row r="45" customFormat="false" ht="15" hidden="false" customHeight="true" outlineLevel="0" collapsed="false">
      <c r="B45" s="18" t="s">
        <v>551</v>
      </c>
      <c r="C45" s="12" t="s">
        <v>136</v>
      </c>
      <c r="D45" s="30" t="n">
        <f aca="false">SUM(E45:L45)</f>
        <v>8000</v>
      </c>
      <c r="E45" s="30" t="n">
        <f aca="false">$F$79*FLAG_CONSTRUCT_YM1</f>
        <v>0</v>
      </c>
      <c r="F45" s="30" t="n">
        <f aca="false">$F$79*FLAG_CONSTRUCT_Y0</f>
        <v>8000</v>
      </c>
      <c r="G45" s="30" t="n">
        <f aca="false">$F$79*FLAG_CONSTRUCT_Y1</f>
        <v>0</v>
      </c>
      <c r="H45" s="30" t="n">
        <f aca="false">$F$79*FLAG_CONSTRUCT_Y2</f>
        <v>0</v>
      </c>
      <c r="I45" s="30" t="n">
        <f aca="false">$F$79*FLAG_CONSTRUCT_Y3</f>
        <v>0</v>
      </c>
      <c r="J45" s="30" t="n">
        <f aca="false">$F$79*FLAG_CONSTRUCT_Y4</f>
        <v>0</v>
      </c>
      <c r="K45" s="30" t="n">
        <f aca="false">$F$79*FLAG_CONSTRUCT_Y5</f>
        <v>0</v>
      </c>
      <c r="L45" s="30" t="n">
        <f aca="false">$F$79*FLAG_CONSTRUCT_Y6</f>
        <v>0</v>
      </c>
    </row>
    <row r="46" customFormat="false" ht="15" hidden="false" customHeight="true" outlineLevel="0" collapsed="false">
      <c r="B46" s="18" t="s">
        <v>347</v>
      </c>
      <c r="C46" s="12" t="s">
        <v>136</v>
      </c>
      <c r="D46" s="30" t="n">
        <f aca="false">SUM(E46:L46)</f>
        <v>18000</v>
      </c>
      <c r="E46" s="30" t="n">
        <f aca="false">$F$80*FLAG_CONSTRUCT_YM1</f>
        <v>0</v>
      </c>
      <c r="F46" s="30" t="n">
        <f aca="false">$F$80*FLAG_CONSTRUCT_Y0</f>
        <v>18000</v>
      </c>
      <c r="G46" s="30" t="n">
        <f aca="false">$F$80*FLAG_CONSTRUCT_Y1</f>
        <v>0</v>
      </c>
      <c r="H46" s="30" t="n">
        <f aca="false">$F$80*FLAG_CONSTRUCT_Y2</f>
        <v>0</v>
      </c>
      <c r="I46" s="30" t="n">
        <f aca="false">$F$80*FLAG_CONSTRUCT_Y3</f>
        <v>0</v>
      </c>
      <c r="J46" s="30" t="n">
        <f aca="false">$F$80*FLAG_CONSTRUCT_Y4</f>
        <v>0</v>
      </c>
      <c r="K46" s="30" t="n">
        <f aca="false">$F$80*FLAG_CONSTRUCT_Y5</f>
        <v>0</v>
      </c>
      <c r="L46" s="30" t="n">
        <f aca="false">$F$80*FLAG_CONSTRUCT_Y6</f>
        <v>0</v>
      </c>
    </row>
    <row r="47" customFormat="false" ht="15" hidden="false" customHeight="true" outlineLevel="0" collapsed="false">
      <c r="B47" s="18" t="s">
        <v>348</v>
      </c>
      <c r="C47" s="12" t="s">
        <v>136</v>
      </c>
      <c r="D47" s="30" t="n">
        <f aca="false">SUM(E47:L47)</f>
        <v>6000</v>
      </c>
      <c r="E47" s="30" t="n">
        <f aca="false">$F$81*FLAG_CONSTRUCT_YM1</f>
        <v>0</v>
      </c>
      <c r="F47" s="30" t="n">
        <f aca="false">$F$81*FLAG_CONSTRUCT_Y0</f>
        <v>6000</v>
      </c>
      <c r="G47" s="30" t="n">
        <f aca="false">$F$81*FLAG_CONSTRUCT_Y1</f>
        <v>0</v>
      </c>
      <c r="H47" s="30" t="n">
        <f aca="false">$F$81*FLAG_CONSTRUCT_Y2</f>
        <v>0</v>
      </c>
      <c r="I47" s="30" t="n">
        <f aca="false">$F$81*FLAG_CONSTRUCT_Y3</f>
        <v>0</v>
      </c>
      <c r="J47" s="30" t="n">
        <f aca="false">$F$81*FLAG_CONSTRUCT_Y4</f>
        <v>0</v>
      </c>
      <c r="K47" s="30" t="n">
        <f aca="false">$F$81*FLAG_CONSTRUCT_Y5</f>
        <v>0</v>
      </c>
      <c r="L47" s="30" t="n">
        <f aca="false">$F$81*FLAG_CONSTRUCT_Y6</f>
        <v>0</v>
      </c>
    </row>
    <row r="48" customFormat="false" ht="15" hidden="false" customHeight="true" outlineLevel="0" collapsed="false">
      <c r="B48" s="31" t="s">
        <v>552</v>
      </c>
      <c r="C48" s="12" t="s">
        <v>136</v>
      </c>
      <c r="D48" s="32" t="n">
        <f aca="false">SUM(D43:D47)</f>
        <v>73000</v>
      </c>
      <c r="E48" s="32" t="n">
        <f aca="false">SUM(E43:E47)</f>
        <v>0</v>
      </c>
      <c r="F48" s="32" t="n">
        <f aca="false">SUM(F43:F47)</f>
        <v>73000</v>
      </c>
      <c r="G48" s="32" t="n">
        <f aca="false">SUM(G43:G47)</f>
        <v>0</v>
      </c>
      <c r="H48" s="32" t="n">
        <f aca="false">SUM(H43:H47)</f>
        <v>0</v>
      </c>
      <c r="I48" s="32" t="n">
        <f aca="false">SUM(I43:I47)</f>
        <v>0</v>
      </c>
      <c r="J48" s="32" t="n">
        <f aca="false">SUM(J43:J47)</f>
        <v>0</v>
      </c>
      <c r="K48" s="32" t="n">
        <f aca="false">SUM(K43:K47)</f>
        <v>0</v>
      </c>
      <c r="L48" s="32" t="n">
        <f aca="false">SUM(L43:L47)</f>
        <v>0</v>
      </c>
    </row>
    <row r="49" customFormat="false" ht="15" hidden="false" customHeight="true" outlineLevel="0" collapsed="false"/>
    <row r="50" customFormat="false" ht="15" hidden="false" customHeight="true" outlineLevel="0" collapsed="false">
      <c r="B50" s="28" t="s">
        <v>539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customFormat="false" ht="15" hidden="false" customHeight="true" outlineLevel="0" collapsed="false">
      <c r="B51" s="18" t="s">
        <v>553</v>
      </c>
      <c r="C51" s="12" t="s">
        <v>58</v>
      </c>
      <c r="D51" s="30" t="n">
        <f aca="false">SUM(E51:L51)</f>
        <v>36000</v>
      </c>
      <c r="E51" s="30" t="n">
        <f aca="false">$F$82*FLAG_VALIDATION_YM1</f>
        <v>0</v>
      </c>
      <c r="F51" s="30" t="n">
        <f aca="false">$F$82*FLAG_VALIDATION_Y0</f>
        <v>0</v>
      </c>
      <c r="G51" s="30" t="n">
        <f aca="false">$F$82*FLAG_VALIDATION_Y1</f>
        <v>18000</v>
      </c>
      <c r="H51" s="30" t="n">
        <f aca="false">$F$82*FLAG_VALIDATION_Y2</f>
        <v>18000</v>
      </c>
      <c r="I51" s="30" t="n">
        <f aca="false">$F$82*FLAG_VALIDATION_Y3</f>
        <v>0</v>
      </c>
      <c r="J51" s="30" t="n">
        <f aca="false">$F$82*FLAG_VALIDATION_Y4</f>
        <v>0</v>
      </c>
      <c r="K51" s="30" t="n">
        <f aca="false">$F$82*FLAG_VALIDATION_Y5</f>
        <v>0</v>
      </c>
      <c r="L51" s="30" t="n">
        <f aca="false">$F$82*FLAG_VALIDATION_Y6</f>
        <v>0</v>
      </c>
    </row>
    <row r="52" customFormat="false" ht="15" hidden="false" customHeight="true" outlineLevel="0" collapsed="false">
      <c r="B52" s="18" t="s">
        <v>554</v>
      </c>
      <c r="C52" s="12" t="s">
        <v>58</v>
      </c>
      <c r="D52" s="30" t="n">
        <f aca="false">SUM(E52:L52)</f>
        <v>32000</v>
      </c>
      <c r="E52" s="30" t="n">
        <f aca="false">$F$83*FLAG_VALIDATION_YM1</f>
        <v>0</v>
      </c>
      <c r="F52" s="30" t="n">
        <f aca="false">$F$83*FLAG_VALIDATION_Y0</f>
        <v>0</v>
      </c>
      <c r="G52" s="30" t="n">
        <f aca="false">$F$83*FLAG_VALIDATION_Y1</f>
        <v>16000</v>
      </c>
      <c r="H52" s="30" t="n">
        <f aca="false">$F$83*FLAG_VALIDATION_Y2</f>
        <v>16000</v>
      </c>
      <c r="I52" s="30" t="n">
        <f aca="false">$F$83*FLAG_VALIDATION_Y3</f>
        <v>0</v>
      </c>
      <c r="J52" s="30" t="n">
        <f aca="false">$F$83*FLAG_VALIDATION_Y4</f>
        <v>0</v>
      </c>
      <c r="K52" s="30" t="n">
        <f aca="false">$F$83*FLAG_VALIDATION_Y5</f>
        <v>0</v>
      </c>
      <c r="L52" s="30" t="n">
        <f aca="false">$F$83*FLAG_VALIDATION_Y6</f>
        <v>0</v>
      </c>
    </row>
    <row r="53" customFormat="false" ht="15" hidden="false" customHeight="true" outlineLevel="0" collapsed="false">
      <c r="B53" s="18" t="s">
        <v>543</v>
      </c>
      <c r="C53" s="12" t="s">
        <v>58</v>
      </c>
      <c r="D53" s="30" t="n">
        <f aca="false">SUM(E53:L53)</f>
        <v>103500</v>
      </c>
      <c r="E53" s="30" t="n">
        <f aca="false">$F$84*FLAG_VALIDATION_YM1</f>
        <v>0</v>
      </c>
      <c r="F53" s="30" t="n">
        <f aca="false">$F$84*FLAG_VALIDATION_Y0</f>
        <v>0</v>
      </c>
      <c r="G53" s="30" t="n">
        <f aca="false">$F$84*FLAG_VALIDATION_Y1</f>
        <v>51750</v>
      </c>
      <c r="H53" s="30" t="n">
        <f aca="false">$F$84*FLAG_VALIDATION_Y2</f>
        <v>51750</v>
      </c>
      <c r="I53" s="30" t="n">
        <f aca="false">$F$84*FLAG_VALIDATION_Y3</f>
        <v>0</v>
      </c>
      <c r="J53" s="30" t="n">
        <f aca="false">$F$84*FLAG_VALIDATION_Y4</f>
        <v>0</v>
      </c>
      <c r="K53" s="30" t="n">
        <f aca="false">$F$84*FLAG_VALIDATION_Y5</f>
        <v>0</v>
      </c>
      <c r="L53" s="30" t="n">
        <f aca="false">$F$84*FLAG_VALIDATION_Y6</f>
        <v>0</v>
      </c>
    </row>
    <row r="54" customFormat="false" ht="15" hidden="false" customHeight="true" outlineLevel="0" collapsed="false">
      <c r="B54" s="18" t="s">
        <v>544</v>
      </c>
      <c r="C54" s="12" t="s">
        <v>58</v>
      </c>
      <c r="D54" s="30" t="n">
        <f aca="false">SUM(E54:L54)</f>
        <v>46500</v>
      </c>
      <c r="E54" s="30" t="n">
        <f aca="false">$F$85*FLAG_VALIDATION_YM1</f>
        <v>0</v>
      </c>
      <c r="F54" s="30" t="n">
        <f aca="false">$F$85*FLAG_VALIDATION_Y0</f>
        <v>0</v>
      </c>
      <c r="G54" s="30" t="n">
        <f aca="false">$F$85*FLAG_VALIDATION_Y1</f>
        <v>23250</v>
      </c>
      <c r="H54" s="30" t="n">
        <f aca="false">$F$85*FLAG_VALIDATION_Y2</f>
        <v>23250</v>
      </c>
      <c r="I54" s="30" t="n">
        <f aca="false">$F$85*FLAG_VALIDATION_Y3</f>
        <v>0</v>
      </c>
      <c r="J54" s="30" t="n">
        <f aca="false">$F$85*FLAG_VALIDATION_Y4</f>
        <v>0</v>
      </c>
      <c r="K54" s="30" t="n">
        <f aca="false">$F$85*FLAG_VALIDATION_Y5</f>
        <v>0</v>
      </c>
      <c r="L54" s="30" t="n">
        <f aca="false">$F$85*FLAG_VALIDATION_Y6</f>
        <v>0</v>
      </c>
    </row>
    <row r="55" customFormat="false" ht="15" hidden="false" customHeight="true" outlineLevel="0" collapsed="false">
      <c r="B55" s="31" t="s">
        <v>555</v>
      </c>
      <c r="C55" s="12" t="s">
        <v>136</v>
      </c>
      <c r="D55" s="32" t="n">
        <f aca="false">SUM(D51:D54)</f>
        <v>218000</v>
      </c>
      <c r="E55" s="32" t="n">
        <f aca="false">SUM(E51:E54)</f>
        <v>0</v>
      </c>
      <c r="F55" s="32" t="n">
        <f aca="false">SUM(F51:F54)</f>
        <v>0</v>
      </c>
      <c r="G55" s="32" t="n">
        <f aca="false">SUM(G51:G54)</f>
        <v>109000</v>
      </c>
      <c r="H55" s="32" t="n">
        <f aca="false">SUM(H51:H54)</f>
        <v>109000</v>
      </c>
      <c r="I55" s="32" t="n">
        <f aca="false">SUM(I51:I54)</f>
        <v>0</v>
      </c>
      <c r="J55" s="32" t="n">
        <f aca="false">SUM(J51:J54)</f>
        <v>0</v>
      </c>
      <c r="K55" s="32" t="n">
        <f aca="false">SUM(K51:K54)</f>
        <v>0</v>
      </c>
      <c r="L55" s="32" t="n">
        <f aca="false">SUM(L51:L54)</f>
        <v>0</v>
      </c>
    </row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>
      <c r="B58" s="34" t="s">
        <v>556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customFormat="false" ht="15" hidden="false" customHeight="true" outlineLevel="0" collapsed="false">
      <c r="B59" s="36" t="s">
        <v>557</v>
      </c>
      <c r="C59" s="12" t="s">
        <v>136</v>
      </c>
      <c r="D59" s="11" t="n">
        <f aca="false">SUM(E59:L59)</f>
        <v>1000000</v>
      </c>
      <c r="E59" s="11" t="n">
        <f aca="false">ASM_S01_CENTRE_VETERINAIRE_EUR</f>
        <v>125000</v>
      </c>
      <c r="F59" s="11" t="n">
        <f aca="false">ASM_S01_CENTRE_VETERINAIRE_EUR</f>
        <v>125000</v>
      </c>
      <c r="G59" s="11" t="n">
        <f aca="false">ASM_S01_CENTRE_VETERINAIRE_EUR</f>
        <v>125000</v>
      </c>
      <c r="H59" s="11" t="n">
        <f aca="false">ASM_S01_CENTRE_VETERINAIRE_EUR</f>
        <v>125000</v>
      </c>
      <c r="I59" s="11" t="n">
        <f aca="false">ASM_S01_CENTRE_VETERINAIRE_EUR</f>
        <v>125000</v>
      </c>
      <c r="J59" s="11" t="n">
        <f aca="false">ASM_S01_CENTRE_VETERINAIRE_EUR</f>
        <v>125000</v>
      </c>
      <c r="K59" s="11" t="n">
        <f aca="false">ASM_S01_CENTRE_VETERINAIRE_EUR</f>
        <v>125000</v>
      </c>
      <c r="L59" s="11" t="n">
        <f aca="false">ASM_S01_CENTRE_VETERINAIRE_EUR</f>
        <v>125000</v>
      </c>
    </row>
    <row r="60" customFormat="false" ht="15" hidden="false" customHeight="true" outlineLevel="0" collapsed="false">
      <c r="B60" s="36" t="s">
        <v>558</v>
      </c>
      <c r="C60" s="12" t="s">
        <v>136</v>
      </c>
      <c r="D60" s="11" t="n">
        <f aca="false">SUM(E60:L60)</f>
        <v>1200000</v>
      </c>
      <c r="E60" s="11" t="n">
        <f aca="false">ASM_S02_ANIMAL_EQUIPMENT_EUR</f>
        <v>150000</v>
      </c>
      <c r="F60" s="11" t="n">
        <f aca="false">ASM_S02_ANIMAL_EQUIPMENT_EUR</f>
        <v>150000</v>
      </c>
      <c r="G60" s="11" t="n">
        <f aca="false">ASM_S02_ANIMAL_EQUIPMENT_EUR</f>
        <v>150000</v>
      </c>
      <c r="H60" s="11" t="n">
        <f aca="false">ASM_S02_ANIMAL_EQUIPMENT_EUR</f>
        <v>150000</v>
      </c>
      <c r="I60" s="11" t="n">
        <f aca="false">ASM_S02_ANIMAL_EQUIPMENT_EUR</f>
        <v>150000</v>
      </c>
      <c r="J60" s="11" t="n">
        <f aca="false">ASM_S02_ANIMAL_EQUIPMENT_EUR</f>
        <v>150000</v>
      </c>
      <c r="K60" s="11" t="n">
        <f aca="false">ASM_S02_ANIMAL_EQUIPMENT_EUR</f>
        <v>150000</v>
      </c>
      <c r="L60" s="11" t="n">
        <f aca="false">ASM_S02_ANIMAL_EQUIPMENT_EUR</f>
        <v>150000</v>
      </c>
    </row>
    <row r="61" customFormat="false" ht="15" hidden="false" customHeight="true" outlineLevel="0" collapsed="false">
      <c r="B61" s="36" t="s">
        <v>559</v>
      </c>
      <c r="C61" s="12" t="s">
        <v>324</v>
      </c>
      <c r="D61" s="11" t="n">
        <f aca="false">SUM(E61:L61)</f>
        <v>40000</v>
      </c>
      <c r="E61" s="11" t="n">
        <f aca="false">ASM_S03_IDENTIFICATION_EUR_PER_FARM</f>
        <v>5000</v>
      </c>
      <c r="F61" s="11" t="n">
        <f aca="false">ASM_S03_IDENTIFICATION_EUR_PER_FARM</f>
        <v>5000</v>
      </c>
      <c r="G61" s="11" t="n">
        <f aca="false">ASM_S03_IDENTIFICATION_EUR_PER_FARM</f>
        <v>5000</v>
      </c>
      <c r="H61" s="11" t="n">
        <f aca="false">ASM_S03_IDENTIFICATION_EUR_PER_FARM</f>
        <v>5000</v>
      </c>
      <c r="I61" s="11" t="n">
        <f aca="false">ASM_S03_IDENTIFICATION_EUR_PER_FARM</f>
        <v>5000</v>
      </c>
      <c r="J61" s="11" t="n">
        <f aca="false">ASM_S03_IDENTIFICATION_EUR_PER_FARM</f>
        <v>5000</v>
      </c>
      <c r="K61" s="11" t="n">
        <f aca="false">ASM_S03_IDENTIFICATION_EUR_PER_FARM</f>
        <v>5000</v>
      </c>
      <c r="L61" s="11" t="n">
        <f aca="false">ASM_S03_IDENTIFICATION_EUR_PER_FARM</f>
        <v>5000</v>
      </c>
    </row>
    <row r="62" customFormat="false" ht="15" hidden="false" customHeight="true" outlineLevel="0" collapsed="false">
      <c r="B62" s="36" t="s">
        <v>560</v>
      </c>
      <c r="C62" s="12" t="s">
        <v>136</v>
      </c>
      <c r="D62" s="11" t="n">
        <f aca="false">SUM(E62:L62)</f>
        <v>67208</v>
      </c>
      <c r="E62" s="11" t="n">
        <f aca="false">ASM_S04_IA_HARDWARE_SHARED_EUR</f>
        <v>8401</v>
      </c>
      <c r="F62" s="11" t="n">
        <f aca="false">ASM_S04_IA_HARDWARE_SHARED_EUR</f>
        <v>8401</v>
      </c>
      <c r="G62" s="11" t="n">
        <f aca="false">ASM_S04_IA_HARDWARE_SHARED_EUR</f>
        <v>8401</v>
      </c>
      <c r="H62" s="11" t="n">
        <f aca="false">ASM_S04_IA_HARDWARE_SHARED_EUR</f>
        <v>8401</v>
      </c>
      <c r="I62" s="11" t="n">
        <f aca="false">ASM_S04_IA_HARDWARE_SHARED_EUR</f>
        <v>8401</v>
      </c>
      <c r="J62" s="11" t="n">
        <f aca="false">ASM_S04_IA_HARDWARE_SHARED_EUR</f>
        <v>8401</v>
      </c>
      <c r="K62" s="11" t="n">
        <f aca="false">ASM_S04_IA_HARDWARE_SHARED_EUR</f>
        <v>8401</v>
      </c>
      <c r="L62" s="11" t="n">
        <f aca="false">ASM_S04_IA_HARDWARE_SHARED_EUR</f>
        <v>8401</v>
      </c>
    </row>
    <row r="63" customFormat="false" ht="15" hidden="false" customHeight="true" outlineLevel="0" collapsed="false">
      <c r="B63" s="36" t="s">
        <v>561</v>
      </c>
      <c r="C63" s="12" t="s">
        <v>324</v>
      </c>
      <c r="D63" s="11" t="n">
        <f aca="false">SUM(E63:L63)</f>
        <v>192000</v>
      </c>
      <c r="E63" s="11" t="n">
        <f aca="false">ASM_S05_CA71_ACCOMPAGNEMENT_EUR_PER_FARM</f>
        <v>24000</v>
      </c>
      <c r="F63" s="11" t="n">
        <f aca="false">ASM_S05_CA71_ACCOMPAGNEMENT_EUR_PER_FARM</f>
        <v>24000</v>
      </c>
      <c r="G63" s="11" t="n">
        <f aca="false">ASM_S05_CA71_ACCOMPAGNEMENT_EUR_PER_FARM</f>
        <v>24000</v>
      </c>
      <c r="H63" s="11" t="n">
        <f aca="false">ASM_S05_CA71_ACCOMPAGNEMENT_EUR_PER_FARM</f>
        <v>24000</v>
      </c>
      <c r="I63" s="11" t="n">
        <f aca="false">ASM_S05_CA71_ACCOMPAGNEMENT_EUR_PER_FARM</f>
        <v>24000</v>
      </c>
      <c r="J63" s="11" t="n">
        <f aca="false">ASM_S05_CA71_ACCOMPAGNEMENT_EUR_PER_FARM</f>
        <v>24000</v>
      </c>
      <c r="K63" s="11" t="n">
        <f aca="false">ASM_S05_CA71_ACCOMPAGNEMENT_EUR_PER_FARM</f>
        <v>24000</v>
      </c>
      <c r="L63" s="11" t="n">
        <f aca="false">ASM_S05_CA71_ACCOMPAGNEMENT_EUR_PER_FARM</f>
        <v>24000</v>
      </c>
    </row>
    <row r="64" customFormat="false" ht="15" hidden="false" customHeight="true" outlineLevel="0" collapsed="false">
      <c r="B64" s="36" t="s">
        <v>562</v>
      </c>
      <c r="C64" s="12" t="s">
        <v>136</v>
      </c>
      <c r="D64" s="11" t="n">
        <f aca="false">SUM(E64:L64)</f>
        <v>202400</v>
      </c>
      <c r="E64" s="11" t="n">
        <f aca="false">ASM_S06_ELVANOVIA_FORMATION_EUR</f>
        <v>25300</v>
      </c>
      <c r="F64" s="11" t="n">
        <f aca="false">ASM_S06_ELVANOVIA_FORMATION_EUR</f>
        <v>25300</v>
      </c>
      <c r="G64" s="11" t="n">
        <f aca="false">ASM_S06_ELVANOVIA_FORMATION_EUR</f>
        <v>25300</v>
      </c>
      <c r="H64" s="11" t="n">
        <f aca="false">ASM_S06_ELVANOVIA_FORMATION_EUR</f>
        <v>25300</v>
      </c>
      <c r="I64" s="11" t="n">
        <f aca="false">ASM_S06_ELVANOVIA_FORMATION_EUR</f>
        <v>25300</v>
      </c>
      <c r="J64" s="11" t="n">
        <f aca="false">ASM_S06_ELVANOVIA_FORMATION_EUR</f>
        <v>25300</v>
      </c>
      <c r="K64" s="11" t="n">
        <f aca="false">ASM_S06_ELVANOVIA_FORMATION_EUR</f>
        <v>25300</v>
      </c>
      <c r="L64" s="11" t="n">
        <f aca="false">ASM_S06_ELVANOVIA_FORMATION_EUR</f>
        <v>25300</v>
      </c>
    </row>
    <row r="65" customFormat="false" ht="15" hidden="false" customHeight="true" outlineLevel="0" collapsed="false">
      <c r="B65" s="36" t="s">
        <v>563</v>
      </c>
      <c r="C65" s="12" t="s">
        <v>329</v>
      </c>
      <c r="D65" s="37" t="n">
        <f aca="false">SUM(E65:L65)</f>
        <v>12000</v>
      </c>
      <c r="E65" s="37" t="n">
        <f aca="false">ASM_S07_DOSES_INITIAL_N</f>
        <v>1500</v>
      </c>
      <c r="F65" s="37" t="n">
        <f aca="false">ASM_S07_DOSES_INITIAL_N</f>
        <v>1500</v>
      </c>
      <c r="G65" s="37" t="n">
        <f aca="false">ASM_S07_DOSES_INITIAL_N</f>
        <v>1500</v>
      </c>
      <c r="H65" s="37" t="n">
        <f aca="false">ASM_S07_DOSES_INITIAL_N</f>
        <v>1500</v>
      </c>
      <c r="I65" s="37" t="n">
        <f aca="false">ASM_S07_DOSES_INITIAL_N</f>
        <v>1500</v>
      </c>
      <c r="J65" s="37" t="n">
        <f aca="false">ASM_S07_DOSES_INITIAL_N</f>
        <v>1500</v>
      </c>
      <c r="K65" s="37" t="n">
        <f aca="false">ASM_S07_DOSES_INITIAL_N</f>
        <v>1500</v>
      </c>
      <c r="L65" s="37" t="n">
        <f aca="false">ASM_S07_DOSES_INITIAL_N</f>
        <v>1500</v>
      </c>
    </row>
    <row r="66" customFormat="false" ht="15" hidden="false" customHeight="true" outlineLevel="0" collapsed="false">
      <c r="B66" s="36" t="s">
        <v>564</v>
      </c>
      <c r="C66" s="12" t="s">
        <v>331</v>
      </c>
      <c r="D66" s="11" t="n">
        <f aca="false">SUM(E66:L66)</f>
        <v>40</v>
      </c>
      <c r="E66" s="11" t="n">
        <f aca="false">ASM_S08_DOSE_EUR_PER_PAILLETTE</f>
        <v>5</v>
      </c>
      <c r="F66" s="11" t="n">
        <f aca="false">ASM_S08_DOSE_EUR_PER_PAILLETTE</f>
        <v>5</v>
      </c>
      <c r="G66" s="11" t="n">
        <f aca="false">ASM_S08_DOSE_EUR_PER_PAILLETTE</f>
        <v>5</v>
      </c>
      <c r="H66" s="11" t="n">
        <f aca="false">ASM_S08_DOSE_EUR_PER_PAILLETTE</f>
        <v>5</v>
      </c>
      <c r="I66" s="11" t="n">
        <f aca="false">ASM_S08_DOSE_EUR_PER_PAILLETTE</f>
        <v>5</v>
      </c>
      <c r="J66" s="11" t="n">
        <f aca="false">ASM_S08_DOSE_EUR_PER_PAILLETTE</f>
        <v>5</v>
      </c>
      <c r="K66" s="11" t="n">
        <f aca="false">ASM_S08_DOSE_EUR_PER_PAILLETTE</f>
        <v>5</v>
      </c>
      <c r="L66" s="11" t="n">
        <f aca="false">ASM_S08_DOSE_EUR_PER_PAILLETTE</f>
        <v>5</v>
      </c>
    </row>
    <row r="67" customFormat="false" ht="15" hidden="false" customHeight="true" outlineLevel="0" collapsed="false">
      <c r="B67" s="36" t="s">
        <v>565</v>
      </c>
      <c r="C67" s="12" t="s">
        <v>333</v>
      </c>
      <c r="D67" s="11" t="n">
        <f aca="false">SUM(E67:L67)</f>
        <v>6080</v>
      </c>
      <c r="E67" s="11" t="n">
        <f aca="false">ASM_S09_FARMBRITE_LICENCE_EUR_YR_PER_FARM</f>
        <v>760</v>
      </c>
      <c r="F67" s="11" t="n">
        <f aca="false">ASM_S09_FARMBRITE_LICENCE_EUR_YR_PER_FARM</f>
        <v>760</v>
      </c>
      <c r="G67" s="11" t="n">
        <f aca="false">ASM_S09_FARMBRITE_LICENCE_EUR_YR_PER_FARM</f>
        <v>760</v>
      </c>
      <c r="H67" s="11" t="n">
        <f aca="false">ASM_S09_FARMBRITE_LICENCE_EUR_YR_PER_FARM</f>
        <v>760</v>
      </c>
      <c r="I67" s="11" t="n">
        <f aca="false">ASM_S09_FARMBRITE_LICENCE_EUR_YR_PER_FARM</f>
        <v>760</v>
      </c>
      <c r="J67" s="11" t="n">
        <f aca="false">ASM_S09_FARMBRITE_LICENCE_EUR_YR_PER_FARM</f>
        <v>760</v>
      </c>
      <c r="K67" s="11" t="n">
        <f aca="false">ASM_S09_FARMBRITE_LICENCE_EUR_YR_PER_FARM</f>
        <v>760</v>
      </c>
      <c r="L67" s="11" t="n">
        <f aca="false">ASM_S09_FARMBRITE_LICENCE_EUR_YR_PER_FARM</f>
        <v>760</v>
      </c>
    </row>
    <row r="68" customFormat="false" ht="15" hidden="false" customHeight="true" outlineLevel="0" collapsed="false">
      <c r="B68" s="36" t="s">
        <v>566</v>
      </c>
      <c r="C68" s="12" t="s">
        <v>58</v>
      </c>
      <c r="D68" s="11" t="n">
        <f aca="false">SUM(E68:L68)</f>
        <v>52000</v>
      </c>
      <c r="E68" s="11" t="n">
        <f aca="false">ASM_S10_INSEMINATOR_SALARY_EUR_YR</f>
        <v>6500</v>
      </c>
      <c r="F68" s="11" t="n">
        <f aca="false">ASM_S10_INSEMINATOR_SALARY_EUR_YR</f>
        <v>6500</v>
      </c>
      <c r="G68" s="11" t="n">
        <f aca="false">ASM_S10_INSEMINATOR_SALARY_EUR_YR</f>
        <v>6500</v>
      </c>
      <c r="H68" s="11" t="n">
        <f aca="false">ASM_S10_INSEMINATOR_SALARY_EUR_YR</f>
        <v>6500</v>
      </c>
      <c r="I68" s="11" t="n">
        <f aca="false">ASM_S10_INSEMINATOR_SALARY_EUR_YR</f>
        <v>6500</v>
      </c>
      <c r="J68" s="11" t="n">
        <f aca="false">ASM_S10_INSEMINATOR_SALARY_EUR_YR</f>
        <v>6500</v>
      </c>
      <c r="K68" s="11" t="n">
        <f aca="false">ASM_S10_INSEMINATOR_SALARY_EUR_YR</f>
        <v>6500</v>
      </c>
      <c r="L68" s="11" t="n">
        <f aca="false">ASM_S10_INSEMINATOR_SALARY_EUR_YR</f>
        <v>6500</v>
      </c>
    </row>
    <row r="69" customFormat="false" ht="15" hidden="false" customHeight="true" outlineLevel="0" collapsed="false">
      <c r="B69" s="36" t="s">
        <v>567</v>
      </c>
      <c r="C69" s="12" t="s">
        <v>336</v>
      </c>
      <c r="D69" s="11" t="n">
        <f aca="false">SUM(E69:L69)</f>
        <v>144</v>
      </c>
      <c r="E69" s="11" t="n">
        <f aca="false">ASM_S11_ANIMAL_VET_INPUTS_EUR_PER_HEAD_YR</f>
        <v>18</v>
      </c>
      <c r="F69" s="11" t="n">
        <f aca="false">ASM_S11_ANIMAL_VET_INPUTS_EUR_PER_HEAD_YR</f>
        <v>18</v>
      </c>
      <c r="G69" s="11" t="n">
        <f aca="false">ASM_S11_ANIMAL_VET_INPUTS_EUR_PER_HEAD_YR</f>
        <v>18</v>
      </c>
      <c r="H69" s="11" t="n">
        <f aca="false">ASM_S11_ANIMAL_VET_INPUTS_EUR_PER_HEAD_YR</f>
        <v>18</v>
      </c>
      <c r="I69" s="11" t="n">
        <f aca="false">ASM_S11_ANIMAL_VET_INPUTS_EUR_PER_HEAD_YR</f>
        <v>18</v>
      </c>
      <c r="J69" s="11" t="n">
        <f aca="false">ASM_S11_ANIMAL_VET_INPUTS_EUR_PER_HEAD_YR</f>
        <v>18</v>
      </c>
      <c r="K69" s="11" t="n">
        <f aca="false">ASM_S11_ANIMAL_VET_INPUTS_EUR_PER_HEAD_YR</f>
        <v>18</v>
      </c>
      <c r="L69" s="11" t="n">
        <f aca="false">ASM_S11_ANIMAL_VET_INPUTS_EUR_PER_HEAD_YR</f>
        <v>18</v>
      </c>
    </row>
    <row r="70" customFormat="false" ht="15" hidden="false" customHeight="true" outlineLevel="0" collapsed="false">
      <c r="B70" s="36" t="s">
        <v>568</v>
      </c>
      <c r="C70" s="12" t="s">
        <v>338</v>
      </c>
      <c r="D70" s="37" t="n">
        <f aca="false">SUM(E70:L70)</f>
        <v>8000</v>
      </c>
      <c r="E70" s="37" t="n">
        <f aca="false">ASM_S12_ANIMAL_CHEPTEL_SIZE</f>
        <v>1000</v>
      </c>
      <c r="F70" s="37" t="n">
        <f aca="false">ASM_S12_ANIMAL_CHEPTEL_SIZE</f>
        <v>1000</v>
      </c>
      <c r="G70" s="37" t="n">
        <f aca="false">ASM_S12_ANIMAL_CHEPTEL_SIZE</f>
        <v>1000</v>
      </c>
      <c r="H70" s="37" t="n">
        <f aca="false">ASM_S12_ANIMAL_CHEPTEL_SIZE</f>
        <v>1000</v>
      </c>
      <c r="I70" s="37" t="n">
        <f aca="false">ASM_S12_ANIMAL_CHEPTEL_SIZE</f>
        <v>1000</v>
      </c>
      <c r="J70" s="37" t="n">
        <f aca="false">ASM_S12_ANIMAL_CHEPTEL_SIZE</f>
        <v>1000</v>
      </c>
      <c r="K70" s="37" t="n">
        <f aca="false">ASM_S12_ANIMAL_CHEPTEL_SIZE</f>
        <v>1000</v>
      </c>
      <c r="L70" s="37" t="n">
        <f aca="false">ASM_S12_ANIMAL_CHEPTEL_SIZE</f>
        <v>1000</v>
      </c>
    </row>
    <row r="71" customFormat="false" ht="15" hidden="false" customHeight="true" outlineLevel="0" collapsed="false">
      <c r="B71" s="36" t="s">
        <v>569</v>
      </c>
      <c r="C71" s="12" t="s">
        <v>58</v>
      </c>
      <c r="D71" s="11" t="n">
        <f aca="false">SUM(E71:L71)</f>
        <v>634800</v>
      </c>
      <c r="E71" s="11" t="n">
        <f aca="false">ASM_S13_PROGRAMME_MGMT_ANIMAL_EUR_YR</f>
        <v>79350</v>
      </c>
      <c r="F71" s="11" t="n">
        <f aca="false">ASM_S13_PROGRAMME_MGMT_ANIMAL_EUR_YR</f>
        <v>79350</v>
      </c>
      <c r="G71" s="11" t="n">
        <f aca="false">ASM_S13_PROGRAMME_MGMT_ANIMAL_EUR_YR</f>
        <v>79350</v>
      </c>
      <c r="H71" s="11" t="n">
        <f aca="false">ASM_S13_PROGRAMME_MGMT_ANIMAL_EUR_YR</f>
        <v>79350</v>
      </c>
      <c r="I71" s="11" t="n">
        <f aca="false">ASM_S13_PROGRAMME_MGMT_ANIMAL_EUR_YR</f>
        <v>79350</v>
      </c>
      <c r="J71" s="11" t="n">
        <f aca="false">ASM_S13_PROGRAMME_MGMT_ANIMAL_EUR_YR</f>
        <v>79350</v>
      </c>
      <c r="K71" s="11" t="n">
        <f aca="false">ASM_S13_PROGRAMME_MGMT_ANIMAL_EUR_YR</f>
        <v>79350</v>
      </c>
      <c r="L71" s="11" t="n">
        <f aca="false">ASM_S13_PROGRAMME_MGMT_ANIMAL_EUR_YR</f>
        <v>79350</v>
      </c>
    </row>
    <row r="72" customFormat="false" ht="15" hidden="false" customHeight="true" outlineLevel="0" collapsed="false">
      <c r="B72" s="36" t="s">
        <v>570</v>
      </c>
      <c r="C72" s="12" t="s">
        <v>58</v>
      </c>
      <c r="D72" s="11" t="n">
        <f aca="false">SUM(E72:L72)</f>
        <v>285200</v>
      </c>
      <c r="E72" s="11" t="n">
        <f aca="false">ASM_S14_CONSUMABLES_ANIMAL_EUR_YR</f>
        <v>35650</v>
      </c>
      <c r="F72" s="11" t="n">
        <f aca="false">ASM_S14_CONSUMABLES_ANIMAL_EUR_YR</f>
        <v>35650</v>
      </c>
      <c r="G72" s="11" t="n">
        <f aca="false">ASM_S14_CONSUMABLES_ANIMAL_EUR_YR</f>
        <v>35650</v>
      </c>
      <c r="H72" s="11" t="n">
        <f aca="false">ASM_S14_CONSUMABLES_ANIMAL_EUR_YR</f>
        <v>35650</v>
      </c>
      <c r="I72" s="11" t="n">
        <f aca="false">ASM_S14_CONSUMABLES_ANIMAL_EUR_YR</f>
        <v>35650</v>
      </c>
      <c r="J72" s="11" t="n">
        <f aca="false">ASM_S14_CONSUMABLES_ANIMAL_EUR_YR</f>
        <v>35650</v>
      </c>
      <c r="K72" s="11" t="n">
        <f aca="false">ASM_S14_CONSUMABLES_ANIMAL_EUR_YR</f>
        <v>35650</v>
      </c>
      <c r="L72" s="11" t="n">
        <f aca="false">ASM_S14_CONSUMABLES_ANIMAL_EUR_YR</f>
        <v>35650</v>
      </c>
    </row>
    <row r="73" customFormat="false" ht="15" hidden="false" customHeight="true" outlineLevel="0" collapsed="false"/>
    <row r="74" customFormat="false" ht="15" hidden="false" customHeight="true" outlineLevel="0" collapsed="false">
      <c r="B74" s="34" t="s">
        <v>571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</row>
    <row r="75" customFormat="false" ht="15" hidden="false" customHeight="true" outlineLevel="0" collapsed="false">
      <c r="B75" s="36" t="s">
        <v>572</v>
      </c>
      <c r="C75" s="12" t="s">
        <v>136</v>
      </c>
      <c r="D75" s="11" t="n">
        <f aca="false">SUM(E75:L75)</f>
        <v>1000000</v>
      </c>
      <c r="E75" s="11" t="n">
        <f aca="false">ASM_T01_CENTRE_VEGETAL_BUILDING_EUR</f>
        <v>125000</v>
      </c>
      <c r="F75" s="11" t="n">
        <f aca="false">ASM_T01_CENTRE_VEGETAL_BUILDING_EUR</f>
        <v>125000</v>
      </c>
      <c r="G75" s="11" t="n">
        <f aca="false">ASM_T01_CENTRE_VEGETAL_BUILDING_EUR</f>
        <v>125000</v>
      </c>
      <c r="H75" s="11" t="n">
        <f aca="false">ASM_T01_CENTRE_VEGETAL_BUILDING_EUR</f>
        <v>125000</v>
      </c>
      <c r="I75" s="11" t="n">
        <f aca="false">ASM_T01_CENTRE_VEGETAL_BUILDING_EUR</f>
        <v>125000</v>
      </c>
      <c r="J75" s="11" t="n">
        <f aca="false">ASM_T01_CENTRE_VEGETAL_BUILDING_EUR</f>
        <v>125000</v>
      </c>
      <c r="K75" s="11" t="n">
        <f aca="false">ASM_T01_CENTRE_VEGETAL_BUILDING_EUR</f>
        <v>125000</v>
      </c>
      <c r="L75" s="11" t="n">
        <f aca="false">ASM_T01_CENTRE_VEGETAL_BUILDING_EUR</f>
        <v>125000</v>
      </c>
    </row>
    <row r="76" customFormat="false" ht="15" hidden="false" customHeight="true" outlineLevel="0" collapsed="false">
      <c r="B76" s="36" t="s">
        <v>573</v>
      </c>
      <c r="C76" s="12" t="s">
        <v>136</v>
      </c>
      <c r="D76" s="11" t="n">
        <f aca="false">SUM(E76:L76)</f>
        <v>600000</v>
      </c>
      <c r="E76" s="11" t="n">
        <f aca="false">ASM_T02_VEGETAL_EQUIPMENT_EUR</f>
        <v>75000</v>
      </c>
      <c r="F76" s="11" t="n">
        <f aca="false">ASM_T02_VEGETAL_EQUIPMENT_EUR</f>
        <v>75000</v>
      </c>
      <c r="G76" s="11" t="n">
        <f aca="false">ASM_T02_VEGETAL_EQUIPMENT_EUR</f>
        <v>75000</v>
      </c>
      <c r="H76" s="11" t="n">
        <f aca="false">ASM_T02_VEGETAL_EQUIPMENT_EUR</f>
        <v>75000</v>
      </c>
      <c r="I76" s="11" t="n">
        <f aca="false">ASM_T02_VEGETAL_EQUIPMENT_EUR</f>
        <v>75000</v>
      </c>
      <c r="J76" s="11" t="n">
        <f aca="false">ASM_T02_VEGETAL_EQUIPMENT_EUR</f>
        <v>75000</v>
      </c>
      <c r="K76" s="11" t="n">
        <f aca="false">ASM_T02_VEGETAL_EQUIPMENT_EUR</f>
        <v>75000</v>
      </c>
      <c r="L76" s="11" t="n">
        <f aca="false">ASM_T02_VEGETAL_EQUIPMENT_EUR</f>
        <v>75000</v>
      </c>
    </row>
    <row r="77" customFormat="false" ht="15" hidden="false" customHeight="true" outlineLevel="0" collapsed="false">
      <c r="B77" s="36" t="s">
        <v>574</v>
      </c>
      <c r="C77" s="12" t="s">
        <v>136</v>
      </c>
      <c r="D77" s="11" t="n">
        <f aca="false">SUM(E77:L77)</f>
        <v>136000</v>
      </c>
      <c r="E77" s="11" t="n">
        <f aca="false">ASM_T03_VEGETAL_PREOP_FORMATION_EUR</f>
        <v>17000</v>
      </c>
      <c r="F77" s="11" t="n">
        <f aca="false">ASM_T03_VEGETAL_PREOP_FORMATION_EUR</f>
        <v>17000</v>
      </c>
      <c r="G77" s="11" t="n">
        <f aca="false">ASM_T03_VEGETAL_PREOP_FORMATION_EUR</f>
        <v>17000</v>
      </c>
      <c r="H77" s="11" t="n">
        <f aca="false">ASM_T03_VEGETAL_PREOP_FORMATION_EUR</f>
        <v>17000</v>
      </c>
      <c r="I77" s="11" t="n">
        <f aca="false">ASM_T03_VEGETAL_PREOP_FORMATION_EUR</f>
        <v>17000</v>
      </c>
      <c r="J77" s="11" t="n">
        <f aca="false">ASM_T03_VEGETAL_PREOP_FORMATION_EUR</f>
        <v>17000</v>
      </c>
      <c r="K77" s="11" t="n">
        <f aca="false">ASM_T03_VEGETAL_PREOP_FORMATION_EUR</f>
        <v>17000</v>
      </c>
      <c r="L77" s="11" t="n">
        <f aca="false">ASM_T03_VEGETAL_PREOP_FORMATION_EUR</f>
        <v>17000</v>
      </c>
    </row>
    <row r="78" customFormat="false" ht="15" hidden="false" customHeight="true" outlineLevel="0" collapsed="false">
      <c r="B78" s="36" t="s">
        <v>575</v>
      </c>
      <c r="C78" s="12" t="s">
        <v>136</v>
      </c>
      <c r="D78" s="11" t="n">
        <f aca="false">SUM(E78:L78)</f>
        <v>192000</v>
      </c>
      <c r="E78" s="11" t="n">
        <f aca="false">ASM_T04_VEGETAL_PREOP_ACCOMPANYING_EUR</f>
        <v>24000</v>
      </c>
      <c r="F78" s="11" t="n">
        <f aca="false">ASM_T04_VEGETAL_PREOP_ACCOMPANYING_EUR</f>
        <v>24000</v>
      </c>
      <c r="G78" s="11" t="n">
        <f aca="false">ASM_T04_VEGETAL_PREOP_ACCOMPANYING_EUR</f>
        <v>24000</v>
      </c>
      <c r="H78" s="11" t="n">
        <f aca="false">ASM_T04_VEGETAL_PREOP_ACCOMPANYING_EUR</f>
        <v>24000</v>
      </c>
      <c r="I78" s="11" t="n">
        <f aca="false">ASM_T04_VEGETAL_PREOP_ACCOMPANYING_EUR</f>
        <v>24000</v>
      </c>
      <c r="J78" s="11" t="n">
        <f aca="false">ASM_T04_VEGETAL_PREOP_ACCOMPANYING_EUR</f>
        <v>24000</v>
      </c>
      <c r="K78" s="11" t="n">
        <f aca="false">ASM_T04_VEGETAL_PREOP_ACCOMPANYING_EUR</f>
        <v>24000</v>
      </c>
      <c r="L78" s="11" t="n">
        <f aca="false">ASM_T04_VEGETAL_PREOP_ACCOMPANYING_EUR</f>
        <v>24000</v>
      </c>
    </row>
    <row r="79" customFormat="false" ht="15" hidden="false" customHeight="true" outlineLevel="0" collapsed="false">
      <c r="B79" s="36" t="s">
        <v>576</v>
      </c>
      <c r="C79" s="12" t="s">
        <v>136</v>
      </c>
      <c r="D79" s="11" t="n">
        <f aca="false">SUM(E79:L79)</f>
        <v>64000</v>
      </c>
      <c r="E79" s="11" t="n">
        <f aca="false">ASM_T05_SEEDS_INITIAL_STOCK_EUR</f>
        <v>8000</v>
      </c>
      <c r="F79" s="11" t="n">
        <f aca="false">ASM_T05_SEEDS_INITIAL_STOCK_EUR</f>
        <v>8000</v>
      </c>
      <c r="G79" s="11" t="n">
        <f aca="false">ASM_T05_SEEDS_INITIAL_STOCK_EUR</f>
        <v>8000</v>
      </c>
      <c r="H79" s="11" t="n">
        <f aca="false">ASM_T05_SEEDS_INITIAL_STOCK_EUR</f>
        <v>8000</v>
      </c>
      <c r="I79" s="11" t="n">
        <f aca="false">ASM_T05_SEEDS_INITIAL_STOCK_EUR</f>
        <v>8000</v>
      </c>
      <c r="J79" s="11" t="n">
        <f aca="false">ASM_T05_SEEDS_INITIAL_STOCK_EUR</f>
        <v>8000</v>
      </c>
      <c r="K79" s="11" t="n">
        <f aca="false">ASM_T05_SEEDS_INITIAL_STOCK_EUR</f>
        <v>8000</v>
      </c>
      <c r="L79" s="11" t="n">
        <f aca="false">ASM_T05_SEEDS_INITIAL_STOCK_EUR</f>
        <v>8000</v>
      </c>
    </row>
    <row r="80" customFormat="false" ht="15" hidden="false" customHeight="true" outlineLevel="0" collapsed="false">
      <c r="B80" s="36" t="s">
        <v>577</v>
      </c>
      <c r="C80" s="12" t="s">
        <v>136</v>
      </c>
      <c r="D80" s="11" t="n">
        <f aca="false">SUM(E80:L80)</f>
        <v>144000</v>
      </c>
      <c r="E80" s="11" t="n">
        <f aca="false">ASM_T06_PLANTS_INITIAL_STOCK_EUR</f>
        <v>18000</v>
      </c>
      <c r="F80" s="11" t="n">
        <f aca="false">ASM_T06_PLANTS_INITIAL_STOCK_EUR</f>
        <v>18000</v>
      </c>
      <c r="G80" s="11" t="n">
        <f aca="false">ASM_T06_PLANTS_INITIAL_STOCK_EUR</f>
        <v>18000</v>
      </c>
      <c r="H80" s="11" t="n">
        <f aca="false">ASM_T06_PLANTS_INITIAL_STOCK_EUR</f>
        <v>18000</v>
      </c>
      <c r="I80" s="11" t="n">
        <f aca="false">ASM_T06_PLANTS_INITIAL_STOCK_EUR</f>
        <v>18000</v>
      </c>
      <c r="J80" s="11" t="n">
        <f aca="false">ASM_T06_PLANTS_INITIAL_STOCK_EUR</f>
        <v>18000</v>
      </c>
      <c r="K80" s="11" t="n">
        <f aca="false">ASM_T06_PLANTS_INITIAL_STOCK_EUR</f>
        <v>18000</v>
      </c>
      <c r="L80" s="11" t="n">
        <f aca="false">ASM_T06_PLANTS_INITIAL_STOCK_EUR</f>
        <v>18000</v>
      </c>
    </row>
    <row r="81" customFormat="false" ht="15" hidden="false" customHeight="true" outlineLevel="0" collapsed="false">
      <c r="B81" s="36" t="s">
        <v>578</v>
      </c>
      <c r="C81" s="12" t="s">
        <v>136</v>
      </c>
      <c r="D81" s="11" t="n">
        <f aca="false">SUM(E81:L81)</f>
        <v>48000</v>
      </c>
      <c r="E81" s="11" t="n">
        <f aca="false">ASM_T07_GUM_ARABIC_INITIAL_STOCK_EUR</f>
        <v>6000</v>
      </c>
      <c r="F81" s="11" t="n">
        <f aca="false">ASM_T07_GUM_ARABIC_INITIAL_STOCK_EUR</f>
        <v>6000</v>
      </c>
      <c r="G81" s="11" t="n">
        <f aca="false">ASM_T07_GUM_ARABIC_INITIAL_STOCK_EUR</f>
        <v>6000</v>
      </c>
      <c r="H81" s="11" t="n">
        <f aca="false">ASM_T07_GUM_ARABIC_INITIAL_STOCK_EUR</f>
        <v>6000</v>
      </c>
      <c r="I81" s="11" t="n">
        <f aca="false">ASM_T07_GUM_ARABIC_INITIAL_STOCK_EUR</f>
        <v>6000</v>
      </c>
      <c r="J81" s="11" t="n">
        <f aca="false">ASM_T07_GUM_ARABIC_INITIAL_STOCK_EUR</f>
        <v>6000</v>
      </c>
      <c r="K81" s="11" t="n">
        <f aca="false">ASM_T07_GUM_ARABIC_INITIAL_STOCK_EUR</f>
        <v>6000</v>
      </c>
      <c r="L81" s="11" t="n">
        <f aca="false">ASM_T07_GUM_ARABIC_INITIAL_STOCK_EUR</f>
        <v>6000</v>
      </c>
    </row>
    <row r="82" customFormat="false" ht="15" hidden="false" customHeight="true" outlineLevel="0" collapsed="false">
      <c r="B82" s="36" t="s">
        <v>579</v>
      </c>
      <c r="C82" s="12" t="s">
        <v>58</v>
      </c>
      <c r="D82" s="11" t="n">
        <f aca="false">SUM(E82:L82)</f>
        <v>144000</v>
      </c>
      <c r="E82" s="11" t="n">
        <f aca="false">ASM_T08_VEGETAL_INPUTS_EUR_YR</f>
        <v>18000</v>
      </c>
      <c r="F82" s="11" t="n">
        <f aca="false">ASM_T08_VEGETAL_INPUTS_EUR_YR</f>
        <v>18000</v>
      </c>
      <c r="G82" s="11" t="n">
        <f aca="false">ASM_T08_VEGETAL_INPUTS_EUR_YR</f>
        <v>18000</v>
      </c>
      <c r="H82" s="11" t="n">
        <f aca="false">ASM_T08_VEGETAL_INPUTS_EUR_YR</f>
        <v>18000</v>
      </c>
      <c r="I82" s="11" t="n">
        <f aca="false">ASM_T08_VEGETAL_INPUTS_EUR_YR</f>
        <v>18000</v>
      </c>
      <c r="J82" s="11" t="n">
        <f aca="false">ASM_T08_VEGETAL_INPUTS_EUR_YR</f>
        <v>18000</v>
      </c>
      <c r="K82" s="11" t="n">
        <f aca="false">ASM_T08_VEGETAL_INPUTS_EUR_YR</f>
        <v>18000</v>
      </c>
      <c r="L82" s="11" t="n">
        <f aca="false">ASM_T08_VEGETAL_INPUTS_EUR_YR</f>
        <v>18000</v>
      </c>
    </row>
    <row r="83" customFormat="false" ht="15" hidden="false" customHeight="true" outlineLevel="0" collapsed="false">
      <c r="B83" s="36" t="s">
        <v>580</v>
      </c>
      <c r="C83" s="12" t="s">
        <v>58</v>
      </c>
      <c r="D83" s="11" t="n">
        <f aca="false">SUM(E83:L83)</f>
        <v>128000</v>
      </c>
      <c r="E83" s="11" t="n">
        <f aca="false">ASM_T09_VEGETAL_AGRONOMIST_SALARY_EUR_YR</f>
        <v>16000</v>
      </c>
      <c r="F83" s="11" t="n">
        <f aca="false">ASM_T09_VEGETAL_AGRONOMIST_SALARY_EUR_YR</f>
        <v>16000</v>
      </c>
      <c r="G83" s="11" t="n">
        <f aca="false">ASM_T09_VEGETAL_AGRONOMIST_SALARY_EUR_YR</f>
        <v>16000</v>
      </c>
      <c r="H83" s="11" t="n">
        <f aca="false">ASM_T09_VEGETAL_AGRONOMIST_SALARY_EUR_YR</f>
        <v>16000</v>
      </c>
      <c r="I83" s="11" t="n">
        <f aca="false">ASM_T09_VEGETAL_AGRONOMIST_SALARY_EUR_YR</f>
        <v>16000</v>
      </c>
      <c r="J83" s="11" t="n">
        <f aca="false">ASM_T09_VEGETAL_AGRONOMIST_SALARY_EUR_YR</f>
        <v>16000</v>
      </c>
      <c r="K83" s="11" t="n">
        <f aca="false">ASM_T09_VEGETAL_AGRONOMIST_SALARY_EUR_YR</f>
        <v>16000</v>
      </c>
      <c r="L83" s="11" t="n">
        <f aca="false">ASM_T09_VEGETAL_AGRONOMIST_SALARY_EUR_YR</f>
        <v>16000</v>
      </c>
    </row>
    <row r="84" customFormat="false" ht="15" hidden="false" customHeight="true" outlineLevel="0" collapsed="false">
      <c r="B84" s="36" t="s">
        <v>581</v>
      </c>
      <c r="C84" s="12" t="s">
        <v>58</v>
      </c>
      <c r="D84" s="11" t="n">
        <f aca="false">SUM(E84:L84)</f>
        <v>414000</v>
      </c>
      <c r="E84" s="11" t="n">
        <f aca="false">ASM_T10_PROGRAMME_MGMT_PLANT_EUR_YR</f>
        <v>51750</v>
      </c>
      <c r="F84" s="11" t="n">
        <f aca="false">ASM_T10_PROGRAMME_MGMT_PLANT_EUR_YR</f>
        <v>51750</v>
      </c>
      <c r="G84" s="11" t="n">
        <f aca="false">ASM_T10_PROGRAMME_MGMT_PLANT_EUR_YR</f>
        <v>51750</v>
      </c>
      <c r="H84" s="11" t="n">
        <f aca="false">ASM_T10_PROGRAMME_MGMT_PLANT_EUR_YR</f>
        <v>51750</v>
      </c>
      <c r="I84" s="11" t="n">
        <f aca="false">ASM_T10_PROGRAMME_MGMT_PLANT_EUR_YR</f>
        <v>51750</v>
      </c>
      <c r="J84" s="11" t="n">
        <f aca="false">ASM_T10_PROGRAMME_MGMT_PLANT_EUR_YR</f>
        <v>51750</v>
      </c>
      <c r="K84" s="11" t="n">
        <f aca="false">ASM_T10_PROGRAMME_MGMT_PLANT_EUR_YR</f>
        <v>51750</v>
      </c>
      <c r="L84" s="11" t="n">
        <f aca="false">ASM_T10_PROGRAMME_MGMT_PLANT_EUR_YR</f>
        <v>51750</v>
      </c>
    </row>
    <row r="85" customFormat="false" ht="15" hidden="false" customHeight="true" outlineLevel="0" collapsed="false">
      <c r="B85" s="36" t="s">
        <v>582</v>
      </c>
      <c r="C85" s="12" t="s">
        <v>58</v>
      </c>
      <c r="D85" s="11" t="n">
        <f aca="false">SUM(E85:L85)</f>
        <v>186000</v>
      </c>
      <c r="E85" s="11" t="n">
        <f aca="false">ASM_T11_CONSUMABLES_PLANT_EUR_YR</f>
        <v>23250</v>
      </c>
      <c r="F85" s="11" t="n">
        <f aca="false">ASM_T11_CONSUMABLES_PLANT_EUR_YR</f>
        <v>23250</v>
      </c>
      <c r="G85" s="11" t="n">
        <f aca="false">ASM_T11_CONSUMABLES_PLANT_EUR_YR</f>
        <v>23250</v>
      </c>
      <c r="H85" s="11" t="n">
        <f aca="false">ASM_T11_CONSUMABLES_PLANT_EUR_YR</f>
        <v>23250</v>
      </c>
      <c r="I85" s="11" t="n">
        <f aca="false">ASM_T11_CONSUMABLES_PLANT_EUR_YR</f>
        <v>23250</v>
      </c>
      <c r="J85" s="11" t="n">
        <f aca="false">ASM_T11_CONSUMABLES_PLANT_EUR_YR</f>
        <v>23250</v>
      </c>
      <c r="K85" s="11" t="n">
        <f aca="false">ASM_T11_CONSUMABLES_PLANT_EUR_YR</f>
        <v>23250</v>
      </c>
      <c r="L85" s="11" t="n">
        <f aca="false">ASM_T11_CONSUMABLES_PLANT_EUR_YR</f>
        <v>23250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583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385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23" t="s">
        <v>584</v>
      </c>
      <c r="C7" s="12" t="s">
        <v>136</v>
      </c>
      <c r="D7" s="24" t="n">
        <f aca="false">SUM(E7:L7)</f>
        <v>2701585.81818182</v>
      </c>
      <c r="E7" s="24" t="n">
        <f aca="false">E36</f>
        <v>0</v>
      </c>
      <c r="F7" s="24" t="n">
        <f aca="false">F36</f>
        <v>2701585.81818182</v>
      </c>
      <c r="G7" s="24" t="n">
        <f aca="false">G36</f>
        <v>0</v>
      </c>
      <c r="H7" s="24" t="n">
        <f aca="false">H36</f>
        <v>0</v>
      </c>
      <c r="I7" s="24" t="n">
        <f aca="false">I36</f>
        <v>0</v>
      </c>
      <c r="J7" s="24" t="n">
        <f aca="false">J36</f>
        <v>0</v>
      </c>
      <c r="K7" s="24" t="n">
        <f aca="false">K36</f>
        <v>0</v>
      </c>
      <c r="L7" s="24" t="n">
        <f aca="false">L36</f>
        <v>0</v>
      </c>
    </row>
    <row r="8" customFormat="false" ht="15" hidden="false" customHeight="true" outlineLevel="0" collapsed="false">
      <c r="B8" s="23" t="s">
        <v>585</v>
      </c>
      <c r="C8" s="12" t="s">
        <v>136</v>
      </c>
      <c r="D8" s="24" t="n">
        <f aca="false">SUM(E8:L8)</f>
        <v>1488000</v>
      </c>
      <c r="E8" s="24" t="n">
        <f aca="false">E54</f>
        <v>628000</v>
      </c>
      <c r="F8" s="24" t="n">
        <f aca="false">F54</f>
        <v>860000</v>
      </c>
      <c r="G8" s="24" t="n">
        <f aca="false">G54</f>
        <v>0</v>
      </c>
      <c r="H8" s="24" t="n">
        <f aca="false">H54</f>
        <v>0</v>
      </c>
      <c r="I8" s="24" t="n">
        <f aca="false">I54</f>
        <v>0</v>
      </c>
      <c r="J8" s="24" t="n">
        <f aca="false">J54</f>
        <v>0</v>
      </c>
      <c r="K8" s="24" t="n">
        <f aca="false">K54</f>
        <v>0</v>
      </c>
      <c r="L8" s="24" t="n">
        <f aca="false">L54</f>
        <v>0</v>
      </c>
    </row>
    <row r="9" customFormat="false" ht="15" hidden="false" customHeight="true" outlineLevel="0" collapsed="false">
      <c r="B9" s="23" t="s">
        <v>586</v>
      </c>
      <c r="C9" s="12" t="s">
        <v>136</v>
      </c>
      <c r="D9" s="24" t="n">
        <f aca="false">SUM(E9:L9)</f>
        <v>498401</v>
      </c>
      <c r="E9" s="24" t="n">
        <f aca="false">E68</f>
        <v>0</v>
      </c>
      <c r="F9" s="24" t="n">
        <f aca="false">F68</f>
        <v>498401</v>
      </c>
      <c r="G9" s="24" t="n">
        <f aca="false">G68</f>
        <v>0</v>
      </c>
      <c r="H9" s="24" t="n">
        <f aca="false">H68</f>
        <v>0</v>
      </c>
      <c r="I9" s="24" t="n">
        <f aca="false">I68</f>
        <v>0</v>
      </c>
      <c r="J9" s="24" t="n">
        <f aca="false">J68</f>
        <v>0</v>
      </c>
      <c r="K9" s="24" t="n">
        <f aca="false">K68</f>
        <v>0</v>
      </c>
      <c r="L9" s="24" t="n">
        <f aca="false">L68</f>
        <v>0</v>
      </c>
    </row>
    <row r="10" customFormat="false" ht="15" hidden="false" customHeight="true" outlineLevel="0" collapsed="false">
      <c r="B10" s="23" t="s">
        <v>587</v>
      </c>
      <c r="C10" s="12" t="s">
        <v>136</v>
      </c>
      <c r="D10" s="24" t="n">
        <f aca="false">SUM(E10:L10)</f>
        <v>334147.181818182</v>
      </c>
      <c r="E10" s="24" t="n">
        <f aca="false">E79</f>
        <v>0</v>
      </c>
      <c r="F10" s="24" t="n">
        <f aca="false">F79</f>
        <v>334147.181818182</v>
      </c>
      <c r="G10" s="24" t="n">
        <f aca="false">G79</f>
        <v>0</v>
      </c>
      <c r="H10" s="24" t="n">
        <f aca="false">H79</f>
        <v>0</v>
      </c>
      <c r="I10" s="24" t="n">
        <f aca="false">I79</f>
        <v>0</v>
      </c>
      <c r="J10" s="24" t="n">
        <f aca="false">J79</f>
        <v>0</v>
      </c>
      <c r="K10" s="24" t="n">
        <f aca="false">K79</f>
        <v>0</v>
      </c>
      <c r="L10" s="24" t="n">
        <f aca="false">L79</f>
        <v>0</v>
      </c>
    </row>
    <row r="11" customFormat="false" ht="15" hidden="false" customHeight="true" outlineLevel="0" collapsed="false">
      <c r="B11" s="23" t="s">
        <v>588</v>
      </c>
      <c r="C11" s="12" t="s">
        <v>136</v>
      </c>
      <c r="D11" s="24" t="n">
        <f aca="false">SUM(E11:L11)</f>
        <v>544658.363636364</v>
      </c>
      <c r="E11" s="24" t="n">
        <f aca="false">E86</f>
        <v>0</v>
      </c>
      <c r="F11" s="24" t="n">
        <f aca="false">F86</f>
        <v>544658.363636364</v>
      </c>
      <c r="G11" s="24" t="n">
        <f aca="false">G86</f>
        <v>0</v>
      </c>
      <c r="H11" s="24" t="n">
        <f aca="false">H86</f>
        <v>0</v>
      </c>
      <c r="I11" s="24" t="n">
        <f aca="false">I86</f>
        <v>0</v>
      </c>
      <c r="J11" s="24" t="n">
        <f aca="false">J86</f>
        <v>0</v>
      </c>
      <c r="K11" s="24" t="n">
        <f aca="false">K86</f>
        <v>0</v>
      </c>
      <c r="L11" s="24" t="n">
        <f aca="false">L86</f>
        <v>0</v>
      </c>
    </row>
    <row r="12" customFormat="false" ht="15" hidden="false" customHeight="true" outlineLevel="0" collapsed="false">
      <c r="B12" s="25" t="s">
        <v>589</v>
      </c>
      <c r="C12" s="26" t="s">
        <v>136</v>
      </c>
      <c r="D12" s="27" t="n">
        <f aca="false">SUM(E12:L12)</f>
        <v>5566792.36363636</v>
      </c>
      <c r="E12" s="27" t="n">
        <f aca="false">E7+E8+E9+E10+E11</f>
        <v>628000</v>
      </c>
      <c r="F12" s="27" t="n">
        <f aca="false">F7+F8+F9+F10+F11</f>
        <v>4938792.36363636</v>
      </c>
      <c r="G12" s="27" t="n">
        <f aca="false">G7+G8+G9+G10+G11</f>
        <v>0</v>
      </c>
      <c r="H12" s="27" t="n">
        <f aca="false">H7+H8+H9+H10+H11</f>
        <v>0</v>
      </c>
      <c r="I12" s="27" t="n">
        <f aca="false">I7+I8+I9+I10+I11</f>
        <v>0</v>
      </c>
      <c r="J12" s="27" t="n">
        <f aca="false">J7+J8+J9+J10+J11</f>
        <v>0</v>
      </c>
      <c r="K12" s="27" t="n">
        <f aca="false">K7+K8+K9+K10+K11</f>
        <v>0</v>
      </c>
      <c r="L12" s="27" t="n">
        <f aca="false">L7+L8+L9+L10+L11</f>
        <v>0</v>
      </c>
    </row>
    <row r="13" customFormat="false" ht="15" hidden="false" customHeight="true" outlineLevel="0" collapsed="false"/>
    <row r="14" customFormat="false" ht="15" hidden="false" customHeight="true" outlineLevel="0" collapsed="false">
      <c r="B14" s="4" t="s">
        <v>590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B15" s="28" t="s">
        <v>591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customFormat="false" ht="15" hidden="false" customHeight="true" outlineLevel="0" collapsed="false">
      <c r="B16" s="18" t="s">
        <v>592</v>
      </c>
      <c r="C16" s="12" t="s">
        <v>136</v>
      </c>
      <c r="D16" s="30" t="n">
        <f aca="false">SUM(E16:L16)</f>
        <v>448909.090909091</v>
      </c>
      <c r="E16" s="30" t="n">
        <f aca="false">ASM_A01_N_FARMS*E$103*FLAG_CONSTRUCT_YM1</f>
        <v>0</v>
      </c>
      <c r="F16" s="30" t="n">
        <f aca="false">ASM_A01_N_FARMS*F$103*FLAG_CONSTRUCT_Y0</f>
        <v>448909.090909091</v>
      </c>
      <c r="G16" s="30" t="n">
        <f aca="false">ASM_A01_N_FARMS*G$103*FLAG_CONSTRUCT_Y1</f>
        <v>0</v>
      </c>
      <c r="H16" s="30" t="n">
        <f aca="false">ASM_A01_N_FARMS*H$103*FLAG_CONSTRUCT_Y2</f>
        <v>0</v>
      </c>
      <c r="I16" s="30" t="n">
        <f aca="false">ASM_A01_N_FARMS*I$103*FLAG_CONSTRUCT_Y3</f>
        <v>0</v>
      </c>
      <c r="J16" s="30" t="n">
        <f aca="false">ASM_A01_N_FARMS*J$103*FLAG_CONSTRUCT_Y4</f>
        <v>0</v>
      </c>
      <c r="K16" s="30" t="n">
        <f aca="false">ASM_A01_N_FARMS*K$103*FLAG_CONSTRUCT_Y5</f>
        <v>0</v>
      </c>
      <c r="L16" s="30" t="n">
        <f aca="false">ASM_A01_N_FARMS*L$103*FLAG_CONSTRUCT_Y6</f>
        <v>0</v>
      </c>
    </row>
    <row r="17" customFormat="false" ht="15" hidden="false" customHeight="true" outlineLevel="0" collapsed="false">
      <c r="B17" s="18" t="s">
        <v>593</v>
      </c>
      <c r="C17" s="12" t="s">
        <v>136</v>
      </c>
      <c r="D17" s="30" t="n">
        <f aca="false">ASM_A01_N_FARMS*ASM_I01A_AMENAGEMENTS_PER_FARM_EUR</f>
        <v>163767</v>
      </c>
      <c r="E17" s="30" t="n">
        <f aca="false">ASM_A01_N_FARMS*ASM_I01A_AMENAGEMENTS_PER_FARM_EUR*FLAG_CONSTRUCT_YM1</f>
        <v>0</v>
      </c>
      <c r="F17" s="30" t="n">
        <f aca="false">ASM_A01_N_FARMS*ASM_I01A_AMENAGEMENTS_PER_FARM_EUR*FLAG_CONSTRUCT_Y0</f>
        <v>163767</v>
      </c>
      <c r="G17" s="30" t="n">
        <f aca="false">ASM_A01_N_FARMS*ASM_I01A_AMENAGEMENTS_PER_FARM_EUR*FLAG_CONSTRUCT_Y1</f>
        <v>0</v>
      </c>
      <c r="H17" s="30" t="n">
        <f aca="false">ASM_A01_N_FARMS*ASM_I01A_AMENAGEMENTS_PER_FARM_EUR*FLAG_CONSTRUCT_Y2</f>
        <v>0</v>
      </c>
      <c r="I17" s="30" t="n">
        <f aca="false">ASM_A01_N_FARMS*ASM_I01A_AMENAGEMENTS_PER_FARM_EUR*FLAG_CONSTRUCT_Y3</f>
        <v>0</v>
      </c>
      <c r="J17" s="30" t="n">
        <f aca="false">ASM_A01_N_FARMS*ASM_I01A_AMENAGEMENTS_PER_FARM_EUR*FLAG_CONSTRUCT_Y4</f>
        <v>0</v>
      </c>
      <c r="K17" s="30" t="n">
        <f aca="false">ASM_A01_N_FARMS*ASM_I01A_AMENAGEMENTS_PER_FARM_EUR*FLAG_CONSTRUCT_Y5</f>
        <v>0</v>
      </c>
      <c r="L17" s="30" t="n">
        <f aca="false">ASM_A01_N_FARMS*ASM_I01A_AMENAGEMENTS_PER_FARM_EUR*FLAG_CONSTRUCT_Y6</f>
        <v>0</v>
      </c>
    </row>
    <row r="18" customFormat="false" ht="15" hidden="false" customHeight="true" outlineLevel="0" collapsed="false">
      <c r="B18" s="18" t="s">
        <v>594</v>
      </c>
      <c r="C18" s="12" t="s">
        <v>136</v>
      </c>
      <c r="D18" s="30" t="n">
        <f aca="false">SUM(E18:L18)</f>
        <v>315859.090909091</v>
      </c>
      <c r="E18" s="30" t="n">
        <f aca="false">ASM_A01_N_FARMS*E$100*FLAG_CONSTRUCT_YM1</f>
        <v>0</v>
      </c>
      <c r="F18" s="30" t="n">
        <f aca="false">ASM_A01_N_FARMS*F$100*FLAG_CONSTRUCT_Y0</f>
        <v>315859.090909091</v>
      </c>
      <c r="G18" s="30" t="n">
        <f aca="false">ASM_A01_N_FARMS*G$100*FLAG_CONSTRUCT_Y1</f>
        <v>0</v>
      </c>
      <c r="H18" s="30" t="n">
        <f aca="false">ASM_A01_N_FARMS*H$100*FLAG_CONSTRUCT_Y2</f>
        <v>0</v>
      </c>
      <c r="I18" s="30" t="n">
        <f aca="false">ASM_A01_N_FARMS*I$100*FLAG_CONSTRUCT_Y3</f>
        <v>0</v>
      </c>
      <c r="J18" s="30" t="n">
        <f aca="false">ASM_A01_N_FARMS*J$100*FLAG_CONSTRUCT_Y4</f>
        <v>0</v>
      </c>
      <c r="K18" s="30" t="n">
        <f aca="false">ASM_A01_N_FARMS*K$100*FLAG_CONSTRUCT_Y5</f>
        <v>0</v>
      </c>
      <c r="L18" s="30" t="n">
        <f aca="false">ASM_A01_N_FARMS*L$100*FLAG_CONSTRUCT_Y6</f>
        <v>0</v>
      </c>
    </row>
    <row r="19" customFormat="false" ht="15" hidden="false" customHeight="true" outlineLevel="0" collapsed="false">
      <c r="B19" s="18" t="s">
        <v>595</v>
      </c>
      <c r="C19" s="12" t="s">
        <v>136</v>
      </c>
      <c r="D19" s="30" t="n">
        <f aca="false">ASM_A01_N_FARMS*ASM_I05_TREES_PER_FARM*ASM_I06_COST_PER_TREE_EUR</f>
        <v>45000</v>
      </c>
      <c r="E19" s="30" t="n">
        <f aca="false">ASM_A01_N_FARMS*ASM_I05_TREES_PER_FARM*ASM_I06_COST_PER_TREE_EUR*FLAG_CONSTRUCT_YM1</f>
        <v>0</v>
      </c>
      <c r="F19" s="30" t="n">
        <f aca="false">ASM_A01_N_FARMS*ASM_I05_TREES_PER_FARM*ASM_I06_COST_PER_TREE_EUR*FLAG_CONSTRUCT_Y0</f>
        <v>45000</v>
      </c>
      <c r="G19" s="30" t="n">
        <f aca="false">ASM_A01_N_FARMS*ASM_I05_TREES_PER_FARM*ASM_I06_COST_PER_TREE_EUR*FLAG_CONSTRUCT_Y1</f>
        <v>0</v>
      </c>
      <c r="H19" s="30" t="n">
        <f aca="false">ASM_A01_N_FARMS*ASM_I05_TREES_PER_FARM*ASM_I06_COST_PER_TREE_EUR*FLAG_CONSTRUCT_Y2</f>
        <v>0</v>
      </c>
      <c r="I19" s="30" t="n">
        <f aca="false">ASM_A01_N_FARMS*ASM_I05_TREES_PER_FARM*ASM_I06_COST_PER_TREE_EUR*FLAG_CONSTRUCT_Y3</f>
        <v>0</v>
      </c>
      <c r="J19" s="30" t="n">
        <f aca="false">ASM_A01_N_FARMS*ASM_I05_TREES_PER_FARM*ASM_I06_COST_PER_TREE_EUR*FLAG_CONSTRUCT_Y4</f>
        <v>0</v>
      </c>
      <c r="K19" s="30" t="n">
        <f aca="false">ASM_A01_N_FARMS*ASM_I05_TREES_PER_FARM*ASM_I06_COST_PER_TREE_EUR*FLAG_CONSTRUCT_Y5</f>
        <v>0</v>
      </c>
      <c r="L19" s="30" t="n">
        <f aca="false">ASM_A01_N_FARMS*ASM_I05_TREES_PER_FARM*ASM_I06_COST_PER_TREE_EUR*FLAG_CONSTRUCT_Y6</f>
        <v>0</v>
      </c>
    </row>
    <row r="20" customFormat="false" ht="15" hidden="false" customHeight="true" outlineLevel="0" collapsed="false">
      <c r="B20" s="31" t="s">
        <v>596</v>
      </c>
      <c r="C20" s="12" t="s">
        <v>136</v>
      </c>
      <c r="D20" s="32" t="n">
        <f aca="false">SUM(D16:D19)</f>
        <v>973535.181818182</v>
      </c>
      <c r="E20" s="32" t="n">
        <f aca="false">SUM(E16:E19)</f>
        <v>0</v>
      </c>
      <c r="F20" s="32" t="n">
        <f aca="false">SUM(F16:F19)</f>
        <v>973535.181818182</v>
      </c>
      <c r="G20" s="32" t="n">
        <f aca="false">SUM(G16:G19)</f>
        <v>0</v>
      </c>
      <c r="H20" s="32" t="n">
        <f aca="false">SUM(H16:H19)</f>
        <v>0</v>
      </c>
      <c r="I20" s="32" t="n">
        <f aca="false">SUM(I16:I19)</f>
        <v>0</v>
      </c>
      <c r="J20" s="32" t="n">
        <f aca="false">SUM(J16:J19)</f>
        <v>0</v>
      </c>
      <c r="K20" s="32" t="n">
        <f aca="false">SUM(K16:K19)</f>
        <v>0</v>
      </c>
      <c r="L20" s="32" t="n">
        <f aca="false">SUM(L16:L19)</f>
        <v>0</v>
      </c>
    </row>
    <row r="21" customFormat="false" ht="15" hidden="false" customHeight="true" outlineLevel="0" collapsed="false"/>
    <row r="22" customFormat="false" ht="15" hidden="false" customHeight="true" outlineLevel="0" collapsed="false">
      <c r="B22" s="28" t="s">
        <v>597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customFormat="false" ht="15" hidden="false" customHeight="true" outlineLevel="0" collapsed="false">
      <c r="B23" s="18" t="s">
        <v>598</v>
      </c>
      <c r="C23" s="12" t="s">
        <v>136</v>
      </c>
      <c r="D23" s="30" t="n">
        <f aca="false">ASM_A01_N_FARMS*ASM_I03A_DAIRY_INFRA_PER_FARM_EUR</f>
        <v>130365</v>
      </c>
      <c r="E23" s="30" t="n">
        <f aca="false">ASM_A01_N_FARMS*ASM_I03A_DAIRY_INFRA_PER_FARM_EUR*FLAG_CONSTRUCT_YM1</f>
        <v>0</v>
      </c>
      <c r="F23" s="30" t="n">
        <f aca="false">ASM_A01_N_FARMS*ASM_I03A_DAIRY_INFRA_PER_FARM_EUR*FLAG_CONSTRUCT_Y0</f>
        <v>130365</v>
      </c>
      <c r="G23" s="30" t="n">
        <f aca="false">ASM_A01_N_FARMS*ASM_I03A_DAIRY_INFRA_PER_FARM_EUR*FLAG_CONSTRUCT_Y1</f>
        <v>0</v>
      </c>
      <c r="H23" s="30" t="n">
        <f aca="false">ASM_A01_N_FARMS*ASM_I03A_DAIRY_INFRA_PER_FARM_EUR*FLAG_CONSTRUCT_Y2</f>
        <v>0</v>
      </c>
      <c r="I23" s="30" t="n">
        <f aca="false">ASM_A01_N_FARMS*ASM_I03A_DAIRY_INFRA_PER_FARM_EUR*FLAG_CONSTRUCT_Y3</f>
        <v>0</v>
      </c>
      <c r="J23" s="30" t="n">
        <f aca="false">ASM_A01_N_FARMS*ASM_I03A_DAIRY_INFRA_PER_FARM_EUR*FLAG_CONSTRUCT_Y4</f>
        <v>0</v>
      </c>
      <c r="K23" s="30" t="n">
        <f aca="false">ASM_A01_N_FARMS*ASM_I03A_DAIRY_INFRA_PER_FARM_EUR*FLAG_CONSTRUCT_Y5</f>
        <v>0</v>
      </c>
      <c r="L23" s="30" t="n">
        <f aca="false">ASM_A01_N_FARMS*ASM_I03A_DAIRY_INFRA_PER_FARM_EUR*FLAG_CONSTRUCT_Y6</f>
        <v>0</v>
      </c>
    </row>
    <row r="24" customFormat="false" ht="15" hidden="false" customHeight="true" outlineLevel="0" collapsed="false">
      <c r="B24" s="18" t="s">
        <v>599</v>
      </c>
      <c r="C24" s="12" t="s">
        <v>136</v>
      </c>
      <c r="D24" s="30" t="n">
        <f aca="false">ASM_A01_N_FARMS*ASM_I03B_DAIRY_HERD_INKIND_PER_FARM_EUR</f>
        <v>204546</v>
      </c>
      <c r="E24" s="30" t="n">
        <f aca="false">ASM_A01_N_FARMS*ASM_I03B_DAIRY_HERD_INKIND_PER_FARM_EUR*FLAG_CONSTRUCT_YM1</f>
        <v>0</v>
      </c>
      <c r="F24" s="30" t="n">
        <f aca="false">ASM_A01_N_FARMS*ASM_I03B_DAIRY_HERD_INKIND_PER_FARM_EUR*FLAG_CONSTRUCT_Y0</f>
        <v>204546</v>
      </c>
      <c r="G24" s="30" t="n">
        <f aca="false">ASM_A01_N_FARMS*ASM_I03B_DAIRY_HERD_INKIND_PER_FARM_EUR*FLAG_CONSTRUCT_Y1</f>
        <v>0</v>
      </c>
      <c r="H24" s="30" t="n">
        <f aca="false">ASM_A01_N_FARMS*ASM_I03B_DAIRY_HERD_INKIND_PER_FARM_EUR*FLAG_CONSTRUCT_Y2</f>
        <v>0</v>
      </c>
      <c r="I24" s="30" t="n">
        <f aca="false">ASM_A01_N_FARMS*ASM_I03B_DAIRY_HERD_INKIND_PER_FARM_EUR*FLAG_CONSTRUCT_Y3</f>
        <v>0</v>
      </c>
      <c r="J24" s="30" t="n">
        <f aca="false">ASM_A01_N_FARMS*ASM_I03B_DAIRY_HERD_INKIND_PER_FARM_EUR*FLAG_CONSTRUCT_Y4</f>
        <v>0</v>
      </c>
      <c r="K24" s="30" t="n">
        <f aca="false">ASM_A01_N_FARMS*ASM_I03B_DAIRY_HERD_INKIND_PER_FARM_EUR*FLAG_CONSTRUCT_Y5</f>
        <v>0</v>
      </c>
      <c r="L24" s="30" t="n">
        <f aca="false">ASM_A01_N_FARMS*ASM_I03B_DAIRY_HERD_INKIND_PER_FARM_EUR*FLAG_CONSTRUCT_Y6</f>
        <v>0</v>
      </c>
    </row>
    <row r="25" customFormat="false" ht="15" hidden="false" customHeight="true" outlineLevel="0" collapsed="false">
      <c r="B25" s="18" t="s">
        <v>600</v>
      </c>
      <c r="C25" s="12" t="s">
        <v>136</v>
      </c>
      <c r="D25" s="30" t="n">
        <f aca="false">SUM(E25:L25)</f>
        <v>23593.6363636364</v>
      </c>
      <c r="E25" s="30" t="n">
        <f aca="false">ASM_A01_N_FARMS*E$102*FLAG_CONSTRUCT_YM1</f>
        <v>0</v>
      </c>
      <c r="F25" s="30" t="n">
        <f aca="false">ASM_A01_N_FARMS*F$102*FLAG_CONSTRUCT_Y0</f>
        <v>23593.6363636364</v>
      </c>
      <c r="G25" s="30" t="n">
        <f aca="false">ASM_A01_N_FARMS*G$102*FLAG_CONSTRUCT_Y1</f>
        <v>0</v>
      </c>
      <c r="H25" s="30" t="n">
        <f aca="false">ASM_A01_N_FARMS*H$102*FLAG_CONSTRUCT_Y2</f>
        <v>0</v>
      </c>
      <c r="I25" s="30" t="n">
        <f aca="false">ASM_A01_N_FARMS*I$102*FLAG_CONSTRUCT_Y3</f>
        <v>0</v>
      </c>
      <c r="J25" s="30" t="n">
        <f aca="false">ASM_A01_N_FARMS*J$102*FLAG_CONSTRUCT_Y4</f>
        <v>0</v>
      </c>
      <c r="K25" s="30" t="n">
        <f aca="false">ASM_A01_N_FARMS*K$102*FLAG_CONSTRUCT_Y5</f>
        <v>0</v>
      </c>
      <c r="L25" s="30" t="n">
        <f aca="false">ASM_A01_N_FARMS*L$102*FLAG_CONSTRUCT_Y6</f>
        <v>0</v>
      </c>
    </row>
    <row r="26" customFormat="false" ht="15" hidden="false" customHeight="true" outlineLevel="0" collapsed="false">
      <c r="B26" s="31" t="s">
        <v>601</v>
      </c>
      <c r="C26" s="12" t="s">
        <v>136</v>
      </c>
      <c r="D26" s="32" t="n">
        <f aca="false">SUM(D23:D25)</f>
        <v>358504.636363636</v>
      </c>
      <c r="E26" s="32" t="n">
        <f aca="false">SUM(E23:E25)</f>
        <v>0</v>
      </c>
      <c r="F26" s="32" t="n">
        <f aca="false">SUM(F23:F25)</f>
        <v>358504.636363636</v>
      </c>
      <c r="G26" s="32" t="n">
        <f aca="false">SUM(G23:G25)</f>
        <v>0</v>
      </c>
      <c r="H26" s="32" t="n">
        <f aca="false">SUM(H23:H25)</f>
        <v>0</v>
      </c>
      <c r="I26" s="32" t="n">
        <f aca="false">SUM(I23:I25)</f>
        <v>0</v>
      </c>
      <c r="J26" s="32" t="n">
        <f aca="false">SUM(J23:J25)</f>
        <v>0</v>
      </c>
      <c r="K26" s="32" t="n">
        <f aca="false">SUM(K23:K25)</f>
        <v>0</v>
      </c>
      <c r="L26" s="32" t="n">
        <f aca="false">SUM(L23:L25)</f>
        <v>0</v>
      </c>
    </row>
    <row r="27" customFormat="false" ht="15" hidden="false" customHeight="true" outlineLevel="0" collapsed="false"/>
    <row r="28" customFormat="false" ht="15" hidden="false" customHeight="true" outlineLevel="0" collapsed="false">
      <c r="B28" s="28" t="s">
        <v>602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customFormat="false" ht="15" hidden="false" customHeight="true" outlineLevel="0" collapsed="false">
      <c r="B29" s="18" t="s">
        <v>603</v>
      </c>
      <c r="C29" s="12" t="s">
        <v>136</v>
      </c>
      <c r="D29" s="30" t="n">
        <f aca="false">ASM_A01_N_FARMS*ASM_I01B_IRRIGATION_PER_FARM_EUR</f>
        <v>553506</v>
      </c>
      <c r="E29" s="30" t="n">
        <f aca="false">ASM_A01_N_FARMS*ASM_I01B_IRRIGATION_PER_FARM_EUR*FLAG_CONSTRUCT_YM1</f>
        <v>0</v>
      </c>
      <c r="F29" s="30" t="n">
        <f aca="false">ASM_A01_N_FARMS*ASM_I01B_IRRIGATION_PER_FARM_EUR*FLAG_CONSTRUCT_Y0</f>
        <v>553506</v>
      </c>
      <c r="G29" s="30" t="n">
        <f aca="false">ASM_A01_N_FARMS*ASM_I01B_IRRIGATION_PER_FARM_EUR*FLAG_CONSTRUCT_Y1</f>
        <v>0</v>
      </c>
      <c r="H29" s="30" t="n">
        <f aca="false">ASM_A01_N_FARMS*ASM_I01B_IRRIGATION_PER_FARM_EUR*FLAG_CONSTRUCT_Y2</f>
        <v>0</v>
      </c>
      <c r="I29" s="30" t="n">
        <f aca="false">ASM_A01_N_FARMS*ASM_I01B_IRRIGATION_PER_FARM_EUR*FLAG_CONSTRUCT_Y3</f>
        <v>0</v>
      </c>
      <c r="J29" s="30" t="n">
        <f aca="false">ASM_A01_N_FARMS*ASM_I01B_IRRIGATION_PER_FARM_EUR*FLAG_CONSTRUCT_Y4</f>
        <v>0</v>
      </c>
      <c r="K29" s="30" t="n">
        <f aca="false">ASM_A01_N_FARMS*ASM_I01B_IRRIGATION_PER_FARM_EUR*FLAG_CONSTRUCT_Y5</f>
        <v>0</v>
      </c>
      <c r="L29" s="30" t="n">
        <f aca="false">ASM_A01_N_FARMS*ASM_I01B_IRRIGATION_PER_FARM_EUR*FLAG_CONSTRUCT_Y6</f>
        <v>0</v>
      </c>
    </row>
    <row r="30" customFormat="false" ht="15" hidden="false" customHeight="true" outlineLevel="0" collapsed="false">
      <c r="B30" s="18" t="s">
        <v>604</v>
      </c>
      <c r="C30" s="12" t="s">
        <v>136</v>
      </c>
      <c r="D30" s="30" t="n">
        <f aca="false">ASM_A01_N_FARMS*ASM_I07_UOF_WATER_PER_FARM_EUR</f>
        <v>486000</v>
      </c>
      <c r="E30" s="30" t="n">
        <f aca="false">ASM_A01_N_FARMS*ASM_I07_UOF_WATER_PER_FARM_EUR*FLAG_CONSTRUCT_YM1</f>
        <v>0</v>
      </c>
      <c r="F30" s="30" t="n">
        <f aca="false">ASM_A01_N_FARMS*ASM_I07_UOF_WATER_PER_FARM_EUR*FLAG_CONSTRUCT_Y0</f>
        <v>486000</v>
      </c>
      <c r="G30" s="30" t="n">
        <f aca="false">ASM_A01_N_FARMS*ASM_I07_UOF_WATER_PER_FARM_EUR*FLAG_CONSTRUCT_Y1</f>
        <v>0</v>
      </c>
      <c r="H30" s="30" t="n">
        <f aca="false">ASM_A01_N_FARMS*ASM_I07_UOF_WATER_PER_FARM_EUR*FLAG_CONSTRUCT_Y2</f>
        <v>0</v>
      </c>
      <c r="I30" s="30" t="n">
        <f aca="false">ASM_A01_N_FARMS*ASM_I07_UOF_WATER_PER_FARM_EUR*FLAG_CONSTRUCT_Y3</f>
        <v>0</v>
      </c>
      <c r="J30" s="30" t="n">
        <f aca="false">ASM_A01_N_FARMS*ASM_I07_UOF_WATER_PER_FARM_EUR*FLAG_CONSTRUCT_Y4</f>
        <v>0</v>
      </c>
      <c r="K30" s="30" t="n">
        <f aca="false">ASM_A01_N_FARMS*ASM_I07_UOF_WATER_PER_FARM_EUR*FLAG_CONSTRUCT_Y5</f>
        <v>0</v>
      </c>
      <c r="L30" s="30" t="n">
        <f aca="false">ASM_A01_N_FARMS*ASM_I07_UOF_WATER_PER_FARM_EUR*FLAG_CONSTRUCT_Y6</f>
        <v>0</v>
      </c>
    </row>
    <row r="31" customFormat="false" ht="15" hidden="false" customHeight="true" outlineLevel="0" collapsed="false">
      <c r="B31" s="18" t="s">
        <v>605</v>
      </c>
      <c r="C31" s="12" t="s">
        <v>136</v>
      </c>
      <c r="D31" s="30" t="n">
        <f aca="false">ASM_A01_N_FARMS*ASM_I08_UOF_ENERGY_PER_FARM_EUR</f>
        <v>70035</v>
      </c>
      <c r="E31" s="30" t="n">
        <f aca="false">ASM_A01_N_FARMS*ASM_I08_UOF_ENERGY_PER_FARM_EUR*FLAG_CONSTRUCT_YM1</f>
        <v>0</v>
      </c>
      <c r="F31" s="30" t="n">
        <f aca="false">ASM_A01_N_FARMS*ASM_I08_UOF_ENERGY_PER_FARM_EUR*FLAG_CONSTRUCT_Y0</f>
        <v>70035</v>
      </c>
      <c r="G31" s="30" t="n">
        <f aca="false">ASM_A01_N_FARMS*ASM_I08_UOF_ENERGY_PER_FARM_EUR*FLAG_CONSTRUCT_Y1</f>
        <v>0</v>
      </c>
      <c r="H31" s="30" t="n">
        <f aca="false">ASM_A01_N_FARMS*ASM_I08_UOF_ENERGY_PER_FARM_EUR*FLAG_CONSTRUCT_Y2</f>
        <v>0</v>
      </c>
      <c r="I31" s="30" t="n">
        <f aca="false">ASM_A01_N_FARMS*ASM_I08_UOF_ENERGY_PER_FARM_EUR*FLAG_CONSTRUCT_Y3</f>
        <v>0</v>
      </c>
      <c r="J31" s="30" t="n">
        <f aca="false">ASM_A01_N_FARMS*ASM_I08_UOF_ENERGY_PER_FARM_EUR*FLAG_CONSTRUCT_Y4</f>
        <v>0</v>
      </c>
      <c r="K31" s="30" t="n">
        <f aca="false">ASM_A01_N_FARMS*ASM_I08_UOF_ENERGY_PER_FARM_EUR*FLAG_CONSTRUCT_Y5</f>
        <v>0</v>
      </c>
      <c r="L31" s="30" t="n">
        <f aca="false">ASM_A01_N_FARMS*ASM_I08_UOF_ENERGY_PER_FARM_EUR*FLAG_CONSTRUCT_Y6</f>
        <v>0</v>
      </c>
    </row>
    <row r="32" customFormat="false" ht="15" hidden="false" customHeight="true" outlineLevel="0" collapsed="false">
      <c r="B32" s="18" t="s">
        <v>606</v>
      </c>
      <c r="C32" s="12" t="s">
        <v>136</v>
      </c>
      <c r="D32" s="30" t="n">
        <f aca="false">ASM_I09_UOF_MECHANIZATION_PROGRAMME_EUR</f>
        <v>180000</v>
      </c>
      <c r="E32" s="30" t="n">
        <f aca="false">ASM_I09_UOF_MECHANIZATION_PROGRAMME_EUR*FLAG_CONSTRUCT_YM1</f>
        <v>0</v>
      </c>
      <c r="F32" s="30" t="n">
        <f aca="false">ASM_I09_UOF_MECHANIZATION_PROGRAMME_EUR*FLAG_CONSTRUCT_Y0</f>
        <v>180000</v>
      </c>
      <c r="G32" s="30" t="n">
        <f aca="false">ASM_I09_UOF_MECHANIZATION_PROGRAMME_EUR*FLAG_CONSTRUCT_Y1</f>
        <v>0</v>
      </c>
      <c r="H32" s="30" t="n">
        <f aca="false">ASM_I09_UOF_MECHANIZATION_PROGRAMME_EUR*FLAG_CONSTRUCT_Y2</f>
        <v>0</v>
      </c>
      <c r="I32" s="30" t="n">
        <f aca="false">ASM_I09_UOF_MECHANIZATION_PROGRAMME_EUR*FLAG_CONSTRUCT_Y3</f>
        <v>0</v>
      </c>
      <c r="J32" s="30" t="n">
        <f aca="false">ASM_I09_UOF_MECHANIZATION_PROGRAMME_EUR*FLAG_CONSTRUCT_Y4</f>
        <v>0</v>
      </c>
      <c r="K32" s="30" t="n">
        <f aca="false">ASM_I09_UOF_MECHANIZATION_PROGRAMME_EUR*FLAG_CONSTRUCT_Y5</f>
        <v>0</v>
      </c>
      <c r="L32" s="30" t="n">
        <f aca="false">ASM_I09_UOF_MECHANIZATION_PROGRAMME_EUR*FLAG_CONSTRUCT_Y6</f>
        <v>0</v>
      </c>
    </row>
    <row r="33" customFormat="false" ht="15" hidden="false" customHeight="true" outlineLevel="0" collapsed="false">
      <c r="B33" s="18" t="s">
        <v>607</v>
      </c>
      <c r="C33" s="12" t="s">
        <v>136</v>
      </c>
      <c r="D33" s="30" t="n">
        <f aca="false">ASM_H08_N_PIEZOMETERS_PER_FARM*ASM_A01_N_FARMS*ASM_H09_COST_PER_PIEZOMETER_EUR</f>
        <v>65460</v>
      </c>
      <c r="E33" s="30" t="n">
        <f aca="false">ASM_H08_N_PIEZOMETERS_PER_FARM*ASM_A01_N_FARMS*ASM_H09_COST_PER_PIEZOMETER_EUR*FLAG_CONSTRUCT_YM1</f>
        <v>0</v>
      </c>
      <c r="F33" s="30" t="n">
        <f aca="false">ASM_H08_N_PIEZOMETERS_PER_FARM*ASM_A01_N_FARMS*ASM_H09_COST_PER_PIEZOMETER_EUR*FLAG_CONSTRUCT_Y0</f>
        <v>65460</v>
      </c>
      <c r="G33" s="30" t="n">
        <f aca="false">ASM_H08_N_PIEZOMETERS_PER_FARM*ASM_A01_N_FARMS*ASM_H09_COST_PER_PIEZOMETER_EUR*FLAG_CONSTRUCT_Y1</f>
        <v>0</v>
      </c>
      <c r="H33" s="30" t="n">
        <f aca="false">ASM_H08_N_PIEZOMETERS_PER_FARM*ASM_A01_N_FARMS*ASM_H09_COST_PER_PIEZOMETER_EUR*FLAG_CONSTRUCT_Y2</f>
        <v>0</v>
      </c>
      <c r="I33" s="30" t="n">
        <f aca="false">ASM_H08_N_PIEZOMETERS_PER_FARM*ASM_A01_N_FARMS*ASM_H09_COST_PER_PIEZOMETER_EUR*FLAG_CONSTRUCT_Y3</f>
        <v>0</v>
      </c>
      <c r="J33" s="30" t="n">
        <f aca="false">ASM_H08_N_PIEZOMETERS_PER_FARM*ASM_A01_N_FARMS*ASM_H09_COST_PER_PIEZOMETER_EUR*FLAG_CONSTRUCT_Y4</f>
        <v>0</v>
      </c>
      <c r="K33" s="30" t="n">
        <f aca="false">ASM_H08_N_PIEZOMETERS_PER_FARM*ASM_A01_N_FARMS*ASM_H09_COST_PER_PIEZOMETER_EUR*FLAG_CONSTRUCT_Y5</f>
        <v>0</v>
      </c>
      <c r="L33" s="30" t="n">
        <f aca="false">ASM_H08_N_PIEZOMETERS_PER_FARM*ASM_A01_N_FARMS*ASM_H09_COST_PER_PIEZOMETER_EUR*FLAG_CONSTRUCT_Y6</f>
        <v>0</v>
      </c>
    </row>
    <row r="34" customFormat="false" ht="15" hidden="false" customHeight="true" outlineLevel="0" collapsed="false">
      <c r="B34" s="18" t="s">
        <v>207</v>
      </c>
      <c r="C34" s="12" t="s">
        <v>136</v>
      </c>
      <c r="D34" s="30" t="n">
        <f aca="false">ASM_H10_COST_TELEMETRY_LUMP_EUR</f>
        <v>14545</v>
      </c>
      <c r="E34" s="30" t="n">
        <f aca="false">ASM_H10_COST_TELEMETRY_LUMP_EUR*FLAG_CONSTRUCT_YM1</f>
        <v>0</v>
      </c>
      <c r="F34" s="30" t="n">
        <f aca="false">ASM_H10_COST_TELEMETRY_LUMP_EUR*FLAG_CONSTRUCT_Y0</f>
        <v>14545</v>
      </c>
      <c r="G34" s="30" t="n">
        <f aca="false">ASM_H10_COST_TELEMETRY_LUMP_EUR*FLAG_CONSTRUCT_Y1</f>
        <v>0</v>
      </c>
      <c r="H34" s="30" t="n">
        <f aca="false">ASM_H10_COST_TELEMETRY_LUMP_EUR*FLAG_CONSTRUCT_Y2</f>
        <v>0</v>
      </c>
      <c r="I34" s="30" t="n">
        <f aca="false">ASM_H10_COST_TELEMETRY_LUMP_EUR*FLAG_CONSTRUCT_Y3</f>
        <v>0</v>
      </c>
      <c r="J34" s="30" t="n">
        <f aca="false">ASM_H10_COST_TELEMETRY_LUMP_EUR*FLAG_CONSTRUCT_Y4</f>
        <v>0</v>
      </c>
      <c r="K34" s="30" t="n">
        <f aca="false">ASM_H10_COST_TELEMETRY_LUMP_EUR*FLAG_CONSTRUCT_Y5</f>
        <v>0</v>
      </c>
      <c r="L34" s="30" t="n">
        <f aca="false">ASM_H10_COST_TELEMETRY_LUMP_EUR*FLAG_CONSTRUCT_Y6</f>
        <v>0</v>
      </c>
    </row>
    <row r="35" customFormat="false" ht="15" hidden="false" customHeight="true" outlineLevel="0" collapsed="false">
      <c r="B35" s="31" t="s">
        <v>608</v>
      </c>
      <c r="C35" s="12" t="s">
        <v>136</v>
      </c>
      <c r="D35" s="32" t="n">
        <f aca="false">SUM(D29:D34)</f>
        <v>1369546</v>
      </c>
      <c r="E35" s="32" t="n">
        <f aca="false">SUM(E29:E34)</f>
        <v>0</v>
      </c>
      <c r="F35" s="32" t="n">
        <f aca="false">SUM(F29:F34)</f>
        <v>1369546</v>
      </c>
      <c r="G35" s="32" t="n">
        <f aca="false">SUM(G29:G34)</f>
        <v>0</v>
      </c>
      <c r="H35" s="32" t="n">
        <f aca="false">SUM(H29:H34)</f>
        <v>0</v>
      </c>
      <c r="I35" s="32" t="n">
        <f aca="false">SUM(I29:I34)</f>
        <v>0</v>
      </c>
      <c r="J35" s="32" t="n">
        <f aca="false">SUM(J29:J34)</f>
        <v>0</v>
      </c>
      <c r="K35" s="32" t="n">
        <f aca="false">SUM(K29:K34)</f>
        <v>0</v>
      </c>
      <c r="L35" s="32" t="n">
        <f aca="false">SUM(L29:L34)</f>
        <v>0</v>
      </c>
    </row>
    <row r="36" customFormat="false" ht="15" hidden="false" customHeight="true" outlineLevel="0" collapsed="false">
      <c r="B36" s="33" t="s">
        <v>609</v>
      </c>
      <c r="C36" s="12" t="s">
        <v>136</v>
      </c>
      <c r="D36" s="27" t="n">
        <f aca="false">D20+D26+D35</f>
        <v>2701585.81818182</v>
      </c>
      <c r="E36" s="27" t="n">
        <f aca="false">E20+E26+E35</f>
        <v>0</v>
      </c>
      <c r="F36" s="27" t="n">
        <f aca="false">F20+F26+F35</f>
        <v>2701585.81818182</v>
      </c>
      <c r="G36" s="27" t="n">
        <f aca="false">G20+G26+G35</f>
        <v>0</v>
      </c>
      <c r="H36" s="27" t="n">
        <f aca="false">H20+H26+H35</f>
        <v>0</v>
      </c>
      <c r="I36" s="27" t="n">
        <f aca="false">I20+I26+I35</f>
        <v>0</v>
      </c>
      <c r="J36" s="27" t="n">
        <f aca="false">J20+J26+J35</f>
        <v>0</v>
      </c>
      <c r="K36" s="27" t="n">
        <f aca="false">K20+K26+K35</f>
        <v>0</v>
      </c>
      <c r="L36" s="27" t="n">
        <f aca="false">L20+L26+L35</f>
        <v>0</v>
      </c>
    </row>
    <row r="37" customFormat="false" ht="15" hidden="false" customHeight="true" outlineLevel="0" collapsed="false"/>
    <row r="38" customFormat="false" ht="15" hidden="false" customHeight="true" outlineLevel="0" collapsed="false">
      <c r="B38" s="4" t="s">
        <v>610</v>
      </c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B39" s="28" t="s">
        <v>611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customFormat="false" ht="15" hidden="false" customHeight="true" outlineLevel="0" collapsed="false">
      <c r="B40" s="36" t="s">
        <v>611</v>
      </c>
      <c r="C40" s="12" t="s">
        <v>136</v>
      </c>
      <c r="D40" s="11" t="n">
        <f aca="false">SUM(E40:L40)</f>
        <v>678000</v>
      </c>
      <c r="E40" s="11" t="n">
        <f aca="false">TRAIN_CAP_CURRICULUM_YM1</f>
        <v>628000</v>
      </c>
      <c r="F40" s="11" t="n">
        <f aca="false">TRAIN_CAP_CURRICULUM_Y0</f>
        <v>50000</v>
      </c>
      <c r="G40" s="11" t="n">
        <f aca="false">TRAIN_CAP_CURRICULUM_Y1</f>
        <v>0</v>
      </c>
      <c r="H40" s="11" t="n">
        <f aca="false">TRAIN_CAP_CURRICULUM_Y2</f>
        <v>0</v>
      </c>
      <c r="I40" s="11" t="n">
        <f aca="false">TRAIN_CAP_CURRICULUM_Y3</f>
        <v>0</v>
      </c>
      <c r="J40" s="11" t="n">
        <f aca="false">TRAIN_CAP_CURRICULUM_Y4</f>
        <v>0</v>
      </c>
      <c r="K40" s="11" t="n">
        <f aca="false">TRAIN_CAP_CURRICULUM_Y5</f>
        <v>0</v>
      </c>
      <c r="L40" s="11" t="n">
        <f aca="false">TRAIN_CAP_CURRICULUM_Y6</f>
        <v>0</v>
      </c>
    </row>
    <row r="41" customFormat="false" ht="15" hidden="false" customHeight="true" outlineLevel="0" collapsed="false">
      <c r="B41" s="31" t="s">
        <v>395</v>
      </c>
      <c r="C41" s="12" t="s">
        <v>136</v>
      </c>
      <c r="D41" s="32" t="n">
        <f aca="false">SUM(D40)</f>
        <v>678000</v>
      </c>
      <c r="E41" s="32" t="n">
        <f aca="false">SUM(E40)</f>
        <v>628000</v>
      </c>
      <c r="F41" s="32" t="n">
        <f aca="false">SUM(F40)</f>
        <v>50000</v>
      </c>
      <c r="G41" s="32" t="n">
        <f aca="false">SUM(G40)</f>
        <v>0</v>
      </c>
      <c r="H41" s="32" t="n">
        <f aca="false">SUM(H40)</f>
        <v>0</v>
      </c>
      <c r="I41" s="32" t="n">
        <f aca="false">SUM(I40)</f>
        <v>0</v>
      </c>
      <c r="J41" s="32" t="n">
        <f aca="false">SUM(J40)</f>
        <v>0</v>
      </c>
      <c r="K41" s="32" t="n">
        <f aca="false">SUM(K40)</f>
        <v>0</v>
      </c>
      <c r="L41" s="32" t="n">
        <f aca="false">SUM(L40)</f>
        <v>0</v>
      </c>
    </row>
    <row r="42" customFormat="false" ht="15" hidden="false" customHeight="true" outlineLevel="0" collapsed="false"/>
    <row r="43" customFormat="false" ht="15" hidden="false" customHeight="true" outlineLevel="0" collapsed="false">
      <c r="B43" s="28" t="s">
        <v>396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customFormat="false" ht="15" hidden="false" customHeight="true" outlineLevel="0" collapsed="false">
      <c r="B44" s="36" t="s">
        <v>396</v>
      </c>
      <c r="C44" s="12" t="s">
        <v>136</v>
      </c>
      <c r="D44" s="11" t="n">
        <f aca="false">SUM(E44:L44)</f>
        <v>345000</v>
      </c>
      <c r="E44" s="11" t="n">
        <f aca="false">TRAIN_CAP_PLATEAUX_YM1</f>
        <v>0</v>
      </c>
      <c r="F44" s="11" t="n">
        <f aca="false">TRAIN_CAP_PLATEAUX_Y0</f>
        <v>345000</v>
      </c>
      <c r="G44" s="11" t="n">
        <f aca="false">TRAIN_CAP_PLATEAUX_Y1</f>
        <v>0</v>
      </c>
      <c r="H44" s="11" t="n">
        <f aca="false">TRAIN_CAP_PLATEAUX_Y2</f>
        <v>0</v>
      </c>
      <c r="I44" s="11" t="n">
        <f aca="false">TRAIN_CAP_PLATEAUX_Y3</f>
        <v>0</v>
      </c>
      <c r="J44" s="11" t="n">
        <f aca="false">TRAIN_CAP_PLATEAUX_Y4</f>
        <v>0</v>
      </c>
      <c r="K44" s="11" t="n">
        <f aca="false">TRAIN_CAP_PLATEAUX_Y5</f>
        <v>0</v>
      </c>
      <c r="L44" s="11" t="n">
        <f aca="false">TRAIN_CAP_PLATEAUX_Y6</f>
        <v>0</v>
      </c>
    </row>
    <row r="45" customFormat="false" ht="15" hidden="false" customHeight="true" outlineLevel="0" collapsed="false">
      <c r="B45" s="31" t="s">
        <v>402</v>
      </c>
      <c r="C45" s="12" t="s">
        <v>136</v>
      </c>
      <c r="D45" s="32" t="n">
        <f aca="false">SUM(D44)</f>
        <v>345000</v>
      </c>
      <c r="E45" s="32" t="n">
        <f aca="false">SUM(E44)</f>
        <v>0</v>
      </c>
      <c r="F45" s="32" t="n">
        <f aca="false">SUM(F44)</f>
        <v>345000</v>
      </c>
      <c r="G45" s="32" t="n">
        <f aca="false">SUM(G44)</f>
        <v>0</v>
      </c>
      <c r="H45" s="32" t="n">
        <f aca="false">SUM(H44)</f>
        <v>0</v>
      </c>
      <c r="I45" s="32" t="n">
        <f aca="false">SUM(I44)</f>
        <v>0</v>
      </c>
      <c r="J45" s="32" t="n">
        <f aca="false">SUM(J44)</f>
        <v>0</v>
      </c>
      <c r="K45" s="32" t="n">
        <f aca="false">SUM(K44)</f>
        <v>0</v>
      </c>
      <c r="L45" s="32" t="n">
        <f aca="false">SUM(L44)</f>
        <v>0</v>
      </c>
    </row>
    <row r="46" customFormat="false" ht="15" hidden="false" customHeight="true" outlineLevel="0" collapsed="false"/>
    <row r="47" customFormat="false" ht="15" hidden="false" customHeight="true" outlineLevel="0" collapsed="false">
      <c r="B47" s="28" t="s">
        <v>403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customFormat="false" ht="15" hidden="false" customHeight="true" outlineLevel="0" collapsed="false">
      <c r="B48" s="36" t="s">
        <v>403</v>
      </c>
      <c r="C48" s="12" t="s">
        <v>136</v>
      </c>
      <c r="D48" s="11" t="n">
        <f aca="false">SUM(E48:L48)</f>
        <v>385000</v>
      </c>
      <c r="E48" s="11" t="n">
        <f aca="false">TRAIN_CAP_ACCOMMODATION_YM1</f>
        <v>0</v>
      </c>
      <c r="F48" s="11" t="n">
        <f aca="false">TRAIN_CAP_ACCOMMODATION_Y0</f>
        <v>385000</v>
      </c>
      <c r="G48" s="11" t="n">
        <f aca="false">TRAIN_CAP_ACCOMMODATION_Y1</f>
        <v>0</v>
      </c>
      <c r="H48" s="11" t="n">
        <f aca="false">TRAIN_CAP_ACCOMMODATION_Y2</f>
        <v>0</v>
      </c>
      <c r="I48" s="11" t="n">
        <f aca="false">TRAIN_CAP_ACCOMMODATION_Y3</f>
        <v>0</v>
      </c>
      <c r="J48" s="11" t="n">
        <f aca="false">TRAIN_CAP_ACCOMMODATION_Y4</f>
        <v>0</v>
      </c>
      <c r="K48" s="11" t="n">
        <f aca="false">TRAIN_CAP_ACCOMMODATION_Y5</f>
        <v>0</v>
      </c>
      <c r="L48" s="11" t="n">
        <f aca="false">TRAIN_CAP_ACCOMMODATION_Y6</f>
        <v>0</v>
      </c>
    </row>
    <row r="49" customFormat="false" ht="15" hidden="false" customHeight="true" outlineLevel="0" collapsed="false">
      <c r="B49" s="31" t="s">
        <v>407</v>
      </c>
      <c r="C49" s="12" t="s">
        <v>136</v>
      </c>
      <c r="D49" s="32" t="n">
        <f aca="false">SUM(D48)</f>
        <v>385000</v>
      </c>
      <c r="E49" s="32" t="n">
        <f aca="false">SUM(E48)</f>
        <v>0</v>
      </c>
      <c r="F49" s="32" t="n">
        <f aca="false">SUM(F48)</f>
        <v>385000</v>
      </c>
      <c r="G49" s="32" t="n">
        <f aca="false">SUM(G48)</f>
        <v>0</v>
      </c>
      <c r="H49" s="32" t="n">
        <f aca="false">SUM(H48)</f>
        <v>0</v>
      </c>
      <c r="I49" s="32" t="n">
        <f aca="false">SUM(I48)</f>
        <v>0</v>
      </c>
      <c r="J49" s="32" t="n">
        <f aca="false">SUM(J48)</f>
        <v>0</v>
      </c>
      <c r="K49" s="32" t="n">
        <f aca="false">SUM(K48)</f>
        <v>0</v>
      </c>
      <c r="L49" s="32" t="n">
        <f aca="false">SUM(L48)</f>
        <v>0</v>
      </c>
    </row>
    <row r="50" customFormat="false" ht="15" hidden="false" customHeight="true" outlineLevel="0" collapsed="false"/>
    <row r="51" customFormat="false" ht="15" hidden="false" customHeight="true" outlineLevel="0" collapsed="false">
      <c r="B51" s="28" t="s">
        <v>408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customFormat="false" ht="15" hidden="false" customHeight="true" outlineLevel="0" collapsed="false">
      <c r="B52" s="36" t="s">
        <v>408</v>
      </c>
      <c r="C52" s="12" t="s">
        <v>136</v>
      </c>
      <c r="D52" s="11" t="n">
        <f aca="false">SUM(E52:L52)</f>
        <v>80000</v>
      </c>
      <c r="E52" s="11" t="n">
        <f aca="false">TRAIN_CAP_MONITORING_YM1</f>
        <v>0</v>
      </c>
      <c r="F52" s="11" t="n">
        <f aca="false">TRAIN_CAP_MONITORING_Y0</f>
        <v>80000</v>
      </c>
      <c r="G52" s="11" t="n">
        <f aca="false">TRAIN_CAP_MONITORING_Y1</f>
        <v>0</v>
      </c>
      <c r="H52" s="11" t="n">
        <f aca="false">TRAIN_CAP_MONITORING_Y2</f>
        <v>0</v>
      </c>
      <c r="I52" s="11" t="n">
        <f aca="false">TRAIN_CAP_MONITORING_Y3</f>
        <v>0</v>
      </c>
      <c r="J52" s="11" t="n">
        <f aca="false">TRAIN_CAP_MONITORING_Y4</f>
        <v>0</v>
      </c>
      <c r="K52" s="11" t="n">
        <f aca="false">TRAIN_CAP_MONITORING_Y5</f>
        <v>0</v>
      </c>
      <c r="L52" s="11" t="n">
        <f aca="false">TRAIN_CAP_MONITORING_Y6</f>
        <v>0</v>
      </c>
    </row>
    <row r="53" customFormat="false" ht="15" hidden="false" customHeight="true" outlineLevel="0" collapsed="false">
      <c r="B53" s="31" t="s">
        <v>410</v>
      </c>
      <c r="C53" s="12" t="s">
        <v>136</v>
      </c>
      <c r="D53" s="32" t="n">
        <f aca="false">SUM(D52)</f>
        <v>80000</v>
      </c>
      <c r="E53" s="32" t="n">
        <f aca="false">SUM(E52)</f>
        <v>0</v>
      </c>
      <c r="F53" s="32" t="n">
        <f aca="false">SUM(F52)</f>
        <v>80000</v>
      </c>
      <c r="G53" s="32" t="n">
        <f aca="false">SUM(G52)</f>
        <v>0</v>
      </c>
      <c r="H53" s="32" t="n">
        <f aca="false">SUM(H52)</f>
        <v>0</v>
      </c>
      <c r="I53" s="32" t="n">
        <f aca="false">SUM(I52)</f>
        <v>0</v>
      </c>
      <c r="J53" s="32" t="n">
        <f aca="false">SUM(J52)</f>
        <v>0</v>
      </c>
      <c r="K53" s="32" t="n">
        <f aca="false">SUM(K52)</f>
        <v>0</v>
      </c>
      <c r="L53" s="32" t="n">
        <f aca="false">SUM(L52)</f>
        <v>0</v>
      </c>
    </row>
    <row r="54" customFormat="false" ht="15" hidden="false" customHeight="true" outlineLevel="0" collapsed="false">
      <c r="B54" s="33" t="s">
        <v>612</v>
      </c>
      <c r="C54" s="12" t="s">
        <v>136</v>
      </c>
      <c r="D54" s="27" t="n">
        <f aca="false">D41+D45+D49+D53</f>
        <v>1488000</v>
      </c>
      <c r="E54" s="27" t="n">
        <f aca="false">E41+E45+E49+E53</f>
        <v>628000</v>
      </c>
      <c r="F54" s="27" t="n">
        <f aca="false">F41+F45+F49+F53</f>
        <v>860000</v>
      </c>
      <c r="G54" s="27" t="n">
        <f aca="false">G41+G45+G49+G53</f>
        <v>0</v>
      </c>
      <c r="H54" s="27" t="n">
        <f aca="false">H41+H45+H49+H53</f>
        <v>0</v>
      </c>
      <c r="I54" s="27" t="n">
        <f aca="false">I41+I45+I49+I53</f>
        <v>0</v>
      </c>
      <c r="J54" s="27" t="n">
        <f aca="false">J41+J45+J49+J53</f>
        <v>0</v>
      </c>
      <c r="K54" s="27" t="n">
        <f aca="false">K41+K45+K49+K53</f>
        <v>0</v>
      </c>
      <c r="L54" s="27" t="n">
        <f aca="false">L41+L45+L49+L53</f>
        <v>0</v>
      </c>
    </row>
    <row r="55" customFormat="false" ht="15" hidden="false" customHeight="true" outlineLevel="0" collapsed="false"/>
    <row r="56" customFormat="false" ht="15" hidden="false" customHeight="true" outlineLevel="0" collapsed="false">
      <c r="B56" s="4" t="s">
        <v>613</v>
      </c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B57" s="28" t="s">
        <v>530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customFormat="false" ht="15" hidden="false" customHeight="true" outlineLevel="0" collapsed="false">
      <c r="B58" s="36" t="s">
        <v>614</v>
      </c>
      <c r="C58" s="12" t="s">
        <v>136</v>
      </c>
      <c r="D58" s="11" t="n">
        <f aca="false">SUM(E58:L58)</f>
        <v>125000</v>
      </c>
      <c r="E58" s="11" t="n">
        <f aca="false">'04_Genetics'!E16</f>
        <v>0</v>
      </c>
      <c r="F58" s="11" t="n">
        <f aca="false">'04_Genetics'!F16</f>
        <v>125000</v>
      </c>
      <c r="G58" s="11" t="n">
        <f aca="false">'04_Genetics'!G16</f>
        <v>0</v>
      </c>
      <c r="H58" s="11" t="n">
        <f aca="false">'04_Genetics'!H16</f>
        <v>0</v>
      </c>
      <c r="I58" s="11" t="n">
        <f aca="false">'04_Genetics'!I16</f>
        <v>0</v>
      </c>
      <c r="J58" s="11" t="n">
        <f aca="false">'04_Genetics'!J16</f>
        <v>0</v>
      </c>
      <c r="K58" s="11" t="n">
        <f aca="false">'04_Genetics'!K16</f>
        <v>0</v>
      </c>
      <c r="L58" s="11" t="n">
        <f aca="false">'04_Genetics'!L16</f>
        <v>0</v>
      </c>
    </row>
    <row r="59" customFormat="false" ht="15" hidden="false" customHeight="true" outlineLevel="0" collapsed="false">
      <c r="B59" s="36" t="s">
        <v>615</v>
      </c>
      <c r="C59" s="12" t="s">
        <v>136</v>
      </c>
      <c r="D59" s="11" t="n">
        <f aca="false">SUM(E59:L59)</f>
        <v>150000</v>
      </c>
      <c r="E59" s="11" t="n">
        <f aca="false">'04_Genetics'!E17</f>
        <v>0</v>
      </c>
      <c r="F59" s="11" t="n">
        <f aca="false">'04_Genetics'!F17</f>
        <v>150000</v>
      </c>
      <c r="G59" s="11" t="n">
        <f aca="false">'04_Genetics'!G17</f>
        <v>0</v>
      </c>
      <c r="H59" s="11" t="n">
        <f aca="false">'04_Genetics'!H17</f>
        <v>0</v>
      </c>
      <c r="I59" s="11" t="n">
        <f aca="false">'04_Genetics'!I17</f>
        <v>0</v>
      </c>
      <c r="J59" s="11" t="n">
        <f aca="false">'04_Genetics'!J17</f>
        <v>0</v>
      </c>
      <c r="K59" s="11" t="n">
        <f aca="false">'04_Genetics'!K17</f>
        <v>0</v>
      </c>
      <c r="L59" s="11" t="n">
        <f aca="false">'04_Genetics'!L17</f>
        <v>0</v>
      </c>
    </row>
    <row r="60" customFormat="false" ht="15" hidden="false" customHeight="true" outlineLevel="0" collapsed="false">
      <c r="B60" s="36" t="s">
        <v>616</v>
      </c>
      <c r="C60" s="12" t="s">
        <v>136</v>
      </c>
      <c r="D60" s="11" t="n">
        <f aca="false">SUM(E60:L60)</f>
        <v>15000</v>
      </c>
      <c r="E60" s="11" t="n">
        <f aca="false">'04_Genetics'!E18</f>
        <v>0</v>
      </c>
      <c r="F60" s="11" t="n">
        <f aca="false">'04_Genetics'!F18</f>
        <v>15000</v>
      </c>
      <c r="G60" s="11" t="n">
        <f aca="false">'04_Genetics'!G18</f>
        <v>0</v>
      </c>
      <c r="H60" s="11" t="n">
        <f aca="false">'04_Genetics'!H18</f>
        <v>0</v>
      </c>
      <c r="I60" s="11" t="n">
        <f aca="false">'04_Genetics'!I18</f>
        <v>0</v>
      </c>
      <c r="J60" s="11" t="n">
        <f aca="false">'04_Genetics'!J18</f>
        <v>0</v>
      </c>
      <c r="K60" s="11" t="n">
        <f aca="false">'04_Genetics'!K18</f>
        <v>0</v>
      </c>
      <c r="L60" s="11" t="n">
        <f aca="false">'04_Genetics'!L18</f>
        <v>0</v>
      </c>
    </row>
    <row r="61" customFormat="false" ht="15" hidden="false" customHeight="true" outlineLevel="0" collapsed="false">
      <c r="B61" s="36" t="s">
        <v>617</v>
      </c>
      <c r="C61" s="12" t="s">
        <v>136</v>
      </c>
      <c r="D61" s="11" t="n">
        <f aca="false">SUM(E61:L61)</f>
        <v>8401</v>
      </c>
      <c r="E61" s="11" t="n">
        <f aca="false">'04_Genetics'!E19</f>
        <v>0</v>
      </c>
      <c r="F61" s="11" t="n">
        <f aca="false">'04_Genetics'!F19</f>
        <v>8401</v>
      </c>
      <c r="G61" s="11" t="n">
        <f aca="false">'04_Genetics'!G19</f>
        <v>0</v>
      </c>
      <c r="H61" s="11" t="n">
        <f aca="false">'04_Genetics'!H19</f>
        <v>0</v>
      </c>
      <c r="I61" s="11" t="n">
        <f aca="false">'04_Genetics'!I19</f>
        <v>0</v>
      </c>
      <c r="J61" s="11" t="n">
        <f aca="false">'04_Genetics'!J19</f>
        <v>0</v>
      </c>
      <c r="K61" s="11" t="n">
        <f aca="false">'04_Genetics'!K19</f>
        <v>0</v>
      </c>
      <c r="L61" s="11" t="n">
        <f aca="false">'04_Genetics'!L19</f>
        <v>0</v>
      </c>
    </row>
    <row r="62" customFormat="false" ht="15" hidden="false" customHeight="true" outlineLevel="0" collapsed="false">
      <c r="B62" s="31" t="s">
        <v>618</v>
      </c>
      <c r="C62" s="12" t="s">
        <v>136</v>
      </c>
      <c r="D62" s="32" t="n">
        <f aca="false">SUM(D58:D61)</f>
        <v>298401</v>
      </c>
      <c r="E62" s="32" t="n">
        <f aca="false">SUM(E58:E61)</f>
        <v>0</v>
      </c>
      <c r="F62" s="32" t="n">
        <f aca="false">SUM(F58:F61)</f>
        <v>298401</v>
      </c>
      <c r="G62" s="32" t="n">
        <f aca="false">SUM(G58:G61)</f>
        <v>0</v>
      </c>
      <c r="H62" s="32" t="n">
        <f aca="false">SUM(H58:H61)</f>
        <v>0</v>
      </c>
      <c r="I62" s="32" t="n">
        <f aca="false">SUM(I58:I61)</f>
        <v>0</v>
      </c>
      <c r="J62" s="32" t="n">
        <f aca="false">SUM(J58:J61)</f>
        <v>0</v>
      </c>
      <c r="K62" s="32" t="n">
        <f aca="false">SUM(K58:K61)</f>
        <v>0</v>
      </c>
      <c r="L62" s="32" t="n">
        <f aca="false">SUM(L58:L61)</f>
        <v>0</v>
      </c>
    </row>
    <row r="63" customFormat="false" ht="15" hidden="false" customHeight="true" outlineLevel="0" collapsed="false"/>
    <row r="64" customFormat="false" ht="15" hidden="false" customHeight="true" outlineLevel="0" collapsed="false">
      <c r="B64" s="28" t="s">
        <v>546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customFormat="false" ht="15" hidden="false" customHeight="true" outlineLevel="0" collapsed="false">
      <c r="B65" s="36" t="s">
        <v>619</v>
      </c>
      <c r="C65" s="12" t="s">
        <v>136</v>
      </c>
      <c r="D65" s="11" t="n">
        <f aca="false">SUM(E65:L65)</f>
        <v>125000</v>
      </c>
      <c r="E65" s="11" t="n">
        <f aca="false">'04_Genetics'!E38</f>
        <v>0</v>
      </c>
      <c r="F65" s="11" t="n">
        <f aca="false">'04_Genetics'!F38</f>
        <v>125000</v>
      </c>
      <c r="G65" s="11" t="n">
        <f aca="false">'04_Genetics'!G38</f>
        <v>0</v>
      </c>
      <c r="H65" s="11" t="n">
        <f aca="false">'04_Genetics'!H38</f>
        <v>0</v>
      </c>
      <c r="I65" s="11" t="n">
        <f aca="false">'04_Genetics'!I38</f>
        <v>0</v>
      </c>
      <c r="J65" s="11" t="n">
        <f aca="false">'04_Genetics'!J38</f>
        <v>0</v>
      </c>
      <c r="K65" s="11" t="n">
        <f aca="false">'04_Genetics'!K38</f>
        <v>0</v>
      </c>
      <c r="L65" s="11" t="n">
        <f aca="false">'04_Genetics'!L38</f>
        <v>0</v>
      </c>
    </row>
    <row r="66" customFormat="false" ht="15" hidden="false" customHeight="true" outlineLevel="0" collapsed="false">
      <c r="B66" s="36" t="s">
        <v>620</v>
      </c>
      <c r="C66" s="12" t="s">
        <v>136</v>
      </c>
      <c r="D66" s="11" t="n">
        <f aca="false">SUM(E66:L66)</f>
        <v>75000</v>
      </c>
      <c r="E66" s="11" t="n">
        <f aca="false">'04_Genetics'!E39</f>
        <v>0</v>
      </c>
      <c r="F66" s="11" t="n">
        <f aca="false">'04_Genetics'!F39</f>
        <v>75000</v>
      </c>
      <c r="G66" s="11" t="n">
        <f aca="false">'04_Genetics'!G39</f>
        <v>0</v>
      </c>
      <c r="H66" s="11" t="n">
        <f aca="false">'04_Genetics'!H39</f>
        <v>0</v>
      </c>
      <c r="I66" s="11" t="n">
        <f aca="false">'04_Genetics'!I39</f>
        <v>0</v>
      </c>
      <c r="J66" s="11" t="n">
        <f aca="false">'04_Genetics'!J39</f>
        <v>0</v>
      </c>
      <c r="K66" s="11" t="n">
        <f aca="false">'04_Genetics'!K39</f>
        <v>0</v>
      </c>
      <c r="L66" s="11" t="n">
        <f aca="false">'04_Genetics'!L39</f>
        <v>0</v>
      </c>
    </row>
    <row r="67" customFormat="false" ht="15" hidden="false" customHeight="true" outlineLevel="0" collapsed="false">
      <c r="B67" s="31" t="s">
        <v>621</v>
      </c>
      <c r="C67" s="12" t="s">
        <v>136</v>
      </c>
      <c r="D67" s="32" t="n">
        <f aca="false">SUM(D65:D66)</f>
        <v>200000</v>
      </c>
      <c r="E67" s="32" t="n">
        <f aca="false">SUM(E65:E66)</f>
        <v>0</v>
      </c>
      <c r="F67" s="32" t="n">
        <f aca="false">SUM(F65:F66)</f>
        <v>200000</v>
      </c>
      <c r="G67" s="32" t="n">
        <f aca="false">SUM(G65:G66)</f>
        <v>0</v>
      </c>
      <c r="H67" s="32" t="n">
        <f aca="false">SUM(H65:H66)</f>
        <v>0</v>
      </c>
      <c r="I67" s="32" t="n">
        <f aca="false">SUM(I65:I66)</f>
        <v>0</v>
      </c>
      <c r="J67" s="32" t="n">
        <f aca="false">SUM(J65:J66)</f>
        <v>0</v>
      </c>
      <c r="K67" s="32" t="n">
        <f aca="false">SUM(K65:K66)</f>
        <v>0</v>
      </c>
      <c r="L67" s="32" t="n">
        <f aca="false">SUM(L65:L66)</f>
        <v>0</v>
      </c>
    </row>
    <row r="68" customFormat="false" ht="15" hidden="false" customHeight="true" outlineLevel="0" collapsed="false">
      <c r="B68" s="33" t="s">
        <v>622</v>
      </c>
      <c r="C68" s="12" t="s">
        <v>136</v>
      </c>
      <c r="D68" s="27" t="n">
        <f aca="false">D62+D67</f>
        <v>498401</v>
      </c>
      <c r="E68" s="27" t="n">
        <f aca="false">E62+E67</f>
        <v>0</v>
      </c>
      <c r="F68" s="27" t="n">
        <f aca="false">F62+F67</f>
        <v>498401</v>
      </c>
      <c r="G68" s="27" t="n">
        <f aca="false">G62+G67</f>
        <v>0</v>
      </c>
      <c r="H68" s="27" t="n">
        <f aca="false">H62+H67</f>
        <v>0</v>
      </c>
      <c r="I68" s="27" t="n">
        <f aca="false">I62+I67</f>
        <v>0</v>
      </c>
      <c r="J68" s="27" t="n">
        <f aca="false">J62+J67</f>
        <v>0</v>
      </c>
      <c r="K68" s="27" t="n">
        <f aca="false">K62+K67</f>
        <v>0</v>
      </c>
      <c r="L68" s="27" t="n">
        <f aca="false">L62+L67</f>
        <v>0</v>
      </c>
    </row>
    <row r="69" customFormat="false" ht="15" hidden="false" customHeight="true" outlineLevel="0" collapsed="false"/>
    <row r="70" customFormat="false" ht="15" hidden="false" customHeight="true" outlineLevel="0" collapsed="false">
      <c r="B70" s="4" t="s">
        <v>623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B71" s="28" t="s">
        <v>624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customFormat="false" ht="15" hidden="false" customHeight="true" outlineLevel="0" collapsed="false">
      <c r="B72" s="18" t="s">
        <v>625</v>
      </c>
      <c r="C72" s="12" t="s">
        <v>136</v>
      </c>
      <c r="D72" s="30" t="n">
        <f aca="false">ASM_J01_COST_STUDIES_EUR</f>
        <v>109091</v>
      </c>
      <c r="E72" s="30" t="n">
        <f aca="false">ASM_J01_COST_STUDIES_EUR*FLAG_CONSTRUCT_YM1</f>
        <v>0</v>
      </c>
      <c r="F72" s="30" t="n">
        <f aca="false">ASM_J01_COST_STUDIES_EUR*FLAG_CONSTRUCT_Y0</f>
        <v>109091</v>
      </c>
      <c r="G72" s="30" t="n">
        <f aca="false">ASM_J01_COST_STUDIES_EUR*FLAG_CONSTRUCT_Y1</f>
        <v>0</v>
      </c>
      <c r="H72" s="30" t="n">
        <f aca="false">ASM_J01_COST_STUDIES_EUR*FLAG_CONSTRUCT_Y2</f>
        <v>0</v>
      </c>
      <c r="I72" s="30" t="n">
        <f aca="false">ASM_J01_COST_STUDIES_EUR*FLAG_CONSTRUCT_Y3</f>
        <v>0</v>
      </c>
      <c r="J72" s="30" t="n">
        <f aca="false">ASM_J01_COST_STUDIES_EUR*FLAG_CONSTRUCT_Y4</f>
        <v>0</v>
      </c>
      <c r="K72" s="30" t="n">
        <f aca="false">ASM_J01_COST_STUDIES_EUR*FLAG_CONSTRUCT_Y5</f>
        <v>0</v>
      </c>
      <c r="L72" s="30" t="n">
        <f aca="false">ASM_J01_COST_STUDIES_EUR*FLAG_CONSTRUCT_Y6</f>
        <v>0</v>
      </c>
    </row>
    <row r="73" customFormat="false" ht="15" hidden="false" customHeight="true" outlineLevel="0" collapsed="false">
      <c r="B73" s="18" t="s">
        <v>229</v>
      </c>
      <c r="C73" s="12" t="s">
        <v>136</v>
      </c>
      <c r="D73" s="30" t="n">
        <f aca="false">ASM_J03_COST_LEGAL_EUR</f>
        <v>72727</v>
      </c>
      <c r="E73" s="30" t="n">
        <f aca="false">ASM_J03_COST_LEGAL_EUR*FLAG_CONSTRUCT_YM1</f>
        <v>0</v>
      </c>
      <c r="F73" s="30" t="n">
        <f aca="false">ASM_J03_COST_LEGAL_EUR*FLAG_CONSTRUCT_Y0</f>
        <v>72727</v>
      </c>
      <c r="G73" s="30" t="n">
        <f aca="false">ASM_J03_COST_LEGAL_EUR*FLAG_CONSTRUCT_Y1</f>
        <v>0</v>
      </c>
      <c r="H73" s="30" t="n">
        <f aca="false">ASM_J03_COST_LEGAL_EUR*FLAG_CONSTRUCT_Y2</f>
        <v>0</v>
      </c>
      <c r="I73" s="30" t="n">
        <f aca="false">ASM_J03_COST_LEGAL_EUR*FLAG_CONSTRUCT_Y3</f>
        <v>0</v>
      </c>
      <c r="J73" s="30" t="n">
        <f aca="false">ASM_J03_COST_LEGAL_EUR*FLAG_CONSTRUCT_Y4</f>
        <v>0</v>
      </c>
      <c r="K73" s="30" t="n">
        <f aca="false">ASM_J03_COST_LEGAL_EUR*FLAG_CONSTRUCT_Y5</f>
        <v>0</v>
      </c>
      <c r="L73" s="30" t="n">
        <f aca="false">ASM_J03_COST_LEGAL_EUR*FLAG_CONSTRUCT_Y6</f>
        <v>0</v>
      </c>
    </row>
    <row r="74" customFormat="false" ht="15" hidden="false" customHeight="true" outlineLevel="0" collapsed="false">
      <c r="B74" s="31" t="s">
        <v>626</v>
      </c>
      <c r="C74" s="12" t="s">
        <v>136</v>
      </c>
      <c r="D74" s="32" t="n">
        <f aca="false">SUM(D72:D73)</f>
        <v>181818</v>
      </c>
      <c r="E74" s="32" t="n">
        <f aca="false">SUM(E72:E73)</f>
        <v>0</v>
      </c>
      <c r="F74" s="32" t="n">
        <f aca="false">SUM(F72:F73)</f>
        <v>181818</v>
      </c>
      <c r="G74" s="32" t="n">
        <f aca="false">SUM(G72:G73)</f>
        <v>0</v>
      </c>
      <c r="H74" s="32" t="n">
        <f aca="false">SUM(H72:H73)</f>
        <v>0</v>
      </c>
      <c r="I74" s="32" t="n">
        <f aca="false">SUM(I72:I73)</f>
        <v>0</v>
      </c>
      <c r="J74" s="32" t="n">
        <f aca="false">SUM(J72:J73)</f>
        <v>0</v>
      </c>
      <c r="K74" s="32" t="n">
        <f aca="false">SUM(K72:K73)</f>
        <v>0</v>
      </c>
      <c r="L74" s="32" t="n">
        <f aca="false">SUM(L72:L73)</f>
        <v>0</v>
      </c>
    </row>
    <row r="75" customFormat="false" ht="15" hidden="false" customHeight="true" outlineLevel="0" collapsed="false"/>
    <row r="76" customFormat="false" ht="15" hidden="false" customHeight="true" outlineLevel="0" collapsed="false">
      <c r="B76" s="28" t="s">
        <v>627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customFormat="false" ht="15" hidden="false" customHeight="true" outlineLevel="0" collapsed="false">
      <c r="B77" s="18" t="s">
        <v>628</v>
      </c>
      <c r="C77" s="12" t="s">
        <v>136</v>
      </c>
      <c r="D77" s="30" t="n">
        <f aca="false">SUM(E77:L77)</f>
        <v>152329.181818182</v>
      </c>
      <c r="E77" s="30" t="n">
        <f aca="false">(ASM_A01_N_FARMS*(E$99+E$100+E$101+E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M1</f>
        <v>0</v>
      </c>
      <c r="F77" s="30" t="n">
        <f aca="false">(ASM_A01_N_FARMS*(F$99+F$100+F$101+F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0</f>
        <v>152329.181818182</v>
      </c>
      <c r="G77" s="30" t="n">
        <f aca="false">(ASM_A01_N_FARMS*(G$99+G$100+G$101+G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1</f>
        <v>0</v>
      </c>
      <c r="H77" s="30" t="n">
        <f aca="false">(ASM_A01_N_FARMS*(H$99+H$100+H$101+H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2</f>
        <v>0</v>
      </c>
      <c r="I77" s="30" t="n">
        <f aca="false">(ASM_A01_N_FARMS*(I$99+I$100+I$101+I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3</f>
        <v>0</v>
      </c>
      <c r="J77" s="30" t="n">
        <f aca="false">(ASM_A01_N_FARMS*(J$99+J$100+J$101+J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4</f>
        <v>0</v>
      </c>
      <c r="K77" s="30" t="n">
        <f aca="false">(ASM_A01_N_FARMS*(K$99+K$100+K$101+K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5</f>
        <v>0</v>
      </c>
      <c r="L77" s="30" t="n">
        <f aca="false">(ASM_A01_N_FARMS*(L$99+L$100+L$101+L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J02_PCT_SUPERVISION_CONSTRUCTION*FLAG_CONSTRUCT_Y6</f>
        <v>0</v>
      </c>
    </row>
    <row r="78" customFormat="false" ht="15" hidden="false" customHeight="true" outlineLevel="0" collapsed="false">
      <c r="B78" s="31" t="s">
        <v>629</v>
      </c>
      <c r="C78" s="12" t="s">
        <v>136</v>
      </c>
      <c r="D78" s="32" t="n">
        <f aca="false">SUM(D77)</f>
        <v>152329.181818182</v>
      </c>
      <c r="E78" s="32" t="n">
        <f aca="false">SUM(E77)</f>
        <v>0</v>
      </c>
      <c r="F78" s="32" t="n">
        <f aca="false">SUM(F77)</f>
        <v>152329.181818182</v>
      </c>
      <c r="G78" s="32" t="n">
        <f aca="false">SUM(G77)</f>
        <v>0</v>
      </c>
      <c r="H78" s="32" t="n">
        <f aca="false">SUM(H77)</f>
        <v>0</v>
      </c>
      <c r="I78" s="32" t="n">
        <f aca="false">SUM(I77)</f>
        <v>0</v>
      </c>
      <c r="J78" s="32" t="n">
        <f aca="false">SUM(J77)</f>
        <v>0</v>
      </c>
      <c r="K78" s="32" t="n">
        <f aca="false">SUM(K77)</f>
        <v>0</v>
      </c>
      <c r="L78" s="32" t="n">
        <f aca="false">SUM(L77)</f>
        <v>0</v>
      </c>
    </row>
    <row r="79" customFormat="false" ht="15" hidden="false" customHeight="true" outlineLevel="0" collapsed="false">
      <c r="B79" s="33" t="s">
        <v>630</v>
      </c>
      <c r="C79" s="12" t="s">
        <v>136</v>
      </c>
      <c r="D79" s="27" t="n">
        <f aca="false">D74+D78</f>
        <v>334147.181818182</v>
      </c>
      <c r="E79" s="27" t="n">
        <f aca="false">E74+E78</f>
        <v>0</v>
      </c>
      <c r="F79" s="27" t="n">
        <f aca="false">F74+F78</f>
        <v>334147.181818182</v>
      </c>
      <c r="G79" s="27" t="n">
        <f aca="false">G74+G78</f>
        <v>0</v>
      </c>
      <c r="H79" s="27" t="n">
        <f aca="false">H74+H78</f>
        <v>0</v>
      </c>
      <c r="I79" s="27" t="n">
        <f aca="false">I74+I78</f>
        <v>0</v>
      </c>
      <c r="J79" s="27" t="n">
        <f aca="false">J74+J78</f>
        <v>0</v>
      </c>
      <c r="K79" s="27" t="n">
        <f aca="false">K74+K78</f>
        <v>0</v>
      </c>
      <c r="L79" s="27" t="n">
        <f aca="false">L74+L78</f>
        <v>0</v>
      </c>
    </row>
    <row r="80" customFormat="false" ht="15" hidden="false" customHeight="true" outlineLevel="0" collapsed="false"/>
    <row r="81" customFormat="false" ht="15" hidden="false" customHeight="true" outlineLevel="0" collapsed="false">
      <c r="B81" s="4" t="s">
        <v>631</v>
      </c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B82" s="18" t="s">
        <v>632</v>
      </c>
      <c r="C82" s="12" t="s">
        <v>136</v>
      </c>
      <c r="D82" s="30" t="n">
        <f aca="false">ASM_K01_N_MONTHS_WC*ASM_K02_MONTHLY_OPEX_PER_FARM_EUR*ASM_A01_N_FARMS</f>
        <v>180000</v>
      </c>
      <c r="E82" s="30" t="n">
        <f aca="false">ASM_K01_N_MONTHS_WC*ASM_K02_MONTHLY_OPEX_PER_FARM_EUR*ASM_A01_N_FARMS*FLAG_CONSTRUCT_YM1</f>
        <v>0</v>
      </c>
      <c r="F82" s="30" t="n">
        <f aca="false">ASM_K01_N_MONTHS_WC*ASM_K02_MONTHLY_OPEX_PER_FARM_EUR*ASM_A01_N_FARMS*FLAG_CONSTRUCT_Y0</f>
        <v>180000</v>
      </c>
      <c r="G82" s="30" t="n">
        <f aca="false">ASM_K01_N_MONTHS_WC*ASM_K02_MONTHLY_OPEX_PER_FARM_EUR*ASM_A01_N_FARMS*FLAG_CONSTRUCT_Y1</f>
        <v>0</v>
      </c>
      <c r="H82" s="30" t="n">
        <f aca="false">ASM_K01_N_MONTHS_WC*ASM_K02_MONTHLY_OPEX_PER_FARM_EUR*ASM_A01_N_FARMS*FLAG_CONSTRUCT_Y2</f>
        <v>0</v>
      </c>
      <c r="I82" s="30" t="n">
        <f aca="false">ASM_K01_N_MONTHS_WC*ASM_K02_MONTHLY_OPEX_PER_FARM_EUR*ASM_A01_N_FARMS*FLAG_CONSTRUCT_Y3</f>
        <v>0</v>
      </c>
      <c r="J82" s="30" t="n">
        <f aca="false">ASM_K01_N_MONTHS_WC*ASM_K02_MONTHLY_OPEX_PER_FARM_EUR*ASM_A01_N_FARMS*FLAG_CONSTRUCT_Y4</f>
        <v>0</v>
      </c>
      <c r="K82" s="30" t="n">
        <f aca="false">ASM_K01_N_MONTHS_WC*ASM_K02_MONTHLY_OPEX_PER_FARM_EUR*ASM_A01_N_FARMS*FLAG_CONSTRUCT_Y5</f>
        <v>0</v>
      </c>
      <c r="L82" s="30" t="n">
        <f aca="false">ASM_K01_N_MONTHS_WC*ASM_K02_MONTHLY_OPEX_PER_FARM_EUR*ASM_A01_N_FARMS*FLAG_CONSTRUCT_Y6</f>
        <v>0</v>
      </c>
    </row>
    <row r="83" customFormat="false" ht="15" hidden="false" customHeight="true" outlineLevel="0" collapsed="false">
      <c r="B83" s="18" t="s">
        <v>633</v>
      </c>
      <c r="C83" s="12" t="s">
        <v>136</v>
      </c>
      <c r="D83" s="30" t="n">
        <f aca="false">ASM_K05_DSRA_AMOUNT_EUR</f>
        <v>0</v>
      </c>
      <c r="E83" s="30" t="n">
        <f aca="false">ASM_K05_DSRA_AMOUNT_EUR*FLAG_CONSTRUCT_YM1</f>
        <v>0</v>
      </c>
      <c r="F83" s="30" t="n">
        <f aca="false">ASM_K05_DSRA_AMOUNT_EUR*FLAG_CONSTRUCT_Y0</f>
        <v>0</v>
      </c>
      <c r="G83" s="30" t="n">
        <f aca="false">ASM_K05_DSRA_AMOUNT_EUR*FLAG_CONSTRUCT_Y1</f>
        <v>0</v>
      </c>
      <c r="H83" s="30" t="n">
        <f aca="false">ASM_K05_DSRA_AMOUNT_EUR*FLAG_CONSTRUCT_Y2</f>
        <v>0</v>
      </c>
      <c r="I83" s="30" t="n">
        <f aca="false">ASM_K05_DSRA_AMOUNT_EUR*FLAG_CONSTRUCT_Y3</f>
        <v>0</v>
      </c>
      <c r="J83" s="30" t="n">
        <f aca="false">ASM_K05_DSRA_AMOUNT_EUR*FLAG_CONSTRUCT_Y4</f>
        <v>0</v>
      </c>
      <c r="K83" s="30" t="n">
        <f aca="false">ASM_K05_DSRA_AMOUNT_EUR*FLAG_CONSTRUCT_Y5</f>
        <v>0</v>
      </c>
      <c r="L83" s="30" t="n">
        <f aca="false">ASM_K05_DSRA_AMOUNT_EUR*FLAG_CONSTRUCT_Y6</f>
        <v>0</v>
      </c>
    </row>
    <row r="84" customFormat="false" ht="15" hidden="false" customHeight="true" outlineLevel="0" collapsed="false">
      <c r="B84" s="18" t="s">
        <v>634</v>
      </c>
      <c r="C84" s="12" t="s">
        <v>136</v>
      </c>
      <c r="D84" s="30" t="n">
        <f aca="false">ASM_K06_N_MONTHS_MMR*ASM_K02_MONTHLY_OPEX_PER_FARM_EUR*ASM_A01_N_FARMS</f>
        <v>60000</v>
      </c>
      <c r="E84" s="30" t="n">
        <f aca="false">ASM_K06_N_MONTHS_MMR*ASM_K02_MONTHLY_OPEX_PER_FARM_EUR*ASM_A01_N_FARMS*FLAG_CONSTRUCT_YM1</f>
        <v>0</v>
      </c>
      <c r="F84" s="30" t="n">
        <f aca="false">ASM_K06_N_MONTHS_MMR*ASM_K02_MONTHLY_OPEX_PER_FARM_EUR*ASM_A01_N_FARMS*FLAG_CONSTRUCT_Y0</f>
        <v>60000</v>
      </c>
      <c r="G84" s="30" t="n">
        <f aca="false">ASM_K06_N_MONTHS_MMR*ASM_K02_MONTHLY_OPEX_PER_FARM_EUR*ASM_A01_N_FARMS*FLAG_CONSTRUCT_Y1</f>
        <v>0</v>
      </c>
      <c r="H84" s="30" t="n">
        <f aca="false">ASM_K06_N_MONTHS_MMR*ASM_K02_MONTHLY_OPEX_PER_FARM_EUR*ASM_A01_N_FARMS*FLAG_CONSTRUCT_Y2</f>
        <v>0</v>
      </c>
      <c r="I84" s="30" t="n">
        <f aca="false">ASM_K06_N_MONTHS_MMR*ASM_K02_MONTHLY_OPEX_PER_FARM_EUR*ASM_A01_N_FARMS*FLAG_CONSTRUCT_Y3</f>
        <v>0</v>
      </c>
      <c r="J84" s="30" t="n">
        <f aca="false">ASM_K06_N_MONTHS_MMR*ASM_K02_MONTHLY_OPEX_PER_FARM_EUR*ASM_A01_N_FARMS*FLAG_CONSTRUCT_Y4</f>
        <v>0</v>
      </c>
      <c r="K84" s="30" t="n">
        <f aca="false">ASM_K06_N_MONTHS_MMR*ASM_K02_MONTHLY_OPEX_PER_FARM_EUR*ASM_A01_N_FARMS*FLAG_CONSTRUCT_Y5</f>
        <v>0</v>
      </c>
      <c r="L84" s="30" t="n">
        <f aca="false">ASM_K06_N_MONTHS_MMR*ASM_K02_MONTHLY_OPEX_PER_FARM_EUR*ASM_A01_N_FARMS*FLAG_CONSTRUCT_Y6</f>
        <v>0</v>
      </c>
    </row>
    <row r="85" customFormat="false" ht="15" hidden="false" customHeight="true" outlineLevel="0" collapsed="false">
      <c r="B85" s="18" t="s">
        <v>635</v>
      </c>
      <c r="C85" s="12" t="s">
        <v>136</v>
      </c>
      <c r="D85" s="30" t="n">
        <f aca="false">SUM(E85:L85)</f>
        <v>304658.363636364</v>
      </c>
      <c r="E85" s="30" t="n">
        <f aca="false">(ASM_A01_N_FARMS*(E$99+E$100+E$101+E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M1</f>
        <v>0</v>
      </c>
      <c r="F85" s="30" t="n">
        <f aca="false">(ASM_A01_N_FARMS*(F$99+F$100+F$101+F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0</f>
        <v>304658.363636364</v>
      </c>
      <c r="G85" s="30" t="n">
        <f aca="false">(ASM_A01_N_FARMS*(G$99+G$100+G$101+G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1</f>
        <v>0</v>
      </c>
      <c r="H85" s="30" t="n">
        <f aca="false">(ASM_A01_N_FARMS*(H$99+H$100+H$101+H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2</f>
        <v>0</v>
      </c>
      <c r="I85" s="30" t="n">
        <f aca="false">(ASM_A01_N_FARMS*(I$99+I$100+I$101+I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3</f>
        <v>0</v>
      </c>
      <c r="J85" s="30" t="n">
        <f aca="false">(ASM_A01_N_FARMS*(J$99+J$100+J$101+J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4</f>
        <v>0</v>
      </c>
      <c r="K85" s="30" t="n">
        <f aca="false">(ASM_A01_N_FARMS*(K$99+K$100+K$101+K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5</f>
        <v>0</v>
      </c>
      <c r="L85" s="30" t="n">
        <f aca="false">(ASM_A01_N_FARMS*(L$99+L$100+L$101+L$102+ASM_I07_UOF_WATER_PER_FARM_EUR+ASM_I08_UOF_ENERGY_PER_FARM_EUR)+ASM_I09_UOF_MECHANIZATION_PROGRAMME_EUR+ASM_A01_N_FARMS*ASM_I05_TREES_PER_FARM*ASM_I06_COST_PER_TREE_EUR+ASM_A01_N_FARMS*(ASM_F02_ADDITIONAL_BEDS_PER_FARM*ASM_F03_COST_PER_TRAINEE_BED_EUR+ASM_F04_COST_REFECTOIRE_PER_FARM_EUR)+ASM_H08_N_PIEZOMETERS_PER_FARM*ASM_A01_N_FARMS*ASM_H09_COST_PER_PIEZOMETER_EUR+ASM_H10_COST_TELEMETRY_LUMP_EUR)*ASM_K03_PCT_CONTINGENCY_B1*FLAG_CONSTRUCT_Y6</f>
        <v>0</v>
      </c>
    </row>
    <row r="86" customFormat="false" ht="15" hidden="false" customHeight="true" outlineLevel="0" collapsed="false">
      <c r="B86" s="31" t="s">
        <v>636</v>
      </c>
      <c r="C86" s="12" t="s">
        <v>136</v>
      </c>
      <c r="D86" s="32" t="n">
        <f aca="false">SUM(D82:D85)</f>
        <v>544658.363636364</v>
      </c>
      <c r="E86" s="32" t="n">
        <f aca="false">SUM(E82:E85)</f>
        <v>0</v>
      </c>
      <c r="F86" s="32" t="n">
        <f aca="false">SUM(F82:F85)</f>
        <v>544658.363636364</v>
      </c>
      <c r="G86" s="32" t="n">
        <f aca="false">SUM(G82:G85)</f>
        <v>0</v>
      </c>
      <c r="H86" s="32" t="n">
        <f aca="false">SUM(H82:H85)</f>
        <v>0</v>
      </c>
      <c r="I86" s="32" t="n">
        <f aca="false">SUM(I82:I85)</f>
        <v>0</v>
      </c>
      <c r="J86" s="32" t="n">
        <f aca="false">SUM(J82:J85)</f>
        <v>0</v>
      </c>
      <c r="K86" s="32" t="n">
        <f aca="false">SUM(K82:K85)</f>
        <v>0</v>
      </c>
      <c r="L86" s="32" t="n">
        <f aca="false">SUM(L82:L85)</f>
        <v>0</v>
      </c>
    </row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>
      <c r="B89" s="34" t="s">
        <v>430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</row>
    <row r="90" customFormat="false" ht="15" hidden="false" customHeight="true" outlineLevel="0" collapsed="false">
      <c r="B90" s="36" t="s">
        <v>637</v>
      </c>
      <c r="C90" s="12" t="s">
        <v>432</v>
      </c>
      <c r="D90" s="37" t="n">
        <f aca="false">SUM(E90:L90)</f>
        <v>24</v>
      </c>
      <c r="E90" s="37" t="n">
        <f aca="false">ASM_A01_N_FARMS</f>
        <v>3</v>
      </c>
      <c r="F90" s="37" t="n">
        <f aca="false">ASM_A01_N_FARMS</f>
        <v>3</v>
      </c>
      <c r="G90" s="37" t="n">
        <f aca="false">ASM_A01_N_FARMS</f>
        <v>3</v>
      </c>
      <c r="H90" s="37" t="n">
        <f aca="false">ASM_A01_N_FARMS</f>
        <v>3</v>
      </c>
      <c r="I90" s="37" t="n">
        <f aca="false">ASM_A01_N_FARMS</f>
        <v>3</v>
      </c>
      <c r="J90" s="37" t="n">
        <f aca="false">ASM_A01_N_FARMS</f>
        <v>3</v>
      </c>
      <c r="K90" s="37" t="n">
        <f aca="false">ASM_A01_N_FARMS</f>
        <v>3</v>
      </c>
      <c r="L90" s="37" t="n">
        <f aca="false">ASM_A01_N_FARMS</f>
        <v>3</v>
      </c>
    </row>
    <row r="91" customFormat="false" ht="15" hidden="false" customHeight="true" outlineLevel="0" collapsed="false">
      <c r="B91" s="36" t="s">
        <v>638</v>
      </c>
      <c r="C91" s="12" t="s">
        <v>91</v>
      </c>
      <c r="D91" s="11" t="n">
        <f aca="false">SUM(E91:L91)</f>
        <v>8.8</v>
      </c>
      <c r="E91" s="11" t="n">
        <f aca="false">ASM_A08_EUR_USD</f>
        <v>1.1</v>
      </c>
      <c r="F91" s="11" t="n">
        <f aca="false">ASM_A08_EUR_USD</f>
        <v>1.1</v>
      </c>
      <c r="G91" s="11" t="n">
        <f aca="false">ASM_A08_EUR_USD</f>
        <v>1.1</v>
      </c>
      <c r="H91" s="11" t="n">
        <f aca="false">ASM_A08_EUR_USD</f>
        <v>1.1</v>
      </c>
      <c r="I91" s="11" t="n">
        <f aca="false">ASM_A08_EUR_USD</f>
        <v>1.1</v>
      </c>
      <c r="J91" s="11" t="n">
        <f aca="false">ASM_A08_EUR_USD</f>
        <v>1.1</v>
      </c>
      <c r="K91" s="11" t="n">
        <f aca="false">ASM_A08_EUR_USD</f>
        <v>1.1</v>
      </c>
      <c r="L91" s="11" t="n">
        <f aca="false">ASM_A08_EUR_USD</f>
        <v>1.1</v>
      </c>
    </row>
    <row r="92" customFormat="false" ht="15" hidden="false" customHeight="true" outlineLevel="0" collapsed="false">
      <c r="B92" s="36" t="s">
        <v>639</v>
      </c>
      <c r="C92" s="12" t="s">
        <v>66</v>
      </c>
      <c r="D92" s="11" t="n">
        <f aca="false">SUM(E92:L92)</f>
        <v>3420800</v>
      </c>
      <c r="E92" s="11" t="n">
        <f aca="false">ASM_X17_DOLLAR_UOF_LAND_PER_FARM</f>
        <v>427600</v>
      </c>
      <c r="F92" s="11" t="n">
        <f aca="false">ASM_X17_DOLLAR_UOF_LAND_PER_FARM</f>
        <v>427600</v>
      </c>
      <c r="G92" s="11" t="n">
        <f aca="false">ASM_X17_DOLLAR_UOF_LAND_PER_FARM</f>
        <v>427600</v>
      </c>
      <c r="H92" s="11" t="n">
        <f aca="false">ASM_X17_DOLLAR_UOF_LAND_PER_FARM</f>
        <v>427600</v>
      </c>
      <c r="I92" s="11" t="n">
        <f aca="false">ASM_X17_DOLLAR_UOF_LAND_PER_FARM</f>
        <v>427600</v>
      </c>
      <c r="J92" s="11" t="n">
        <f aca="false">ASM_X17_DOLLAR_UOF_LAND_PER_FARM</f>
        <v>427600</v>
      </c>
      <c r="K92" s="11" t="n">
        <f aca="false">ASM_X17_DOLLAR_UOF_LAND_PER_FARM</f>
        <v>427600</v>
      </c>
      <c r="L92" s="11" t="n">
        <f aca="false">ASM_X17_DOLLAR_UOF_LAND_PER_FARM</f>
        <v>427600</v>
      </c>
    </row>
    <row r="93" customFormat="false" ht="15" hidden="false" customHeight="true" outlineLevel="0" collapsed="false">
      <c r="B93" s="36" t="s">
        <v>640</v>
      </c>
      <c r="C93" s="12" t="s">
        <v>66</v>
      </c>
      <c r="D93" s="11" t="n">
        <f aca="false">SUM(E93:L93)</f>
        <v>926520</v>
      </c>
      <c r="E93" s="11" t="n">
        <f aca="false">ASM_X18_DOLLAR_UOF_BUILDINGS_PER_FARM</f>
        <v>115815</v>
      </c>
      <c r="F93" s="11" t="n">
        <f aca="false">ASM_X18_DOLLAR_UOF_BUILDINGS_PER_FARM</f>
        <v>115815</v>
      </c>
      <c r="G93" s="11" t="n">
        <f aca="false">ASM_X18_DOLLAR_UOF_BUILDINGS_PER_FARM</f>
        <v>115815</v>
      </c>
      <c r="H93" s="11" t="n">
        <f aca="false">ASM_X18_DOLLAR_UOF_BUILDINGS_PER_FARM</f>
        <v>115815</v>
      </c>
      <c r="I93" s="11" t="n">
        <f aca="false">ASM_X18_DOLLAR_UOF_BUILDINGS_PER_FARM</f>
        <v>115815</v>
      </c>
      <c r="J93" s="11" t="n">
        <f aca="false">ASM_X18_DOLLAR_UOF_BUILDINGS_PER_FARM</f>
        <v>115815</v>
      </c>
      <c r="K93" s="11" t="n">
        <f aca="false">ASM_X18_DOLLAR_UOF_BUILDINGS_PER_FARM</f>
        <v>115815</v>
      </c>
      <c r="L93" s="11" t="n">
        <f aca="false">ASM_X18_DOLLAR_UOF_BUILDINGS_PER_FARM</f>
        <v>115815</v>
      </c>
    </row>
    <row r="94" customFormat="false" ht="15" hidden="false" customHeight="true" outlineLevel="0" collapsed="false">
      <c r="B94" s="36" t="s">
        <v>641</v>
      </c>
      <c r="C94" s="12" t="s">
        <v>66</v>
      </c>
      <c r="D94" s="11" t="n">
        <f aca="false">SUM(E94:L94)</f>
        <v>982400</v>
      </c>
      <c r="E94" s="11" t="n">
        <f aca="false">ASM_X19_DOLLAR_UOF_DAIRY_PER_FARM</f>
        <v>122800</v>
      </c>
      <c r="F94" s="11" t="n">
        <f aca="false">ASM_X19_DOLLAR_UOF_DAIRY_PER_FARM</f>
        <v>122800</v>
      </c>
      <c r="G94" s="11" t="n">
        <f aca="false">ASM_X19_DOLLAR_UOF_DAIRY_PER_FARM</f>
        <v>122800</v>
      </c>
      <c r="H94" s="11" t="n">
        <f aca="false">ASM_X19_DOLLAR_UOF_DAIRY_PER_FARM</f>
        <v>122800</v>
      </c>
      <c r="I94" s="11" t="n">
        <f aca="false">ASM_X19_DOLLAR_UOF_DAIRY_PER_FARM</f>
        <v>122800</v>
      </c>
      <c r="J94" s="11" t="n">
        <f aca="false">ASM_X19_DOLLAR_UOF_DAIRY_PER_FARM</f>
        <v>122800</v>
      </c>
      <c r="K94" s="11" t="n">
        <f aca="false">ASM_X19_DOLLAR_UOF_DAIRY_PER_FARM</f>
        <v>122800</v>
      </c>
      <c r="L94" s="11" t="n">
        <f aca="false">ASM_X19_DOLLAR_UOF_DAIRY_PER_FARM</f>
        <v>122800</v>
      </c>
    </row>
    <row r="95" customFormat="false" ht="15" hidden="false" customHeight="true" outlineLevel="0" collapsed="false">
      <c r="B95" s="36" t="s">
        <v>642</v>
      </c>
      <c r="C95" s="12" t="s">
        <v>66</v>
      </c>
      <c r="D95" s="11" t="n">
        <f aca="false">SUM(E95:L95)</f>
        <v>69208</v>
      </c>
      <c r="E95" s="11" t="n">
        <f aca="false">ASM_X20_DOLLAR_UOF_FEEDLOT_PER_FARM</f>
        <v>8651</v>
      </c>
      <c r="F95" s="11" t="n">
        <f aca="false">ASM_X20_DOLLAR_UOF_FEEDLOT_PER_FARM</f>
        <v>8651</v>
      </c>
      <c r="G95" s="11" t="n">
        <f aca="false">ASM_X20_DOLLAR_UOF_FEEDLOT_PER_FARM</f>
        <v>8651</v>
      </c>
      <c r="H95" s="11" t="n">
        <f aca="false">ASM_X20_DOLLAR_UOF_FEEDLOT_PER_FARM</f>
        <v>8651</v>
      </c>
      <c r="I95" s="11" t="n">
        <f aca="false">ASM_X20_DOLLAR_UOF_FEEDLOT_PER_FARM</f>
        <v>8651</v>
      </c>
      <c r="J95" s="11" t="n">
        <f aca="false">ASM_X20_DOLLAR_UOF_FEEDLOT_PER_FARM</f>
        <v>8651</v>
      </c>
      <c r="K95" s="11" t="n">
        <f aca="false">ASM_X20_DOLLAR_UOF_FEEDLOT_PER_FARM</f>
        <v>8651</v>
      </c>
      <c r="L95" s="11" t="n">
        <f aca="false">ASM_X20_DOLLAR_UOF_FEEDLOT_PER_FARM</f>
        <v>8651</v>
      </c>
    </row>
    <row r="96" customFormat="false" ht="15" hidden="false" customHeight="true" outlineLevel="0" collapsed="false">
      <c r="B96" s="36" t="s">
        <v>643</v>
      </c>
      <c r="C96" s="12" t="s">
        <v>136</v>
      </c>
      <c r="D96" s="11" t="n">
        <f aca="false">SUM(E96:L96)</f>
        <v>3591272.72727273</v>
      </c>
      <c r="E96" s="11" t="n">
        <f aca="false">ASM_L07_EQUITY_EQ2_INKIND_TERRAIN_EUR</f>
        <v>448909.090909091</v>
      </c>
      <c r="F96" s="11" t="n">
        <f aca="false">ASM_L07_EQUITY_EQ2_INKIND_TERRAIN_EUR</f>
        <v>448909.090909091</v>
      </c>
      <c r="G96" s="11" t="n">
        <f aca="false">ASM_L07_EQUITY_EQ2_INKIND_TERRAIN_EUR</f>
        <v>448909.090909091</v>
      </c>
      <c r="H96" s="11" t="n">
        <f aca="false">ASM_L07_EQUITY_EQ2_INKIND_TERRAIN_EUR</f>
        <v>448909.090909091</v>
      </c>
      <c r="I96" s="11" t="n">
        <f aca="false">ASM_L07_EQUITY_EQ2_INKIND_TERRAIN_EUR</f>
        <v>448909.090909091</v>
      </c>
      <c r="J96" s="11" t="n">
        <f aca="false">ASM_L07_EQUITY_EQ2_INKIND_TERRAIN_EUR</f>
        <v>448909.090909091</v>
      </c>
      <c r="K96" s="11" t="n">
        <f aca="false">ASM_L07_EQUITY_EQ2_INKIND_TERRAIN_EUR</f>
        <v>448909.090909091</v>
      </c>
      <c r="L96" s="11" t="n">
        <f aca="false">ASM_L07_EQUITY_EQ2_INKIND_TERRAIN_EUR</f>
        <v>448909.090909091</v>
      </c>
    </row>
    <row r="97" customFormat="false" ht="15" hidden="false" customHeight="true" outlineLevel="0" collapsed="false"/>
    <row r="98" customFormat="false" ht="15" hidden="false" customHeight="true" outlineLevel="0" collapsed="false">
      <c r="B98" s="34" t="s">
        <v>479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</row>
    <row r="99" customFormat="false" ht="15" hidden="false" customHeight="true" outlineLevel="0" collapsed="false">
      <c r="B99" s="40" t="s">
        <v>644</v>
      </c>
      <c r="C99" s="12" t="s">
        <v>324</v>
      </c>
      <c r="D99" s="30" t="n">
        <f aca="false">SUM(E99:L99)</f>
        <v>3109818.18181818</v>
      </c>
      <c r="E99" s="30" t="n">
        <f aca="false">E$92/E$91</f>
        <v>388727.272727273</v>
      </c>
      <c r="F99" s="30" t="n">
        <f aca="false">F$92/F$91</f>
        <v>388727.272727273</v>
      </c>
      <c r="G99" s="30" t="n">
        <f aca="false">G$92/G$91</f>
        <v>388727.272727273</v>
      </c>
      <c r="H99" s="30" t="n">
        <f aca="false">H$92/H$91</f>
        <v>388727.272727273</v>
      </c>
      <c r="I99" s="30" t="n">
        <f aca="false">I$92/I$91</f>
        <v>388727.272727273</v>
      </c>
      <c r="J99" s="30" t="n">
        <f aca="false">J$92/J$91</f>
        <v>388727.272727273</v>
      </c>
      <c r="K99" s="30" t="n">
        <f aca="false">K$92/K$91</f>
        <v>388727.272727273</v>
      </c>
      <c r="L99" s="30" t="n">
        <f aca="false">L$92/L$91</f>
        <v>388727.272727273</v>
      </c>
    </row>
    <row r="100" customFormat="false" ht="15" hidden="false" customHeight="true" outlineLevel="0" collapsed="false">
      <c r="B100" s="40" t="s">
        <v>645</v>
      </c>
      <c r="C100" s="12" t="s">
        <v>324</v>
      </c>
      <c r="D100" s="30" t="n">
        <f aca="false">SUM(E100:L100)</f>
        <v>842290.909090909</v>
      </c>
      <c r="E100" s="30" t="n">
        <f aca="false">E$93/E$91</f>
        <v>105286.363636364</v>
      </c>
      <c r="F100" s="30" t="n">
        <f aca="false">F$93/F$91</f>
        <v>105286.363636364</v>
      </c>
      <c r="G100" s="30" t="n">
        <f aca="false">G$93/G$91</f>
        <v>105286.363636364</v>
      </c>
      <c r="H100" s="30" t="n">
        <f aca="false">H$93/H$91</f>
        <v>105286.363636364</v>
      </c>
      <c r="I100" s="30" t="n">
        <f aca="false">I$93/I$91</f>
        <v>105286.363636364</v>
      </c>
      <c r="J100" s="30" t="n">
        <f aca="false">J$93/J$91</f>
        <v>105286.363636364</v>
      </c>
      <c r="K100" s="30" t="n">
        <f aca="false">K$93/K$91</f>
        <v>105286.363636364</v>
      </c>
      <c r="L100" s="30" t="n">
        <f aca="false">L$93/L$91</f>
        <v>105286.363636364</v>
      </c>
    </row>
    <row r="101" customFormat="false" ht="15" hidden="false" customHeight="true" outlineLevel="0" collapsed="false">
      <c r="B101" s="40" t="s">
        <v>646</v>
      </c>
      <c r="C101" s="12" t="s">
        <v>324</v>
      </c>
      <c r="D101" s="30" t="n">
        <f aca="false">SUM(E101:L101)</f>
        <v>893090.909090909</v>
      </c>
      <c r="E101" s="30" t="n">
        <f aca="false">E$94/E$91</f>
        <v>111636.363636364</v>
      </c>
      <c r="F101" s="30" t="n">
        <f aca="false">F$94/F$91</f>
        <v>111636.363636364</v>
      </c>
      <c r="G101" s="30" t="n">
        <f aca="false">G$94/G$91</f>
        <v>111636.363636364</v>
      </c>
      <c r="H101" s="30" t="n">
        <f aca="false">H$94/H$91</f>
        <v>111636.363636364</v>
      </c>
      <c r="I101" s="30" t="n">
        <f aca="false">I$94/I$91</f>
        <v>111636.363636364</v>
      </c>
      <c r="J101" s="30" t="n">
        <f aca="false">J$94/J$91</f>
        <v>111636.363636364</v>
      </c>
      <c r="K101" s="30" t="n">
        <f aca="false">K$94/K$91</f>
        <v>111636.363636364</v>
      </c>
      <c r="L101" s="30" t="n">
        <f aca="false">L$94/L$91</f>
        <v>111636.363636364</v>
      </c>
    </row>
    <row r="102" customFormat="false" ht="15" hidden="false" customHeight="true" outlineLevel="0" collapsed="false">
      <c r="B102" s="40" t="s">
        <v>647</v>
      </c>
      <c r="C102" s="12" t="s">
        <v>324</v>
      </c>
      <c r="D102" s="30" t="n">
        <f aca="false">SUM(E102:L102)</f>
        <v>62916.3636363636</v>
      </c>
      <c r="E102" s="30" t="n">
        <f aca="false">E$95/E$91</f>
        <v>7864.54545454545</v>
      </c>
      <c r="F102" s="30" t="n">
        <f aca="false">F$95/F$91</f>
        <v>7864.54545454545</v>
      </c>
      <c r="G102" s="30" t="n">
        <f aca="false">G$95/G$91</f>
        <v>7864.54545454545</v>
      </c>
      <c r="H102" s="30" t="n">
        <f aca="false">H$95/H$91</f>
        <v>7864.54545454545</v>
      </c>
      <c r="I102" s="30" t="n">
        <f aca="false">I$95/I$91</f>
        <v>7864.54545454545</v>
      </c>
      <c r="J102" s="30" t="n">
        <f aca="false">J$95/J$91</f>
        <v>7864.54545454545</v>
      </c>
      <c r="K102" s="30" t="n">
        <f aca="false">K$95/K$91</f>
        <v>7864.54545454545</v>
      </c>
      <c r="L102" s="30" t="n">
        <f aca="false">L$95/L$91</f>
        <v>7864.54545454545</v>
      </c>
    </row>
    <row r="103" customFormat="false" ht="15" hidden="false" customHeight="true" outlineLevel="0" collapsed="false">
      <c r="B103" s="40" t="s">
        <v>648</v>
      </c>
      <c r="C103" s="12" t="s">
        <v>324</v>
      </c>
      <c r="D103" s="30" t="n">
        <f aca="false">SUM(E103:L103)</f>
        <v>1197090.90909091</v>
      </c>
      <c r="E103" s="30" t="n">
        <f aca="false">E$96/E$90</f>
        <v>149636.363636364</v>
      </c>
      <c r="F103" s="30" t="n">
        <f aca="false">F$96/F$90</f>
        <v>149636.363636364</v>
      </c>
      <c r="G103" s="30" t="n">
        <f aca="false">G$96/G$90</f>
        <v>149636.363636364</v>
      </c>
      <c r="H103" s="30" t="n">
        <f aca="false">H$96/H$90</f>
        <v>149636.363636364</v>
      </c>
      <c r="I103" s="30" t="n">
        <f aca="false">I$96/I$90</f>
        <v>149636.363636364</v>
      </c>
      <c r="J103" s="30" t="n">
        <f aca="false">J$96/J$90</f>
        <v>149636.363636364</v>
      </c>
      <c r="K103" s="30" t="n">
        <f aca="false">K$96/K$90</f>
        <v>149636.363636364</v>
      </c>
      <c r="L103" s="30" t="n">
        <f aca="false">L$96/L$90</f>
        <v>149636.363636364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649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385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41" t="s">
        <v>650</v>
      </c>
      <c r="C7" s="12" t="s">
        <v>136</v>
      </c>
      <c r="D7" s="42"/>
      <c r="E7" s="43"/>
      <c r="F7" s="43"/>
      <c r="G7" s="43"/>
      <c r="H7" s="43"/>
      <c r="I7" s="43"/>
      <c r="J7" s="43"/>
      <c r="K7" s="43"/>
      <c r="L7" s="43"/>
    </row>
    <row r="8" customFormat="false" ht="15" hidden="false" customHeight="true" outlineLevel="0" collapsed="false">
      <c r="B8" s="23" t="s">
        <v>584</v>
      </c>
      <c r="C8" s="12" t="s">
        <v>136</v>
      </c>
      <c r="D8" s="24" t="n">
        <f aca="false">SUM(E8:L8)</f>
        <v>2746585.81818182</v>
      </c>
      <c r="E8" s="24" t="n">
        <f aca="false">E31</f>
        <v>0</v>
      </c>
      <c r="F8" s="24" t="n">
        <f aca="false">F31</f>
        <v>2746585.81818182</v>
      </c>
      <c r="G8" s="24" t="n">
        <f aca="false">G31</f>
        <v>0</v>
      </c>
      <c r="H8" s="24" t="n">
        <f aca="false">H31</f>
        <v>0</v>
      </c>
      <c r="I8" s="24" t="n">
        <f aca="false">I31</f>
        <v>0</v>
      </c>
      <c r="J8" s="24" t="n">
        <f aca="false">J31</f>
        <v>0</v>
      </c>
      <c r="K8" s="24" t="n">
        <f aca="false">K31</f>
        <v>0</v>
      </c>
      <c r="L8" s="24" t="n">
        <f aca="false">L31</f>
        <v>0</v>
      </c>
    </row>
    <row r="9" customFormat="false" ht="15" hidden="false" customHeight="true" outlineLevel="0" collapsed="false">
      <c r="B9" s="23" t="s">
        <v>651</v>
      </c>
      <c r="C9" s="12" t="s">
        <v>136</v>
      </c>
      <c r="D9" s="24" t="n">
        <f aca="false">SUM(E9:L9)</f>
        <v>2847700</v>
      </c>
      <c r="E9" s="24" t="n">
        <f aca="false">E36</f>
        <v>628000</v>
      </c>
      <c r="F9" s="24" t="n">
        <f aca="false">F36</f>
        <v>860000</v>
      </c>
      <c r="G9" s="24" t="n">
        <f aca="false">G36</f>
        <v>679850</v>
      </c>
      <c r="H9" s="24" t="n">
        <f aca="false">H36</f>
        <v>679850</v>
      </c>
      <c r="I9" s="24" t="n">
        <f aca="false">I36</f>
        <v>0</v>
      </c>
      <c r="J9" s="24" t="n">
        <f aca="false">J36</f>
        <v>0</v>
      </c>
      <c r="K9" s="24" t="n">
        <f aca="false">K36</f>
        <v>0</v>
      </c>
      <c r="L9" s="24" t="n">
        <f aca="false">L36</f>
        <v>0</v>
      </c>
    </row>
    <row r="10" customFormat="false" ht="15" hidden="false" customHeight="true" outlineLevel="0" collapsed="false">
      <c r="B10" s="23" t="s">
        <v>586</v>
      </c>
      <c r="C10" s="12" t="s">
        <v>136</v>
      </c>
      <c r="D10" s="24" t="n">
        <f aca="false">SUM(E10:L10)</f>
        <v>1177761</v>
      </c>
      <c r="E10" s="24" t="n">
        <f aca="false">E43</f>
        <v>0</v>
      </c>
      <c r="F10" s="24" t="n">
        <f aca="false">F43</f>
        <v>676201</v>
      </c>
      <c r="G10" s="24" t="n">
        <f aca="false">G43</f>
        <v>250780</v>
      </c>
      <c r="H10" s="24" t="n">
        <f aca="false">H43</f>
        <v>250780</v>
      </c>
      <c r="I10" s="24" t="n">
        <f aca="false">I43</f>
        <v>0</v>
      </c>
      <c r="J10" s="24" t="n">
        <f aca="false">J43</f>
        <v>0</v>
      </c>
      <c r="K10" s="24" t="n">
        <f aca="false">K43</f>
        <v>0</v>
      </c>
      <c r="L10" s="24" t="n">
        <f aca="false">L43</f>
        <v>0</v>
      </c>
    </row>
    <row r="11" customFormat="false" ht="15" hidden="false" customHeight="true" outlineLevel="0" collapsed="false">
      <c r="B11" s="23" t="s">
        <v>587</v>
      </c>
      <c r="C11" s="12" t="s">
        <v>136</v>
      </c>
      <c r="D11" s="24" t="n">
        <f aca="false">SUM(E11:L11)</f>
        <v>334147.181818182</v>
      </c>
      <c r="E11" s="24" t="n">
        <f aca="false">E47</f>
        <v>0</v>
      </c>
      <c r="F11" s="24" t="n">
        <f aca="false">F47</f>
        <v>334147.181818182</v>
      </c>
      <c r="G11" s="24" t="n">
        <f aca="false">G47</f>
        <v>0</v>
      </c>
      <c r="H11" s="24" t="n">
        <f aca="false">H47</f>
        <v>0</v>
      </c>
      <c r="I11" s="24" t="n">
        <f aca="false">I47</f>
        <v>0</v>
      </c>
      <c r="J11" s="24" t="n">
        <f aca="false">J47</f>
        <v>0</v>
      </c>
      <c r="K11" s="24" t="n">
        <f aca="false">K47</f>
        <v>0</v>
      </c>
      <c r="L11" s="24" t="n">
        <f aca="false">L47</f>
        <v>0</v>
      </c>
    </row>
    <row r="12" customFormat="false" ht="15" hidden="false" customHeight="true" outlineLevel="0" collapsed="false">
      <c r="B12" s="23" t="s">
        <v>588</v>
      </c>
      <c r="C12" s="12" t="s">
        <v>136</v>
      </c>
      <c r="D12" s="24" t="n">
        <f aca="false">SUM(E12:L12)</f>
        <v>544658.363636364</v>
      </c>
      <c r="E12" s="24" t="n">
        <f aca="false">E51</f>
        <v>0</v>
      </c>
      <c r="F12" s="24" t="n">
        <f aca="false">F51</f>
        <v>544658.363636364</v>
      </c>
      <c r="G12" s="24" t="n">
        <f aca="false">G51</f>
        <v>0</v>
      </c>
      <c r="H12" s="24" t="n">
        <f aca="false">H51</f>
        <v>0</v>
      </c>
      <c r="I12" s="24" t="n">
        <f aca="false">I51</f>
        <v>0</v>
      </c>
      <c r="J12" s="24" t="n">
        <f aca="false">J51</f>
        <v>0</v>
      </c>
      <c r="K12" s="24" t="n">
        <f aca="false">K51</f>
        <v>0</v>
      </c>
      <c r="L12" s="24" t="n">
        <f aca="false">L51</f>
        <v>0</v>
      </c>
    </row>
    <row r="13" customFormat="false" ht="15" hidden="false" customHeight="true" outlineLevel="0" collapsed="false">
      <c r="B13" s="44" t="s">
        <v>652</v>
      </c>
      <c r="C13" s="12" t="s">
        <v>136</v>
      </c>
      <c r="D13" s="32" t="n">
        <f aca="false">SUM(D8:D12)</f>
        <v>7650852.36363636</v>
      </c>
      <c r="E13" s="32" t="n">
        <f aca="false">SUM(E8:E12)</f>
        <v>628000</v>
      </c>
      <c r="F13" s="32" t="n">
        <f aca="false">SUM(F8:F12)</f>
        <v>5161592.36363636</v>
      </c>
      <c r="G13" s="32" t="n">
        <f aca="false">SUM(G8:G12)</f>
        <v>930630</v>
      </c>
      <c r="H13" s="32" t="n">
        <f aca="false">SUM(H8:H12)</f>
        <v>930630</v>
      </c>
      <c r="I13" s="32" t="n">
        <f aca="false">SUM(I8:I12)</f>
        <v>0</v>
      </c>
      <c r="J13" s="32" t="n">
        <f aca="false">SUM(J8:J12)</f>
        <v>0</v>
      </c>
      <c r="K13" s="32" t="n">
        <f aca="false">SUM(K8:K12)</f>
        <v>0</v>
      </c>
      <c r="L13" s="32" t="n">
        <f aca="false">SUM(L8:L12)</f>
        <v>0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41" t="s">
        <v>653</v>
      </c>
      <c r="C15" s="12" t="s">
        <v>136</v>
      </c>
      <c r="D15" s="42"/>
      <c r="E15" s="43"/>
      <c r="F15" s="43"/>
      <c r="G15" s="43"/>
      <c r="H15" s="43"/>
      <c r="I15" s="43"/>
      <c r="J15" s="43"/>
      <c r="K15" s="43"/>
      <c r="L15" s="43"/>
    </row>
    <row r="16" customFormat="false" ht="15" hidden="false" customHeight="true" outlineLevel="0" collapsed="false">
      <c r="B16" s="23" t="s">
        <v>654</v>
      </c>
      <c r="C16" s="12" t="s">
        <v>136</v>
      </c>
      <c r="D16" s="24" t="n">
        <f aca="false">SUM(E16:L16)</f>
        <v>761078.272727273</v>
      </c>
      <c r="E16" s="24" t="n">
        <f aca="false">E59</f>
        <v>0</v>
      </c>
      <c r="F16" s="24" t="n">
        <f aca="false">F59</f>
        <v>761078.272727273</v>
      </c>
      <c r="G16" s="24" t="n">
        <f aca="false">G59</f>
        <v>0</v>
      </c>
      <c r="H16" s="24" t="n">
        <f aca="false">H59</f>
        <v>0</v>
      </c>
      <c r="I16" s="24" t="n">
        <f aca="false">I59</f>
        <v>0</v>
      </c>
      <c r="J16" s="24" t="n">
        <f aca="false">J59</f>
        <v>0</v>
      </c>
      <c r="K16" s="24" t="n">
        <f aca="false">K59</f>
        <v>0</v>
      </c>
      <c r="L16" s="24" t="n">
        <f aca="false">L59</f>
        <v>0</v>
      </c>
    </row>
    <row r="17" customFormat="false" ht="15" hidden="false" customHeight="true" outlineLevel="0" collapsed="false">
      <c r="B17" s="23" t="s">
        <v>655</v>
      </c>
      <c r="C17" s="12" t="s">
        <v>136</v>
      </c>
      <c r="D17" s="24" t="n">
        <f aca="false">SUM(E17:L17)</f>
        <v>2864313.09090909</v>
      </c>
      <c r="E17" s="24" t="n">
        <f aca="false">E64</f>
        <v>0</v>
      </c>
      <c r="F17" s="24" t="n">
        <f aca="false">F64</f>
        <v>2864313.09090909</v>
      </c>
      <c r="G17" s="24" t="n">
        <f aca="false">G64</f>
        <v>0</v>
      </c>
      <c r="H17" s="24" t="n">
        <f aca="false">H64</f>
        <v>0</v>
      </c>
      <c r="I17" s="24" t="n">
        <f aca="false">I64</f>
        <v>0</v>
      </c>
      <c r="J17" s="24" t="n">
        <f aca="false">J64</f>
        <v>0</v>
      </c>
      <c r="K17" s="24" t="n">
        <f aca="false">K64</f>
        <v>0</v>
      </c>
      <c r="L17" s="24" t="n">
        <f aca="false">L64</f>
        <v>0</v>
      </c>
    </row>
    <row r="18" customFormat="false" ht="15" hidden="false" customHeight="true" outlineLevel="0" collapsed="false">
      <c r="B18" s="23" t="s">
        <v>656</v>
      </c>
      <c r="C18" s="12" t="s">
        <v>136</v>
      </c>
      <c r="D18" s="24" t="n">
        <f aca="false">SUM(E18:L18)</f>
        <v>4025461</v>
      </c>
      <c r="E18" s="24" t="n">
        <f aca="false">E73</f>
        <v>628000</v>
      </c>
      <c r="F18" s="24" t="n">
        <f aca="false">F73</f>
        <v>1536201</v>
      </c>
      <c r="G18" s="24" t="n">
        <f aca="false">G73</f>
        <v>930630</v>
      </c>
      <c r="H18" s="24" t="n">
        <f aca="false">H73</f>
        <v>930630</v>
      </c>
      <c r="I18" s="24" t="n">
        <f aca="false">I73</f>
        <v>0</v>
      </c>
      <c r="J18" s="24" t="n">
        <f aca="false">J73</f>
        <v>0</v>
      </c>
      <c r="K18" s="24" t="n">
        <f aca="false">K73</f>
        <v>0</v>
      </c>
      <c r="L18" s="24" t="n">
        <f aca="false">L73</f>
        <v>0</v>
      </c>
    </row>
    <row r="19" customFormat="false" ht="15" hidden="false" customHeight="true" outlineLevel="0" collapsed="false">
      <c r="B19" s="23" t="s">
        <v>657</v>
      </c>
      <c r="C19" s="12" t="s">
        <v>136</v>
      </c>
      <c r="D19" s="24" t="n">
        <f aca="false">SUM(E19:L19)</f>
        <v>0</v>
      </c>
      <c r="E19" s="24" t="n">
        <f aca="false">E77</f>
        <v>0</v>
      </c>
      <c r="F19" s="24" t="n">
        <f aca="false">F77</f>
        <v>0</v>
      </c>
      <c r="G19" s="24" t="n">
        <f aca="false">G77</f>
        <v>0</v>
      </c>
      <c r="H19" s="24" t="n">
        <f aca="false">H77</f>
        <v>0</v>
      </c>
      <c r="I19" s="24" t="n">
        <f aca="false">I77</f>
        <v>0</v>
      </c>
      <c r="J19" s="24" t="n">
        <f aca="false">J77</f>
        <v>0</v>
      </c>
      <c r="K19" s="24" t="n">
        <f aca="false">K77</f>
        <v>0</v>
      </c>
      <c r="L19" s="24" t="n">
        <f aca="false">L77</f>
        <v>0</v>
      </c>
    </row>
    <row r="20" customFormat="false" ht="15" hidden="false" customHeight="true" outlineLevel="0" collapsed="false">
      <c r="B20" s="45" t="s">
        <v>658</v>
      </c>
      <c r="C20" s="12" t="s">
        <v>136</v>
      </c>
      <c r="D20" s="46" t="n">
        <f aca="false">SUM(E20:L20)</f>
        <v>0</v>
      </c>
      <c r="E20" s="46" t="n">
        <f aca="false">E81</f>
        <v>0</v>
      </c>
      <c r="F20" s="46" t="n">
        <f aca="false">F81</f>
        <v>0</v>
      </c>
      <c r="G20" s="46" t="n">
        <f aca="false">G81</f>
        <v>0</v>
      </c>
      <c r="H20" s="46" t="n">
        <f aca="false">H81</f>
        <v>0</v>
      </c>
      <c r="I20" s="46" t="n">
        <f aca="false">I81</f>
        <v>0</v>
      </c>
      <c r="J20" s="46" t="n">
        <f aca="false">J81</f>
        <v>0</v>
      </c>
      <c r="K20" s="46" t="n">
        <f aca="false">K81</f>
        <v>0</v>
      </c>
      <c r="L20" s="46" t="n">
        <f aca="false">L81</f>
        <v>0</v>
      </c>
    </row>
    <row r="21" customFormat="false" ht="15" hidden="false" customHeight="true" outlineLevel="0" collapsed="false">
      <c r="B21" s="44" t="s">
        <v>659</v>
      </c>
      <c r="C21" s="12" t="s">
        <v>136</v>
      </c>
      <c r="D21" s="32" t="n">
        <f aca="false">SUM(D16:D20)</f>
        <v>7650852.36363636</v>
      </c>
      <c r="E21" s="32" t="n">
        <f aca="false">SUM(E16:E20)</f>
        <v>628000</v>
      </c>
      <c r="F21" s="32" t="n">
        <f aca="false">SUM(F16:F20)</f>
        <v>5161592.36363636</v>
      </c>
      <c r="G21" s="32" t="n">
        <f aca="false">SUM(G16:G20)</f>
        <v>930630</v>
      </c>
      <c r="H21" s="32" t="n">
        <f aca="false">SUM(H16:H20)</f>
        <v>930630</v>
      </c>
      <c r="I21" s="32" t="n">
        <f aca="false">SUM(I16:I20)</f>
        <v>0</v>
      </c>
      <c r="J21" s="32" t="n">
        <f aca="false">SUM(J16:J20)</f>
        <v>0</v>
      </c>
      <c r="K21" s="32" t="n">
        <f aca="false">SUM(K16:K20)</f>
        <v>0</v>
      </c>
      <c r="L21" s="32" t="n">
        <f aca="false">SUM(L16:L20)</f>
        <v>0</v>
      </c>
    </row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>
      <c r="B24" s="4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B25" s="23" t="s">
        <v>660</v>
      </c>
      <c r="C25" s="12" t="s">
        <v>136</v>
      </c>
      <c r="D25" s="24" t="n">
        <f aca="false">SUM(E25:L25)</f>
        <v>0</v>
      </c>
      <c r="E25" s="24" t="n">
        <f aca="false">E82-E52</f>
        <v>0</v>
      </c>
      <c r="F25" s="24" t="n">
        <f aca="false">F82-F52</f>
        <v>0</v>
      </c>
      <c r="G25" s="24" t="n">
        <f aca="false">G82-G52</f>
        <v>0</v>
      </c>
      <c r="H25" s="24" t="n">
        <f aca="false">H82-H52</f>
        <v>0</v>
      </c>
      <c r="I25" s="24" t="n">
        <f aca="false">I82-I52</f>
        <v>0</v>
      </c>
      <c r="J25" s="24" t="n">
        <f aca="false">J82-J52</f>
        <v>0</v>
      </c>
      <c r="K25" s="24" t="n">
        <f aca="false">K82-K52</f>
        <v>0</v>
      </c>
      <c r="L25" s="24" t="n">
        <f aca="false">L82-L52</f>
        <v>0</v>
      </c>
    </row>
    <row r="26" customFormat="false" ht="15" hidden="false" customHeight="true" outlineLevel="0" collapsed="false"/>
    <row r="27" customFormat="false" ht="15" hidden="false" customHeight="true" outlineLevel="0" collapsed="false">
      <c r="B27" s="4" t="s">
        <v>661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B28" s="28" t="s">
        <v>662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customFormat="false" ht="15" hidden="false" customHeight="true" outlineLevel="0" collapsed="false">
      <c r="B29" s="36" t="s">
        <v>663</v>
      </c>
      <c r="C29" s="12" t="s">
        <v>136</v>
      </c>
      <c r="D29" s="11" t="n">
        <f aca="false">SUM(E29:L29)</f>
        <v>2701585.81818182</v>
      </c>
      <c r="E29" s="11" t="n">
        <f aca="false">CAPEX_B1_YM1</f>
        <v>0</v>
      </c>
      <c r="F29" s="11" t="n">
        <f aca="false">CAPEX_B1_Y0</f>
        <v>2701585.81818182</v>
      </c>
      <c r="G29" s="11" t="n">
        <f aca="false">CAPEX_B1_Y1</f>
        <v>0</v>
      </c>
      <c r="H29" s="11" t="n">
        <f aca="false">CAPEX_B1_Y2</f>
        <v>0</v>
      </c>
      <c r="I29" s="11" t="n">
        <f aca="false">CAPEX_B1_Y3</f>
        <v>0</v>
      </c>
      <c r="J29" s="11" t="n">
        <f aca="false">CAPEX_B1_Y4</f>
        <v>0</v>
      </c>
      <c r="K29" s="11" t="n">
        <f aca="false">CAPEX_B1_Y5</f>
        <v>0</v>
      </c>
      <c r="L29" s="11" t="n">
        <f aca="false">CAPEX_B1_Y6</f>
        <v>0</v>
      </c>
    </row>
    <row r="30" customFormat="false" ht="15" hidden="false" customHeight="true" outlineLevel="0" collapsed="false">
      <c r="B30" s="18" t="s">
        <v>664</v>
      </c>
      <c r="C30" s="12" t="s">
        <v>136</v>
      </c>
      <c r="D30" s="30" t="n">
        <f aca="false">SUM(E30:L30)</f>
        <v>45000</v>
      </c>
      <c r="E30" s="30" t="n">
        <f aca="false">ASM_A01_N_FARMS*ASM_E10_N_BEEF_STOCK_PER_FARM*ASM_P14_COST_CALF_PURCHASE_EUR_HEAD*FLAG_CONSTRUCT_YM1</f>
        <v>0</v>
      </c>
      <c r="F30" s="30" t="n">
        <f aca="false">ASM_A01_N_FARMS*ASM_E10_N_BEEF_STOCK_PER_FARM*ASM_P14_COST_CALF_PURCHASE_EUR_HEAD*FLAG_CONSTRUCT_Y0</f>
        <v>45000</v>
      </c>
      <c r="G30" s="30" t="n">
        <f aca="false">ASM_A01_N_FARMS*ASM_E10_N_BEEF_STOCK_PER_FARM*ASM_P14_COST_CALF_PURCHASE_EUR_HEAD*FLAG_CONSTRUCT_Y1</f>
        <v>0</v>
      </c>
      <c r="H30" s="30" t="n">
        <f aca="false">ASM_A01_N_FARMS*ASM_E10_N_BEEF_STOCK_PER_FARM*ASM_P14_COST_CALF_PURCHASE_EUR_HEAD*FLAG_CONSTRUCT_Y2</f>
        <v>0</v>
      </c>
      <c r="I30" s="30" t="n">
        <f aca="false">ASM_A01_N_FARMS*ASM_E10_N_BEEF_STOCK_PER_FARM*ASM_P14_COST_CALF_PURCHASE_EUR_HEAD*FLAG_CONSTRUCT_Y3</f>
        <v>0</v>
      </c>
      <c r="J30" s="30" t="n">
        <f aca="false">ASM_A01_N_FARMS*ASM_E10_N_BEEF_STOCK_PER_FARM*ASM_P14_COST_CALF_PURCHASE_EUR_HEAD*FLAG_CONSTRUCT_Y4</f>
        <v>0</v>
      </c>
      <c r="K30" s="30" t="n">
        <f aca="false">ASM_A01_N_FARMS*ASM_E10_N_BEEF_STOCK_PER_FARM*ASM_P14_COST_CALF_PURCHASE_EUR_HEAD*FLAG_CONSTRUCT_Y5</f>
        <v>0</v>
      </c>
      <c r="L30" s="30" t="n">
        <f aca="false">ASM_A01_N_FARMS*ASM_E10_N_BEEF_STOCK_PER_FARM*ASM_P14_COST_CALF_PURCHASE_EUR_HEAD*FLAG_CONSTRUCT_Y6</f>
        <v>0</v>
      </c>
    </row>
    <row r="31" customFormat="false" ht="15" hidden="false" customHeight="true" outlineLevel="0" collapsed="false">
      <c r="B31" s="31" t="s">
        <v>665</v>
      </c>
      <c r="C31" s="12" t="s">
        <v>136</v>
      </c>
      <c r="D31" s="32" t="n">
        <f aca="false">SUM(D29:D30)</f>
        <v>2746585.81818182</v>
      </c>
      <c r="E31" s="32" t="n">
        <f aca="false">SUM(E29:E30)</f>
        <v>0</v>
      </c>
      <c r="F31" s="32" t="n">
        <f aca="false">SUM(F29:F30)</f>
        <v>2746585.81818182</v>
      </c>
      <c r="G31" s="32" t="n">
        <f aca="false">SUM(G29:G30)</f>
        <v>0</v>
      </c>
      <c r="H31" s="32" t="n">
        <f aca="false">SUM(H29:H30)</f>
        <v>0</v>
      </c>
      <c r="I31" s="32" t="n">
        <f aca="false">SUM(I29:I30)</f>
        <v>0</v>
      </c>
      <c r="J31" s="32" t="n">
        <f aca="false">SUM(J29:J30)</f>
        <v>0</v>
      </c>
      <c r="K31" s="32" t="n">
        <f aca="false">SUM(K29:K30)</f>
        <v>0</v>
      </c>
      <c r="L31" s="32" t="n">
        <f aca="false">SUM(L29:L30)</f>
        <v>0</v>
      </c>
    </row>
    <row r="32" customFormat="false" ht="15" hidden="false" customHeight="true" outlineLevel="0" collapsed="false"/>
    <row r="33" customFormat="false" ht="15" hidden="false" customHeight="true" outlineLevel="0" collapsed="false">
      <c r="B33" s="28" t="s">
        <v>666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customFormat="false" ht="15" hidden="false" customHeight="true" outlineLevel="0" collapsed="false">
      <c r="B34" s="36" t="s">
        <v>667</v>
      </c>
      <c r="C34" s="12" t="s">
        <v>136</v>
      </c>
      <c r="D34" s="11" t="n">
        <f aca="false">SUM(E34:L34)</f>
        <v>1488000</v>
      </c>
      <c r="E34" s="11" t="n">
        <f aca="false">CAPEX_B2_YM1</f>
        <v>628000</v>
      </c>
      <c r="F34" s="11" t="n">
        <f aca="false">CAPEX_B2_Y0</f>
        <v>860000</v>
      </c>
      <c r="G34" s="11" t="n">
        <f aca="false">CAPEX_B2_Y1</f>
        <v>0</v>
      </c>
      <c r="H34" s="11" t="n">
        <f aca="false">CAPEX_B2_Y2</f>
        <v>0</v>
      </c>
      <c r="I34" s="11" t="n">
        <f aca="false">CAPEX_B2_Y3</f>
        <v>0</v>
      </c>
      <c r="J34" s="11" t="n">
        <f aca="false">CAPEX_B2_Y4</f>
        <v>0</v>
      </c>
      <c r="K34" s="11" t="n">
        <f aca="false">CAPEX_B2_Y5</f>
        <v>0</v>
      </c>
      <c r="L34" s="11" t="n">
        <f aca="false">CAPEX_B2_Y6</f>
        <v>0</v>
      </c>
    </row>
    <row r="35" customFormat="false" ht="15" hidden="false" customHeight="true" outlineLevel="0" collapsed="false">
      <c r="B35" s="36" t="s">
        <v>668</v>
      </c>
      <c r="C35" s="12" t="s">
        <v>136</v>
      </c>
      <c r="D35" s="11" t="n">
        <f aca="false">SUM(E35:L35)</f>
        <v>1359700</v>
      </c>
      <c r="E35" s="11" t="n">
        <f aca="false">TRAIN_REC_TOTAL_YM1</f>
        <v>0</v>
      </c>
      <c r="F35" s="11" t="n">
        <f aca="false">TRAIN_REC_TOTAL_Y0</f>
        <v>0</v>
      </c>
      <c r="G35" s="11" t="n">
        <f aca="false">TRAIN_REC_TOTAL_Y1</f>
        <v>679850</v>
      </c>
      <c r="H35" s="11" t="n">
        <f aca="false">TRAIN_REC_TOTAL_Y2</f>
        <v>679850</v>
      </c>
      <c r="I35" s="11" t="n">
        <f aca="false">TRAIN_REC_TOTAL_Y3</f>
        <v>0</v>
      </c>
      <c r="J35" s="11" t="n">
        <f aca="false">TRAIN_REC_TOTAL_Y4</f>
        <v>0</v>
      </c>
      <c r="K35" s="11" t="n">
        <f aca="false">TRAIN_REC_TOTAL_Y5</f>
        <v>0</v>
      </c>
      <c r="L35" s="11" t="n">
        <f aca="false">TRAIN_REC_TOTAL_Y6</f>
        <v>0</v>
      </c>
    </row>
    <row r="36" customFormat="false" ht="15" hidden="false" customHeight="true" outlineLevel="0" collapsed="false">
      <c r="B36" s="31" t="s">
        <v>669</v>
      </c>
      <c r="C36" s="12" t="s">
        <v>136</v>
      </c>
      <c r="D36" s="32" t="n">
        <f aca="false">SUM(D34:D35)</f>
        <v>2847700</v>
      </c>
      <c r="E36" s="32" t="n">
        <f aca="false">SUM(E34:E35)</f>
        <v>628000</v>
      </c>
      <c r="F36" s="32" t="n">
        <f aca="false">SUM(F34:F35)</f>
        <v>860000</v>
      </c>
      <c r="G36" s="32" t="n">
        <f aca="false">SUM(G34:G35)</f>
        <v>679850</v>
      </c>
      <c r="H36" s="32" t="n">
        <f aca="false">SUM(H34:H35)</f>
        <v>679850</v>
      </c>
      <c r="I36" s="32" t="n">
        <f aca="false">SUM(I34:I35)</f>
        <v>0</v>
      </c>
      <c r="J36" s="32" t="n">
        <f aca="false">SUM(J34:J35)</f>
        <v>0</v>
      </c>
      <c r="K36" s="32" t="n">
        <f aca="false">SUM(K34:K35)</f>
        <v>0</v>
      </c>
      <c r="L36" s="32" t="n">
        <f aca="false">SUM(L34:L35)</f>
        <v>0</v>
      </c>
    </row>
    <row r="37" customFormat="false" ht="15" hidden="false" customHeight="true" outlineLevel="0" collapsed="false"/>
    <row r="38" customFormat="false" ht="15" hidden="false" customHeight="true" outlineLevel="0" collapsed="false">
      <c r="B38" s="28" t="s">
        <v>670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customFormat="false" ht="15" hidden="false" customHeight="true" outlineLevel="0" collapsed="false">
      <c r="B39" s="36" t="s">
        <v>671</v>
      </c>
      <c r="C39" s="12" t="s">
        <v>136</v>
      </c>
      <c r="D39" s="11" t="n">
        <f aca="false">SUM(E39:L39)</f>
        <v>298401</v>
      </c>
      <c r="E39" s="11" t="n">
        <f aca="false">CAPEX_B3A_YM1</f>
        <v>0</v>
      </c>
      <c r="F39" s="11" t="n">
        <f aca="false">CAPEX_B3A_Y0</f>
        <v>298401</v>
      </c>
      <c r="G39" s="11" t="n">
        <f aca="false">CAPEX_B3A_Y1</f>
        <v>0</v>
      </c>
      <c r="H39" s="11" t="n">
        <f aca="false">CAPEX_B3A_Y2</f>
        <v>0</v>
      </c>
      <c r="I39" s="11" t="n">
        <f aca="false">CAPEX_B3A_Y3</f>
        <v>0</v>
      </c>
      <c r="J39" s="11" t="n">
        <f aca="false">CAPEX_B3A_Y4</f>
        <v>0</v>
      </c>
      <c r="K39" s="11" t="n">
        <f aca="false">CAPEX_B3A_Y5</f>
        <v>0</v>
      </c>
      <c r="L39" s="11" t="n">
        <f aca="false">CAPEX_B3A_Y6</f>
        <v>0</v>
      </c>
    </row>
    <row r="40" customFormat="false" ht="15" hidden="false" customHeight="true" outlineLevel="0" collapsed="false">
      <c r="B40" s="36" t="s">
        <v>672</v>
      </c>
      <c r="C40" s="12" t="s">
        <v>136</v>
      </c>
      <c r="D40" s="11" t="n">
        <f aca="false">SUM(E40:L40)</f>
        <v>388360</v>
      </c>
      <c r="E40" s="11" t="n">
        <f aca="false">GEN_A_OPEX_TOTAL_YM1</f>
        <v>0</v>
      </c>
      <c r="F40" s="11" t="n">
        <f aca="false">GEN_A_OPEX_TOTAL_Y0</f>
        <v>104800</v>
      </c>
      <c r="G40" s="11" t="n">
        <f aca="false">GEN_A_OPEX_TOTAL_Y1</f>
        <v>141780</v>
      </c>
      <c r="H40" s="11" t="n">
        <f aca="false">GEN_A_OPEX_TOTAL_Y2</f>
        <v>141780</v>
      </c>
      <c r="I40" s="11" t="n">
        <f aca="false">GEN_A_OPEX_TOTAL_Y3</f>
        <v>0</v>
      </c>
      <c r="J40" s="11" t="n">
        <f aca="false">GEN_A_OPEX_TOTAL_Y4</f>
        <v>0</v>
      </c>
      <c r="K40" s="11" t="n">
        <f aca="false">GEN_A_OPEX_TOTAL_Y5</f>
        <v>0</v>
      </c>
      <c r="L40" s="11" t="n">
        <f aca="false">GEN_A_OPEX_TOTAL_Y6</f>
        <v>0</v>
      </c>
    </row>
    <row r="41" customFormat="false" ht="15" hidden="false" customHeight="true" outlineLevel="0" collapsed="false">
      <c r="B41" s="36" t="s">
        <v>673</v>
      </c>
      <c r="C41" s="12" t="s">
        <v>136</v>
      </c>
      <c r="D41" s="11" t="n">
        <f aca="false">SUM(E41:L41)</f>
        <v>200000</v>
      </c>
      <c r="E41" s="11" t="n">
        <f aca="false">CAPEX_B3B_YM1</f>
        <v>0</v>
      </c>
      <c r="F41" s="11" t="n">
        <f aca="false">CAPEX_B3B_Y0</f>
        <v>200000</v>
      </c>
      <c r="G41" s="11" t="n">
        <f aca="false">CAPEX_B3B_Y1</f>
        <v>0</v>
      </c>
      <c r="H41" s="11" t="n">
        <f aca="false">CAPEX_B3B_Y2</f>
        <v>0</v>
      </c>
      <c r="I41" s="11" t="n">
        <f aca="false">CAPEX_B3B_Y3</f>
        <v>0</v>
      </c>
      <c r="J41" s="11" t="n">
        <f aca="false">CAPEX_B3B_Y4</f>
        <v>0</v>
      </c>
      <c r="K41" s="11" t="n">
        <f aca="false">CAPEX_B3B_Y5</f>
        <v>0</v>
      </c>
      <c r="L41" s="11" t="n">
        <f aca="false">CAPEX_B3B_Y6</f>
        <v>0</v>
      </c>
    </row>
    <row r="42" customFormat="false" ht="15" hidden="false" customHeight="true" outlineLevel="0" collapsed="false">
      <c r="B42" s="36" t="s">
        <v>674</v>
      </c>
      <c r="C42" s="12" t="s">
        <v>136</v>
      </c>
      <c r="D42" s="11" t="n">
        <f aca="false">SUM(E42:L42)</f>
        <v>291000</v>
      </c>
      <c r="E42" s="11" t="n">
        <f aca="false">GEN_B_OPEX_TOTAL_YM1</f>
        <v>0</v>
      </c>
      <c r="F42" s="11" t="n">
        <f aca="false">GEN_B_OPEX_TOTAL_Y0</f>
        <v>73000</v>
      </c>
      <c r="G42" s="11" t="n">
        <f aca="false">GEN_B_OPEX_TOTAL_Y1</f>
        <v>109000</v>
      </c>
      <c r="H42" s="11" t="n">
        <f aca="false">GEN_B_OPEX_TOTAL_Y2</f>
        <v>109000</v>
      </c>
      <c r="I42" s="11" t="n">
        <f aca="false">GEN_B_OPEX_TOTAL_Y3</f>
        <v>0</v>
      </c>
      <c r="J42" s="11" t="n">
        <f aca="false">GEN_B_OPEX_TOTAL_Y4</f>
        <v>0</v>
      </c>
      <c r="K42" s="11" t="n">
        <f aca="false">GEN_B_OPEX_TOTAL_Y5</f>
        <v>0</v>
      </c>
      <c r="L42" s="11" t="n">
        <f aca="false">GEN_B_OPEX_TOTAL_Y6</f>
        <v>0</v>
      </c>
    </row>
    <row r="43" customFormat="false" ht="15" hidden="false" customHeight="true" outlineLevel="0" collapsed="false">
      <c r="B43" s="31" t="s">
        <v>675</v>
      </c>
      <c r="C43" s="12" t="s">
        <v>136</v>
      </c>
      <c r="D43" s="32" t="n">
        <f aca="false">SUM(D39:D42)</f>
        <v>1177761</v>
      </c>
      <c r="E43" s="32" t="n">
        <f aca="false">SUM(E39:E42)</f>
        <v>0</v>
      </c>
      <c r="F43" s="32" t="n">
        <f aca="false">SUM(F39:F42)</f>
        <v>676201</v>
      </c>
      <c r="G43" s="32" t="n">
        <f aca="false">SUM(G39:G42)</f>
        <v>250780</v>
      </c>
      <c r="H43" s="32" t="n">
        <f aca="false">SUM(H39:H42)</f>
        <v>250780</v>
      </c>
      <c r="I43" s="32" t="n">
        <f aca="false">SUM(I39:I42)</f>
        <v>0</v>
      </c>
      <c r="J43" s="32" t="n">
        <f aca="false">SUM(J39:J42)</f>
        <v>0</v>
      </c>
      <c r="K43" s="32" t="n">
        <f aca="false">SUM(K39:K42)</f>
        <v>0</v>
      </c>
      <c r="L43" s="32" t="n">
        <f aca="false">SUM(L39:L42)</f>
        <v>0</v>
      </c>
    </row>
    <row r="44" customFormat="false" ht="15" hidden="false" customHeight="true" outlineLevel="0" collapsed="false"/>
    <row r="45" customFormat="false" ht="15" hidden="false" customHeight="true" outlineLevel="0" collapsed="false">
      <c r="B45" s="28" t="s">
        <v>676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customFormat="false" ht="15" hidden="false" customHeight="true" outlineLevel="0" collapsed="false">
      <c r="B46" s="36" t="s">
        <v>677</v>
      </c>
      <c r="C46" s="12" t="s">
        <v>136</v>
      </c>
      <c r="D46" s="11" t="n">
        <f aca="false">SUM(E46:L46)</f>
        <v>334147.181818182</v>
      </c>
      <c r="E46" s="11" t="n">
        <f aca="false">CAPEX_B4_YM1</f>
        <v>0</v>
      </c>
      <c r="F46" s="11" t="n">
        <f aca="false">CAPEX_B4_Y0</f>
        <v>334147.181818182</v>
      </c>
      <c r="G46" s="11" t="n">
        <f aca="false">CAPEX_B4_Y1</f>
        <v>0</v>
      </c>
      <c r="H46" s="11" t="n">
        <f aca="false">CAPEX_B4_Y2</f>
        <v>0</v>
      </c>
      <c r="I46" s="11" t="n">
        <f aca="false">CAPEX_B4_Y3</f>
        <v>0</v>
      </c>
      <c r="J46" s="11" t="n">
        <f aca="false">CAPEX_B4_Y4</f>
        <v>0</v>
      </c>
      <c r="K46" s="11" t="n">
        <f aca="false">CAPEX_B4_Y5</f>
        <v>0</v>
      </c>
      <c r="L46" s="11" t="n">
        <f aca="false">CAPEX_B4_Y6</f>
        <v>0</v>
      </c>
    </row>
    <row r="47" customFormat="false" ht="15" hidden="false" customHeight="true" outlineLevel="0" collapsed="false">
      <c r="B47" s="31" t="s">
        <v>678</v>
      </c>
      <c r="C47" s="12" t="s">
        <v>136</v>
      </c>
      <c r="D47" s="32" t="n">
        <f aca="false">SUM(D46)</f>
        <v>334147.181818182</v>
      </c>
      <c r="E47" s="32" t="n">
        <f aca="false">SUM(E46)</f>
        <v>0</v>
      </c>
      <c r="F47" s="32" t="n">
        <f aca="false">SUM(F46)</f>
        <v>334147.181818182</v>
      </c>
      <c r="G47" s="32" t="n">
        <f aca="false">SUM(G46)</f>
        <v>0</v>
      </c>
      <c r="H47" s="32" t="n">
        <f aca="false">SUM(H46)</f>
        <v>0</v>
      </c>
      <c r="I47" s="32" t="n">
        <f aca="false">SUM(I46)</f>
        <v>0</v>
      </c>
      <c r="J47" s="32" t="n">
        <f aca="false">SUM(J46)</f>
        <v>0</v>
      </c>
      <c r="K47" s="32" t="n">
        <f aca="false">SUM(K46)</f>
        <v>0</v>
      </c>
      <c r="L47" s="32" t="n">
        <f aca="false">SUM(L46)</f>
        <v>0</v>
      </c>
    </row>
    <row r="48" customFormat="false" ht="15" hidden="false" customHeight="true" outlineLevel="0" collapsed="false"/>
    <row r="49" customFormat="false" ht="15" hidden="false" customHeight="true" outlineLevel="0" collapsed="false">
      <c r="B49" s="28" t="s">
        <v>679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customFormat="false" ht="15" hidden="false" customHeight="true" outlineLevel="0" collapsed="false">
      <c r="B50" s="36" t="s">
        <v>680</v>
      </c>
      <c r="C50" s="12" t="s">
        <v>136</v>
      </c>
      <c r="D50" s="11" t="n">
        <f aca="false">SUM(E50:L50)</f>
        <v>544658.363636364</v>
      </c>
      <c r="E50" s="11" t="n">
        <f aca="false">CAPEX_B5_YM1</f>
        <v>0</v>
      </c>
      <c r="F50" s="11" t="n">
        <f aca="false">CAPEX_B5_Y0</f>
        <v>544658.363636364</v>
      </c>
      <c r="G50" s="11" t="n">
        <f aca="false">CAPEX_B5_Y1</f>
        <v>0</v>
      </c>
      <c r="H50" s="11" t="n">
        <f aca="false">CAPEX_B5_Y2</f>
        <v>0</v>
      </c>
      <c r="I50" s="11" t="n">
        <f aca="false">CAPEX_B5_Y3</f>
        <v>0</v>
      </c>
      <c r="J50" s="11" t="n">
        <f aca="false">CAPEX_B5_Y4</f>
        <v>0</v>
      </c>
      <c r="K50" s="11" t="n">
        <f aca="false">CAPEX_B5_Y5</f>
        <v>0</v>
      </c>
      <c r="L50" s="11" t="n">
        <f aca="false">CAPEX_B5_Y6</f>
        <v>0</v>
      </c>
    </row>
    <row r="51" customFormat="false" ht="15" hidden="false" customHeight="true" outlineLevel="0" collapsed="false">
      <c r="B51" s="31" t="s">
        <v>681</v>
      </c>
      <c r="C51" s="12" t="s">
        <v>136</v>
      </c>
      <c r="D51" s="32" t="n">
        <f aca="false">SUM(D50)</f>
        <v>544658.363636364</v>
      </c>
      <c r="E51" s="32" t="n">
        <f aca="false">SUM(E50)</f>
        <v>0</v>
      </c>
      <c r="F51" s="32" t="n">
        <f aca="false">SUM(F50)</f>
        <v>544658.363636364</v>
      </c>
      <c r="G51" s="32" t="n">
        <f aca="false">SUM(G50)</f>
        <v>0</v>
      </c>
      <c r="H51" s="32" t="n">
        <f aca="false">SUM(H50)</f>
        <v>0</v>
      </c>
      <c r="I51" s="32" t="n">
        <f aca="false">SUM(I50)</f>
        <v>0</v>
      </c>
      <c r="J51" s="32" t="n">
        <f aca="false">SUM(J50)</f>
        <v>0</v>
      </c>
      <c r="K51" s="32" t="n">
        <f aca="false">SUM(K50)</f>
        <v>0</v>
      </c>
      <c r="L51" s="32" t="n">
        <f aca="false">SUM(L50)</f>
        <v>0</v>
      </c>
    </row>
    <row r="52" customFormat="false" ht="15" hidden="false" customHeight="true" outlineLevel="0" collapsed="false">
      <c r="B52" s="33" t="s">
        <v>652</v>
      </c>
      <c r="C52" s="12" t="s">
        <v>136</v>
      </c>
      <c r="D52" s="27" t="n">
        <f aca="false">D31+D36+D43+D47+D51</f>
        <v>7650852.36363636</v>
      </c>
      <c r="E52" s="27" t="n">
        <f aca="false">E31+E36+E43+E47+E51</f>
        <v>628000</v>
      </c>
      <c r="F52" s="27" t="n">
        <f aca="false">F31+F36+F43+F47+F51</f>
        <v>5161592.36363636</v>
      </c>
      <c r="G52" s="27" t="n">
        <f aca="false">G31+G36+G43+G47+G51</f>
        <v>930630</v>
      </c>
      <c r="H52" s="27" t="n">
        <f aca="false">H31+H36+H43+H47+H51</f>
        <v>930630</v>
      </c>
      <c r="I52" s="27" t="n">
        <f aca="false">I31+I36+I43+I47+I51</f>
        <v>0</v>
      </c>
      <c r="J52" s="27" t="n">
        <f aca="false">J31+J36+J43+J47+J51</f>
        <v>0</v>
      </c>
      <c r="K52" s="27" t="n">
        <f aca="false">K31+K36+K43+K47+K51</f>
        <v>0</v>
      </c>
      <c r="L52" s="27" t="n">
        <f aca="false">L31+L36+L43+L47+L51</f>
        <v>0</v>
      </c>
    </row>
    <row r="53" customFormat="false" ht="15" hidden="false" customHeight="true" outlineLevel="0" collapsed="false"/>
    <row r="54" customFormat="false" ht="15" hidden="false" customHeight="true" outlineLevel="0" collapsed="false">
      <c r="B54" s="4" t="s">
        <v>682</v>
      </c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B55" s="28" t="s">
        <v>683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customFormat="false" ht="15" hidden="false" customHeight="true" outlineLevel="0" collapsed="false">
      <c r="B56" s="18" t="s">
        <v>684</v>
      </c>
      <c r="C56" s="12" t="s">
        <v>136</v>
      </c>
      <c r="D56" s="30" t="n">
        <f aca="false">SUM(E56:L56)</f>
        <v>62623.7272727271</v>
      </c>
      <c r="E56" s="30" t="n">
        <f aca="false">E$103*FLAG_CONSTRUCT_YM1</f>
        <v>0</v>
      </c>
      <c r="F56" s="30" t="n">
        <f aca="false">F$103*FLAG_CONSTRUCT_Y0</f>
        <v>62623.7272727271</v>
      </c>
      <c r="G56" s="30" t="n">
        <f aca="false">G$103*FLAG_CONSTRUCT_Y1</f>
        <v>0</v>
      </c>
      <c r="H56" s="30" t="n">
        <f aca="false">H$103*FLAG_CONSTRUCT_Y2</f>
        <v>0</v>
      </c>
      <c r="I56" s="30" t="n">
        <f aca="false">I$103*FLAG_CONSTRUCT_Y3</f>
        <v>0</v>
      </c>
      <c r="J56" s="30" t="n">
        <f aca="false">J$103*FLAG_CONSTRUCT_Y4</f>
        <v>0</v>
      </c>
      <c r="K56" s="30" t="n">
        <f aca="false">K$103*FLAG_CONSTRUCT_Y5</f>
        <v>0</v>
      </c>
      <c r="L56" s="30" t="n">
        <f aca="false">L$103*FLAG_CONSTRUCT_Y6</f>
        <v>0</v>
      </c>
    </row>
    <row r="57" customFormat="false" ht="15" hidden="false" customHeight="true" outlineLevel="0" collapsed="false">
      <c r="B57" s="18" t="s">
        <v>685</v>
      </c>
      <c r="C57" s="12" t="s">
        <v>136</v>
      </c>
      <c r="D57" s="30" t="n">
        <f aca="false">SUM(E57:L57)</f>
        <v>653454.545454545</v>
      </c>
      <c r="E57" s="30" t="n">
        <f aca="false">(E$101+E$102)*FLAG_CONSTRUCT_YM1</f>
        <v>0</v>
      </c>
      <c r="F57" s="30" t="n">
        <f aca="false">(F$101+F$102)*FLAG_CONSTRUCT_Y0</f>
        <v>653454.545454545</v>
      </c>
      <c r="G57" s="30" t="n">
        <f aca="false">(G$101+G$102)*FLAG_CONSTRUCT_Y1</f>
        <v>0</v>
      </c>
      <c r="H57" s="30" t="n">
        <f aca="false">(H$101+H$102)*FLAG_CONSTRUCT_Y2</f>
        <v>0</v>
      </c>
      <c r="I57" s="30" t="n">
        <f aca="false">(I$101+I$102)*FLAG_CONSTRUCT_Y3</f>
        <v>0</v>
      </c>
      <c r="J57" s="30" t="n">
        <f aca="false">(J$101+J$102)*FLAG_CONSTRUCT_Y4</f>
        <v>0</v>
      </c>
      <c r="K57" s="30" t="n">
        <f aca="false">(K$101+K$102)*FLAG_CONSTRUCT_Y5</f>
        <v>0</v>
      </c>
      <c r="L57" s="30" t="n">
        <f aca="false">(L$101+L$102)*FLAG_CONSTRUCT_Y6</f>
        <v>0</v>
      </c>
    </row>
    <row r="58" customFormat="false" ht="15" hidden="false" customHeight="true" outlineLevel="0" collapsed="false">
      <c r="B58" s="18" t="s">
        <v>686</v>
      </c>
      <c r="C58" s="12" t="s">
        <v>136</v>
      </c>
      <c r="D58" s="30" t="n">
        <f aca="false">SUM(E58:L58)</f>
        <v>45000</v>
      </c>
      <c r="E58" s="30" t="n">
        <f aca="false">ASM_A01_N_FARMS*ASM_E10_N_BEEF_STOCK_PER_FARM*ASM_P14_COST_CALF_PURCHASE_EUR_HEAD*FLAG_CONSTRUCT_YM1</f>
        <v>0</v>
      </c>
      <c r="F58" s="30" t="n">
        <f aca="false">ASM_A01_N_FARMS*ASM_E10_N_BEEF_STOCK_PER_FARM*ASM_P14_COST_CALF_PURCHASE_EUR_HEAD*FLAG_CONSTRUCT_Y0</f>
        <v>45000</v>
      </c>
      <c r="G58" s="30" t="n">
        <f aca="false">ASM_A01_N_FARMS*ASM_E10_N_BEEF_STOCK_PER_FARM*ASM_P14_COST_CALF_PURCHASE_EUR_HEAD*FLAG_CONSTRUCT_Y1</f>
        <v>0</v>
      </c>
      <c r="H58" s="30" t="n">
        <f aca="false">ASM_A01_N_FARMS*ASM_E10_N_BEEF_STOCK_PER_FARM*ASM_P14_COST_CALF_PURCHASE_EUR_HEAD*FLAG_CONSTRUCT_Y2</f>
        <v>0</v>
      </c>
      <c r="I58" s="30" t="n">
        <f aca="false">ASM_A01_N_FARMS*ASM_E10_N_BEEF_STOCK_PER_FARM*ASM_P14_COST_CALF_PURCHASE_EUR_HEAD*FLAG_CONSTRUCT_Y3</f>
        <v>0</v>
      </c>
      <c r="J58" s="30" t="n">
        <f aca="false">ASM_A01_N_FARMS*ASM_E10_N_BEEF_STOCK_PER_FARM*ASM_P14_COST_CALF_PURCHASE_EUR_HEAD*FLAG_CONSTRUCT_Y4</f>
        <v>0</v>
      </c>
      <c r="K58" s="30" t="n">
        <f aca="false">ASM_A01_N_FARMS*ASM_E10_N_BEEF_STOCK_PER_FARM*ASM_P14_COST_CALF_PURCHASE_EUR_HEAD*FLAG_CONSTRUCT_Y5</f>
        <v>0</v>
      </c>
      <c r="L58" s="30" t="n">
        <f aca="false">ASM_A01_N_FARMS*ASM_E10_N_BEEF_STOCK_PER_FARM*ASM_P14_COST_CALF_PURCHASE_EUR_HEAD*FLAG_CONSTRUCT_Y6</f>
        <v>0</v>
      </c>
    </row>
    <row r="59" customFormat="false" ht="15" hidden="false" customHeight="true" outlineLevel="0" collapsed="false">
      <c r="B59" s="31" t="s">
        <v>687</v>
      </c>
      <c r="C59" s="12" t="s">
        <v>136</v>
      </c>
      <c r="D59" s="32" t="n">
        <f aca="false">SUM(D56:D58)</f>
        <v>761078.272727273</v>
      </c>
      <c r="E59" s="32" t="n">
        <f aca="false">SUM(E56:E58)</f>
        <v>0</v>
      </c>
      <c r="F59" s="32" t="n">
        <f aca="false">SUM(F56:F58)</f>
        <v>761078.272727273</v>
      </c>
      <c r="G59" s="32" t="n">
        <f aca="false">SUM(G56:G58)</f>
        <v>0</v>
      </c>
      <c r="H59" s="32" t="n">
        <f aca="false">SUM(H56:H58)</f>
        <v>0</v>
      </c>
      <c r="I59" s="32" t="n">
        <f aca="false">SUM(I56:I58)</f>
        <v>0</v>
      </c>
      <c r="J59" s="32" t="n">
        <f aca="false">SUM(J56:J58)</f>
        <v>0</v>
      </c>
      <c r="K59" s="32" t="n">
        <f aca="false">SUM(K56:K58)</f>
        <v>0</v>
      </c>
      <c r="L59" s="32" t="n">
        <f aca="false">SUM(L56:L58)</f>
        <v>0</v>
      </c>
    </row>
    <row r="60" customFormat="false" ht="15" hidden="false" customHeight="true" outlineLevel="0" collapsed="false"/>
    <row r="61" customFormat="false" ht="15" hidden="false" customHeight="true" outlineLevel="0" collapsed="false">
      <c r="B61" s="28" t="s">
        <v>688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customFormat="false" ht="15" hidden="false" customHeight="true" outlineLevel="0" collapsed="false">
      <c r="B62" s="18" t="s">
        <v>689</v>
      </c>
      <c r="C62" s="12" t="s">
        <v>136</v>
      </c>
      <c r="D62" s="30" t="n">
        <f aca="false">SUM(E62:L62)</f>
        <v>2363058.3</v>
      </c>
      <c r="E62" s="30" t="n">
        <f aca="false">E$99*FLAG_CONSTRUCT_YM1</f>
        <v>0</v>
      </c>
      <c r="F62" s="30" t="n">
        <f aca="false">F$99*FLAG_CONSTRUCT_Y0</f>
        <v>2363058.3</v>
      </c>
      <c r="G62" s="30" t="n">
        <f aca="false">G$99*FLAG_CONSTRUCT_Y1</f>
        <v>0</v>
      </c>
      <c r="H62" s="30" t="n">
        <f aca="false">H$99*FLAG_CONSTRUCT_Y2</f>
        <v>0</v>
      </c>
      <c r="I62" s="30" t="n">
        <f aca="false">I$99*FLAG_CONSTRUCT_Y3</f>
        <v>0</v>
      </c>
      <c r="J62" s="30" t="n">
        <f aca="false">J$99*FLAG_CONSTRUCT_Y4</f>
        <v>0</v>
      </c>
      <c r="K62" s="30" t="n">
        <f aca="false">K$99*FLAG_CONSTRUCT_Y5</f>
        <v>0</v>
      </c>
      <c r="L62" s="30" t="n">
        <f aca="false">L$99*FLAG_CONSTRUCT_Y6</f>
        <v>0</v>
      </c>
    </row>
    <row r="63" customFormat="false" ht="15" hidden="false" customHeight="true" outlineLevel="0" collapsed="false">
      <c r="B63" s="18" t="s">
        <v>690</v>
      </c>
      <c r="C63" s="12" t="s">
        <v>136</v>
      </c>
      <c r="D63" s="30" t="n">
        <f aca="false">SUM(E63:L63)</f>
        <v>501254.790909091</v>
      </c>
      <c r="E63" s="30" t="n">
        <f aca="false">E$100*FLAG_CONSTRUCT_YM1</f>
        <v>0</v>
      </c>
      <c r="F63" s="30" t="n">
        <f aca="false">F$100*FLAG_CONSTRUCT_Y0</f>
        <v>501254.790909091</v>
      </c>
      <c r="G63" s="30" t="n">
        <f aca="false">G$100*FLAG_CONSTRUCT_Y1</f>
        <v>0</v>
      </c>
      <c r="H63" s="30" t="n">
        <f aca="false">H$100*FLAG_CONSTRUCT_Y2</f>
        <v>0</v>
      </c>
      <c r="I63" s="30" t="n">
        <f aca="false">I$100*FLAG_CONSTRUCT_Y3</f>
        <v>0</v>
      </c>
      <c r="J63" s="30" t="n">
        <f aca="false">J$100*FLAG_CONSTRUCT_Y4</f>
        <v>0</v>
      </c>
      <c r="K63" s="30" t="n">
        <f aca="false">K$100*FLAG_CONSTRUCT_Y5</f>
        <v>0</v>
      </c>
      <c r="L63" s="30" t="n">
        <f aca="false">L$100*FLAG_CONSTRUCT_Y6</f>
        <v>0</v>
      </c>
    </row>
    <row r="64" customFormat="false" ht="15" hidden="false" customHeight="true" outlineLevel="0" collapsed="false">
      <c r="B64" s="31" t="s">
        <v>691</v>
      </c>
      <c r="C64" s="12" t="s">
        <v>136</v>
      </c>
      <c r="D64" s="32" t="n">
        <f aca="false">SUM(D62:D63)</f>
        <v>2864313.09090909</v>
      </c>
      <c r="E64" s="32" t="n">
        <f aca="false">SUM(E62:E63)</f>
        <v>0</v>
      </c>
      <c r="F64" s="32" t="n">
        <f aca="false">SUM(F62:F63)</f>
        <v>2864313.09090909</v>
      </c>
      <c r="G64" s="32" t="n">
        <f aca="false">SUM(G62:G63)</f>
        <v>0</v>
      </c>
      <c r="H64" s="32" t="n">
        <f aca="false">SUM(H62:H63)</f>
        <v>0</v>
      </c>
      <c r="I64" s="32" t="n">
        <f aca="false">SUM(I62:I63)</f>
        <v>0</v>
      </c>
      <c r="J64" s="32" t="n">
        <f aca="false">SUM(J62:J63)</f>
        <v>0</v>
      </c>
      <c r="K64" s="32" t="n">
        <f aca="false">SUM(K62:K63)</f>
        <v>0</v>
      </c>
      <c r="L64" s="32" t="n">
        <f aca="false">SUM(L62:L63)</f>
        <v>0</v>
      </c>
    </row>
    <row r="65" customFormat="false" ht="15" hidden="false" customHeight="true" outlineLevel="0" collapsed="false"/>
    <row r="66" customFormat="false" ht="15" hidden="false" customHeight="true" outlineLevel="0" collapsed="false">
      <c r="B66" s="28" t="s">
        <v>692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customFormat="false" ht="15" hidden="false" customHeight="true" outlineLevel="0" collapsed="false">
      <c r="B67" s="36" t="s">
        <v>693</v>
      </c>
      <c r="C67" s="12" t="s">
        <v>136</v>
      </c>
      <c r="D67" s="11" t="n">
        <f aca="false">SUM(E67:L67)</f>
        <v>1488000</v>
      </c>
      <c r="E67" s="11" t="n">
        <f aca="false">TRAIN_CAP_TOTAL_YM1</f>
        <v>628000</v>
      </c>
      <c r="F67" s="11" t="n">
        <f aca="false">TRAIN_CAP_TOTAL_Y0</f>
        <v>860000</v>
      </c>
      <c r="G67" s="11" t="n">
        <f aca="false">TRAIN_CAP_TOTAL_Y1</f>
        <v>0</v>
      </c>
      <c r="H67" s="11" t="n">
        <f aca="false">TRAIN_CAP_TOTAL_Y2</f>
        <v>0</v>
      </c>
      <c r="I67" s="11" t="n">
        <f aca="false">TRAIN_CAP_TOTAL_Y3</f>
        <v>0</v>
      </c>
      <c r="J67" s="11" t="n">
        <f aca="false">TRAIN_CAP_TOTAL_Y4</f>
        <v>0</v>
      </c>
      <c r="K67" s="11" t="n">
        <f aca="false">TRAIN_CAP_TOTAL_Y5</f>
        <v>0</v>
      </c>
      <c r="L67" s="11" t="n">
        <f aca="false">TRAIN_CAP_TOTAL_Y6</f>
        <v>0</v>
      </c>
    </row>
    <row r="68" customFormat="false" ht="15" hidden="false" customHeight="true" outlineLevel="0" collapsed="false">
      <c r="B68" s="36" t="s">
        <v>694</v>
      </c>
      <c r="C68" s="12" t="s">
        <v>136</v>
      </c>
      <c r="D68" s="11" t="n">
        <f aca="false">SUM(E68:L68)</f>
        <v>1359700</v>
      </c>
      <c r="E68" s="11" t="n">
        <f aca="false">TRAIN_REC_TOTAL_YM1</f>
        <v>0</v>
      </c>
      <c r="F68" s="11" t="n">
        <f aca="false">TRAIN_REC_TOTAL_Y0</f>
        <v>0</v>
      </c>
      <c r="G68" s="11" t="n">
        <f aca="false">TRAIN_REC_TOTAL_Y1</f>
        <v>679850</v>
      </c>
      <c r="H68" s="11" t="n">
        <f aca="false">TRAIN_REC_TOTAL_Y2</f>
        <v>679850</v>
      </c>
      <c r="I68" s="11" t="n">
        <f aca="false">TRAIN_REC_TOTAL_Y3</f>
        <v>0</v>
      </c>
      <c r="J68" s="11" t="n">
        <f aca="false">TRAIN_REC_TOTAL_Y4</f>
        <v>0</v>
      </c>
      <c r="K68" s="11" t="n">
        <f aca="false">TRAIN_REC_TOTAL_Y5</f>
        <v>0</v>
      </c>
      <c r="L68" s="11" t="n">
        <f aca="false">TRAIN_REC_TOTAL_Y6</f>
        <v>0</v>
      </c>
    </row>
    <row r="69" customFormat="false" ht="15" hidden="false" customHeight="true" outlineLevel="0" collapsed="false">
      <c r="B69" s="36" t="s">
        <v>695</v>
      </c>
      <c r="C69" s="12" t="s">
        <v>136</v>
      </c>
      <c r="D69" s="11" t="n">
        <f aca="false">SUM(E69:L69)</f>
        <v>298401</v>
      </c>
      <c r="E69" s="11" t="n">
        <f aca="false">GEN_A_CAP_TOTAL_YM1</f>
        <v>0</v>
      </c>
      <c r="F69" s="11" t="n">
        <f aca="false">GEN_A_CAP_TOTAL_Y0</f>
        <v>298401</v>
      </c>
      <c r="G69" s="11" t="n">
        <f aca="false">GEN_A_CAP_TOTAL_Y1</f>
        <v>0</v>
      </c>
      <c r="H69" s="11" t="n">
        <f aca="false">GEN_A_CAP_TOTAL_Y2</f>
        <v>0</v>
      </c>
      <c r="I69" s="11" t="n">
        <f aca="false">GEN_A_CAP_TOTAL_Y3</f>
        <v>0</v>
      </c>
      <c r="J69" s="11" t="n">
        <f aca="false">GEN_A_CAP_TOTAL_Y4</f>
        <v>0</v>
      </c>
      <c r="K69" s="11" t="n">
        <f aca="false">GEN_A_CAP_TOTAL_Y5</f>
        <v>0</v>
      </c>
      <c r="L69" s="11" t="n">
        <f aca="false">GEN_A_CAP_TOTAL_Y6</f>
        <v>0</v>
      </c>
    </row>
    <row r="70" customFormat="false" ht="15" hidden="false" customHeight="true" outlineLevel="0" collapsed="false">
      <c r="B70" s="36" t="s">
        <v>696</v>
      </c>
      <c r="C70" s="12" t="s">
        <v>136</v>
      </c>
      <c r="D70" s="11" t="n">
        <f aca="false">SUM(E70:L70)</f>
        <v>388360</v>
      </c>
      <c r="E70" s="11" t="n">
        <f aca="false">GEN_A_OPEX_TOTAL_YM1</f>
        <v>0</v>
      </c>
      <c r="F70" s="11" t="n">
        <f aca="false">GEN_A_OPEX_TOTAL_Y0</f>
        <v>104800</v>
      </c>
      <c r="G70" s="11" t="n">
        <f aca="false">GEN_A_OPEX_TOTAL_Y1</f>
        <v>141780</v>
      </c>
      <c r="H70" s="11" t="n">
        <f aca="false">GEN_A_OPEX_TOTAL_Y2</f>
        <v>141780</v>
      </c>
      <c r="I70" s="11" t="n">
        <f aca="false">GEN_A_OPEX_TOTAL_Y3</f>
        <v>0</v>
      </c>
      <c r="J70" s="11" t="n">
        <f aca="false">GEN_A_OPEX_TOTAL_Y4</f>
        <v>0</v>
      </c>
      <c r="K70" s="11" t="n">
        <f aca="false">GEN_A_OPEX_TOTAL_Y5</f>
        <v>0</v>
      </c>
      <c r="L70" s="11" t="n">
        <f aca="false">GEN_A_OPEX_TOTAL_Y6</f>
        <v>0</v>
      </c>
    </row>
    <row r="71" customFormat="false" ht="15" hidden="false" customHeight="true" outlineLevel="0" collapsed="false">
      <c r="B71" s="36" t="s">
        <v>697</v>
      </c>
      <c r="C71" s="12" t="s">
        <v>136</v>
      </c>
      <c r="D71" s="11" t="n">
        <f aca="false">SUM(E71:L71)</f>
        <v>200000</v>
      </c>
      <c r="E71" s="11" t="n">
        <f aca="false">GEN_B_CAP_TOTAL_YM1</f>
        <v>0</v>
      </c>
      <c r="F71" s="11" t="n">
        <f aca="false">GEN_B_CAP_TOTAL_Y0</f>
        <v>200000</v>
      </c>
      <c r="G71" s="11" t="n">
        <f aca="false">GEN_B_CAP_TOTAL_Y1</f>
        <v>0</v>
      </c>
      <c r="H71" s="11" t="n">
        <f aca="false">GEN_B_CAP_TOTAL_Y2</f>
        <v>0</v>
      </c>
      <c r="I71" s="11" t="n">
        <f aca="false">GEN_B_CAP_TOTAL_Y3</f>
        <v>0</v>
      </c>
      <c r="J71" s="11" t="n">
        <f aca="false">GEN_B_CAP_TOTAL_Y4</f>
        <v>0</v>
      </c>
      <c r="K71" s="11" t="n">
        <f aca="false">GEN_B_CAP_TOTAL_Y5</f>
        <v>0</v>
      </c>
      <c r="L71" s="11" t="n">
        <f aca="false">GEN_B_CAP_TOTAL_Y6</f>
        <v>0</v>
      </c>
    </row>
    <row r="72" customFormat="false" ht="15" hidden="false" customHeight="true" outlineLevel="0" collapsed="false">
      <c r="B72" s="36" t="s">
        <v>698</v>
      </c>
      <c r="C72" s="12" t="s">
        <v>136</v>
      </c>
      <c r="D72" s="11" t="n">
        <f aca="false">SUM(E72:L72)</f>
        <v>291000</v>
      </c>
      <c r="E72" s="11" t="n">
        <f aca="false">GEN_B_OPEX_TOTAL_YM1</f>
        <v>0</v>
      </c>
      <c r="F72" s="11" t="n">
        <f aca="false">GEN_B_OPEX_TOTAL_Y0</f>
        <v>73000</v>
      </c>
      <c r="G72" s="11" t="n">
        <f aca="false">GEN_B_OPEX_TOTAL_Y1</f>
        <v>109000</v>
      </c>
      <c r="H72" s="11" t="n">
        <f aca="false">GEN_B_OPEX_TOTAL_Y2</f>
        <v>109000</v>
      </c>
      <c r="I72" s="11" t="n">
        <f aca="false">GEN_B_OPEX_TOTAL_Y3</f>
        <v>0</v>
      </c>
      <c r="J72" s="11" t="n">
        <f aca="false">GEN_B_OPEX_TOTAL_Y4</f>
        <v>0</v>
      </c>
      <c r="K72" s="11" t="n">
        <f aca="false">GEN_B_OPEX_TOTAL_Y5</f>
        <v>0</v>
      </c>
      <c r="L72" s="11" t="n">
        <f aca="false">GEN_B_OPEX_TOTAL_Y6</f>
        <v>0</v>
      </c>
    </row>
    <row r="73" customFormat="false" ht="15" hidden="false" customHeight="true" outlineLevel="0" collapsed="false">
      <c r="B73" s="31" t="s">
        <v>699</v>
      </c>
      <c r="C73" s="12" t="s">
        <v>136</v>
      </c>
      <c r="D73" s="32" t="n">
        <f aca="false">SUM(D67:D72)</f>
        <v>4025461</v>
      </c>
      <c r="E73" s="32" t="n">
        <f aca="false">SUM(E67:E72)</f>
        <v>628000</v>
      </c>
      <c r="F73" s="32" t="n">
        <f aca="false">SUM(F67:F72)</f>
        <v>1536201</v>
      </c>
      <c r="G73" s="32" t="n">
        <f aca="false">SUM(G67:G72)</f>
        <v>930630</v>
      </c>
      <c r="H73" s="32" t="n">
        <f aca="false">SUM(H67:H72)</f>
        <v>930630</v>
      </c>
      <c r="I73" s="32" t="n">
        <f aca="false">SUM(I67:I72)</f>
        <v>0</v>
      </c>
      <c r="J73" s="32" t="n">
        <f aca="false">SUM(J67:J72)</f>
        <v>0</v>
      </c>
      <c r="K73" s="32" t="n">
        <f aca="false">SUM(K67:K72)</f>
        <v>0</v>
      </c>
      <c r="L73" s="32" t="n">
        <f aca="false">SUM(L67:L72)</f>
        <v>0</v>
      </c>
    </row>
    <row r="74" customFormat="false" ht="15" hidden="false" customHeight="true" outlineLevel="0" collapsed="false"/>
    <row r="75" customFormat="false" ht="15" hidden="false" customHeight="true" outlineLevel="0" collapsed="false">
      <c r="B75" s="28" t="s">
        <v>700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customFormat="false" ht="15" hidden="false" customHeight="true" outlineLevel="0" collapsed="false">
      <c r="B76" s="18" t="s">
        <v>701</v>
      </c>
      <c r="C76" s="12" t="s">
        <v>136</v>
      </c>
      <c r="D76" s="30" t="n">
        <f aca="false">SUM(E76:L76)</f>
        <v>0</v>
      </c>
      <c r="E76" s="30" t="n">
        <f aca="false">0</f>
        <v>0</v>
      </c>
      <c r="F76" s="30" t="n">
        <f aca="false">0</f>
        <v>0</v>
      </c>
      <c r="G76" s="30" t="n">
        <f aca="false">0</f>
        <v>0</v>
      </c>
      <c r="H76" s="30" t="n">
        <f aca="false">0</f>
        <v>0</v>
      </c>
      <c r="I76" s="30" t="n">
        <f aca="false">0</f>
        <v>0</v>
      </c>
      <c r="J76" s="30" t="n">
        <f aca="false">0</f>
        <v>0</v>
      </c>
      <c r="K76" s="30" t="n">
        <f aca="false">0</f>
        <v>0</v>
      </c>
      <c r="L76" s="30" t="n">
        <f aca="false">0</f>
        <v>0</v>
      </c>
    </row>
    <row r="77" customFormat="false" ht="15" hidden="false" customHeight="true" outlineLevel="0" collapsed="false">
      <c r="B77" s="31" t="s">
        <v>702</v>
      </c>
      <c r="C77" s="12" t="s">
        <v>136</v>
      </c>
      <c r="D77" s="32" t="n">
        <f aca="false">SUM(D76)</f>
        <v>0</v>
      </c>
      <c r="E77" s="32" t="n">
        <f aca="false">SUM(E76)</f>
        <v>0</v>
      </c>
      <c r="F77" s="32" t="n">
        <f aca="false">SUM(F76)</f>
        <v>0</v>
      </c>
      <c r="G77" s="32" t="n">
        <f aca="false">SUM(G76)</f>
        <v>0</v>
      </c>
      <c r="H77" s="32" t="n">
        <f aca="false">SUM(H76)</f>
        <v>0</v>
      </c>
      <c r="I77" s="32" t="n">
        <f aca="false">SUM(I76)</f>
        <v>0</v>
      </c>
      <c r="J77" s="32" t="n">
        <f aca="false">SUM(J76)</f>
        <v>0</v>
      </c>
      <c r="K77" s="32" t="n">
        <f aca="false">SUM(K76)</f>
        <v>0</v>
      </c>
      <c r="L77" s="32" t="n">
        <f aca="false">SUM(L76)</f>
        <v>0</v>
      </c>
    </row>
    <row r="78" customFormat="false" ht="15" hidden="false" customHeight="true" outlineLevel="0" collapsed="false"/>
    <row r="79" customFormat="false" ht="15" hidden="false" customHeight="true" outlineLevel="0" collapsed="false">
      <c r="B79" s="28" t="s">
        <v>703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customFormat="false" ht="15" hidden="false" customHeight="true" outlineLevel="0" collapsed="false">
      <c r="B80" s="18" t="s">
        <v>704</v>
      </c>
      <c r="C80" s="12" t="s">
        <v>136</v>
      </c>
      <c r="D80" s="30" t="n">
        <f aca="false">SUM(E80:L80)</f>
        <v>0</v>
      </c>
      <c r="E80" s="30" t="n">
        <f aca="false">E52-(E59+E64+E73+E77)</f>
        <v>0</v>
      </c>
      <c r="F80" s="30" t="n">
        <f aca="false">F52-(F59+F64+F73+F77)</f>
        <v>0</v>
      </c>
      <c r="G80" s="30" t="n">
        <f aca="false">G52-(G59+G64+G73+G77)</f>
        <v>0</v>
      </c>
      <c r="H80" s="30" t="n">
        <f aca="false">H52-(H59+H64+H73+H77)</f>
        <v>0</v>
      </c>
      <c r="I80" s="30" t="n">
        <f aca="false">I52-(I59+I64+I73+I77)</f>
        <v>0</v>
      </c>
      <c r="J80" s="30" t="n">
        <f aca="false">J52-(J59+J64+J73+J77)</f>
        <v>0</v>
      </c>
      <c r="K80" s="30" t="n">
        <f aca="false">K52-(K59+K64+K73+K77)</f>
        <v>0</v>
      </c>
      <c r="L80" s="30" t="n">
        <f aca="false">L52-(L59+L64+L73+L77)</f>
        <v>0</v>
      </c>
    </row>
    <row r="81" customFormat="false" ht="15" hidden="false" customHeight="true" outlineLevel="0" collapsed="false">
      <c r="B81" s="31" t="s">
        <v>705</v>
      </c>
      <c r="C81" s="12" t="s">
        <v>136</v>
      </c>
      <c r="D81" s="32" t="n">
        <f aca="false">SUM(D80)</f>
        <v>0</v>
      </c>
      <c r="E81" s="32" t="n">
        <f aca="false">SUM(E80)</f>
        <v>0</v>
      </c>
      <c r="F81" s="32" t="n">
        <f aca="false">SUM(F80)</f>
        <v>0</v>
      </c>
      <c r="G81" s="32" t="n">
        <f aca="false">SUM(G80)</f>
        <v>0</v>
      </c>
      <c r="H81" s="32" t="n">
        <f aca="false">SUM(H80)</f>
        <v>0</v>
      </c>
      <c r="I81" s="32" t="n">
        <f aca="false">SUM(I80)</f>
        <v>0</v>
      </c>
      <c r="J81" s="32" t="n">
        <f aca="false">SUM(J80)</f>
        <v>0</v>
      </c>
      <c r="K81" s="32" t="n">
        <f aca="false">SUM(K80)</f>
        <v>0</v>
      </c>
      <c r="L81" s="32" t="n">
        <f aca="false">SUM(L80)</f>
        <v>0</v>
      </c>
    </row>
    <row r="82" customFormat="false" ht="15" hidden="false" customHeight="true" outlineLevel="0" collapsed="false">
      <c r="B82" s="33" t="s">
        <v>659</v>
      </c>
      <c r="C82" s="12" t="s">
        <v>136</v>
      </c>
      <c r="D82" s="27" t="n">
        <f aca="false">D59+D64+D73+D77+D81</f>
        <v>7650852.36363636</v>
      </c>
      <c r="E82" s="27" t="n">
        <f aca="false">E59+E64+E73+E77+E81</f>
        <v>628000</v>
      </c>
      <c r="F82" s="27" t="n">
        <f aca="false">F59+F64+F73+F77+F81</f>
        <v>5161592.36363636</v>
      </c>
      <c r="G82" s="27" t="n">
        <f aca="false">G59+G64+G73+G77+G81</f>
        <v>930630</v>
      </c>
      <c r="H82" s="27" t="n">
        <f aca="false">H59+H64+H73+H77+H81</f>
        <v>930630</v>
      </c>
      <c r="I82" s="27" t="n">
        <f aca="false">I59+I64+I73+I77+I81</f>
        <v>0</v>
      </c>
      <c r="J82" s="27" t="n">
        <f aca="false">J59+J64+J73+J77+J81</f>
        <v>0</v>
      </c>
      <c r="K82" s="27" t="n">
        <f aca="false">K59+K64+K73+K77+K81</f>
        <v>0</v>
      </c>
      <c r="L82" s="27" t="n">
        <f aca="false">L59+L64+L73+L77+L81</f>
        <v>0</v>
      </c>
    </row>
    <row r="83" customFormat="false" ht="15" hidden="false" customHeight="true" outlineLevel="0" collapsed="false"/>
    <row r="84" customFormat="false" ht="15" hidden="false" customHeight="true" outlineLevel="0" collapsed="false">
      <c r="B84" s="4" t="s">
        <v>706</v>
      </c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B85" s="18" t="s">
        <v>707</v>
      </c>
      <c r="C85" s="12" t="s">
        <v>136</v>
      </c>
      <c r="D85" s="30" t="n">
        <f aca="false">SUM(E85:L85)</f>
        <v>0</v>
      </c>
      <c r="E85" s="30" t="n">
        <f aca="false">E82-E52</f>
        <v>0</v>
      </c>
      <c r="F85" s="30" t="n">
        <f aca="false">F82-F52</f>
        <v>0</v>
      </c>
      <c r="G85" s="30" t="n">
        <f aca="false">G82-G52</f>
        <v>0</v>
      </c>
      <c r="H85" s="30" t="n">
        <f aca="false">H82-H52</f>
        <v>0</v>
      </c>
      <c r="I85" s="30" t="n">
        <f aca="false">I82-I52</f>
        <v>0</v>
      </c>
      <c r="J85" s="30" t="n">
        <f aca="false">J82-J52</f>
        <v>0</v>
      </c>
      <c r="K85" s="30" t="n">
        <f aca="false">K82-K52</f>
        <v>0</v>
      </c>
      <c r="L85" s="30" t="n">
        <f aca="false">L82-L52</f>
        <v>0</v>
      </c>
    </row>
    <row r="86" customFormat="false" ht="15" hidden="false" customHeight="true" outlineLevel="0" collapsed="false">
      <c r="B86" s="47" t="s">
        <v>708</v>
      </c>
      <c r="C86" s="12" t="s">
        <v>136</v>
      </c>
      <c r="D86" s="48" t="n">
        <f aca="false">SUM(E86:L86)</f>
        <v>0</v>
      </c>
      <c r="E86" s="49" t="n">
        <f aca="false">IF(ABS(E85)&lt;1,0,1)</f>
        <v>0</v>
      </c>
      <c r="F86" s="49" t="n">
        <f aca="false">IF(ABS(F85)&lt;1,0,1)</f>
        <v>0</v>
      </c>
      <c r="G86" s="49" t="n">
        <f aca="false">IF(ABS(G85)&lt;1,0,1)</f>
        <v>0</v>
      </c>
      <c r="H86" s="49" t="n">
        <f aca="false">IF(ABS(H85)&lt;1,0,1)</f>
        <v>0</v>
      </c>
      <c r="I86" s="49" t="n">
        <f aca="false">IF(ABS(I85)&lt;1,0,1)</f>
        <v>0</v>
      </c>
      <c r="J86" s="49" t="n">
        <f aca="false">IF(ABS(J85)&lt;1,0,1)</f>
        <v>0</v>
      </c>
      <c r="K86" s="49" t="n">
        <f aca="false">IF(ABS(K85)&lt;1,0,1)</f>
        <v>0</v>
      </c>
      <c r="L86" s="49" t="n">
        <f aca="false">IF(ABS(L85)&lt;1,0,1)</f>
        <v>0</v>
      </c>
    </row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>
      <c r="B89" s="34" t="s">
        <v>430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</row>
    <row r="90" customFormat="false" ht="15" hidden="false" customHeight="true" outlineLevel="0" collapsed="false">
      <c r="B90" s="36" t="s">
        <v>637</v>
      </c>
      <c r="C90" s="12" t="s">
        <v>432</v>
      </c>
      <c r="D90" s="37" t="n">
        <f aca="false">SUM(E90:L90)</f>
        <v>24</v>
      </c>
      <c r="E90" s="37" t="n">
        <f aca="false">ASM_A01_N_FARMS</f>
        <v>3</v>
      </c>
      <c r="F90" s="37" t="n">
        <f aca="false">ASM_A01_N_FARMS</f>
        <v>3</v>
      </c>
      <c r="G90" s="37" t="n">
        <f aca="false">ASM_A01_N_FARMS</f>
        <v>3</v>
      </c>
      <c r="H90" s="37" t="n">
        <f aca="false">ASM_A01_N_FARMS</f>
        <v>3</v>
      </c>
      <c r="I90" s="37" t="n">
        <f aca="false">ASM_A01_N_FARMS</f>
        <v>3</v>
      </c>
      <c r="J90" s="37" t="n">
        <f aca="false">ASM_A01_N_FARMS</f>
        <v>3</v>
      </c>
      <c r="K90" s="37" t="n">
        <f aca="false">ASM_A01_N_FARMS</f>
        <v>3</v>
      </c>
      <c r="L90" s="37" t="n">
        <f aca="false">ASM_A01_N_FARMS</f>
        <v>3</v>
      </c>
    </row>
    <row r="91" customFormat="false" ht="15" hidden="false" customHeight="true" outlineLevel="0" collapsed="false">
      <c r="B91" s="36" t="s">
        <v>638</v>
      </c>
      <c r="C91" s="12" t="s">
        <v>91</v>
      </c>
      <c r="D91" s="11" t="n">
        <f aca="false">SUM(E91:L91)</f>
        <v>8.8</v>
      </c>
      <c r="E91" s="11" t="n">
        <f aca="false">ASM_A08_EUR_USD</f>
        <v>1.1</v>
      </c>
      <c r="F91" s="11" t="n">
        <f aca="false">ASM_A08_EUR_USD</f>
        <v>1.1</v>
      </c>
      <c r="G91" s="11" t="n">
        <f aca="false">ASM_A08_EUR_USD</f>
        <v>1.1</v>
      </c>
      <c r="H91" s="11" t="n">
        <f aca="false">ASM_A08_EUR_USD</f>
        <v>1.1</v>
      </c>
      <c r="I91" s="11" t="n">
        <f aca="false">ASM_A08_EUR_USD</f>
        <v>1.1</v>
      </c>
      <c r="J91" s="11" t="n">
        <f aca="false">ASM_A08_EUR_USD</f>
        <v>1.1</v>
      </c>
      <c r="K91" s="11" t="n">
        <f aca="false">ASM_A08_EUR_USD</f>
        <v>1.1</v>
      </c>
      <c r="L91" s="11" t="n">
        <f aca="false">ASM_A08_EUR_USD</f>
        <v>1.1</v>
      </c>
    </row>
    <row r="92" customFormat="false" ht="15" hidden="false" customHeight="true" outlineLevel="0" collapsed="false">
      <c r="B92" s="36" t="s">
        <v>709</v>
      </c>
      <c r="C92" s="12" t="s">
        <v>63</v>
      </c>
      <c r="D92" s="39" t="n">
        <f aca="false">SUM(E92:L92)</f>
        <v>5.28</v>
      </c>
      <c r="E92" s="39" t="n">
        <f aca="false">ASM_X14_SENIOR_DEBT_PCT</f>
        <v>0.66</v>
      </c>
      <c r="F92" s="39" t="n">
        <f aca="false">ASM_X14_SENIOR_DEBT_PCT</f>
        <v>0.66</v>
      </c>
      <c r="G92" s="39" t="n">
        <f aca="false">ASM_X14_SENIOR_DEBT_PCT</f>
        <v>0.66</v>
      </c>
      <c r="H92" s="39" t="n">
        <f aca="false">ASM_X14_SENIOR_DEBT_PCT</f>
        <v>0.66</v>
      </c>
      <c r="I92" s="39" t="n">
        <f aca="false">ASM_X14_SENIOR_DEBT_PCT</f>
        <v>0.66</v>
      </c>
      <c r="J92" s="39" t="n">
        <f aca="false">ASM_X14_SENIOR_DEBT_PCT</f>
        <v>0.66</v>
      </c>
      <c r="K92" s="39" t="n">
        <f aca="false">ASM_X14_SENIOR_DEBT_PCT</f>
        <v>0.66</v>
      </c>
      <c r="L92" s="39" t="n">
        <f aca="false">ASM_X14_SENIOR_DEBT_PCT</f>
        <v>0.66</v>
      </c>
    </row>
    <row r="93" customFormat="false" ht="15" hidden="false" customHeight="true" outlineLevel="0" collapsed="false">
      <c r="B93" s="36" t="s">
        <v>710</v>
      </c>
      <c r="C93" s="12" t="s">
        <v>63</v>
      </c>
      <c r="D93" s="39" t="n">
        <f aca="false">SUM(E93:L93)</f>
        <v>1.12</v>
      </c>
      <c r="E93" s="39" t="n">
        <f aca="false">ASM_X15_JUNIOR_DEBT_PCT</f>
        <v>0.14</v>
      </c>
      <c r="F93" s="39" t="n">
        <f aca="false">ASM_X15_JUNIOR_DEBT_PCT</f>
        <v>0.14</v>
      </c>
      <c r="G93" s="39" t="n">
        <f aca="false">ASM_X15_JUNIOR_DEBT_PCT</f>
        <v>0.14</v>
      </c>
      <c r="H93" s="39" t="n">
        <f aca="false">ASM_X15_JUNIOR_DEBT_PCT</f>
        <v>0.14</v>
      </c>
      <c r="I93" s="39" t="n">
        <f aca="false">ASM_X15_JUNIOR_DEBT_PCT</f>
        <v>0.14</v>
      </c>
      <c r="J93" s="39" t="n">
        <f aca="false">ASM_X15_JUNIOR_DEBT_PCT</f>
        <v>0.14</v>
      </c>
      <c r="K93" s="39" t="n">
        <f aca="false">ASM_X15_JUNIOR_DEBT_PCT</f>
        <v>0.14</v>
      </c>
      <c r="L93" s="39" t="n">
        <f aca="false">ASM_X15_JUNIOR_DEBT_PCT</f>
        <v>0.14</v>
      </c>
    </row>
    <row r="94" customFormat="false" ht="15" hidden="false" customHeight="true" outlineLevel="0" collapsed="false">
      <c r="B94" s="36" t="s">
        <v>711</v>
      </c>
      <c r="C94" s="12" t="s">
        <v>71</v>
      </c>
      <c r="D94" s="11" t="n">
        <f aca="false">SUM(E94:L94)</f>
        <v>3950400</v>
      </c>
      <c r="E94" s="11" t="n">
        <f aca="false">ASM_X21_DOLLAR_INKIND_TERRAIN</f>
        <v>493800</v>
      </c>
      <c r="F94" s="11" t="n">
        <f aca="false">ASM_X21_DOLLAR_INKIND_TERRAIN</f>
        <v>493800</v>
      </c>
      <c r="G94" s="11" t="n">
        <f aca="false">ASM_X21_DOLLAR_INKIND_TERRAIN</f>
        <v>493800</v>
      </c>
      <c r="H94" s="11" t="n">
        <f aca="false">ASM_X21_DOLLAR_INKIND_TERRAIN</f>
        <v>493800</v>
      </c>
      <c r="I94" s="11" t="n">
        <f aca="false">ASM_X21_DOLLAR_INKIND_TERRAIN</f>
        <v>493800</v>
      </c>
      <c r="J94" s="11" t="n">
        <f aca="false">ASM_X21_DOLLAR_INKIND_TERRAIN</f>
        <v>493800</v>
      </c>
      <c r="K94" s="11" t="n">
        <f aca="false">ASM_X21_DOLLAR_INKIND_TERRAIN</f>
        <v>493800</v>
      </c>
      <c r="L94" s="11" t="n">
        <f aca="false">ASM_X21_DOLLAR_INKIND_TERRAIN</f>
        <v>493800</v>
      </c>
    </row>
    <row r="95" customFormat="false" ht="15" hidden="false" customHeight="true" outlineLevel="0" collapsed="false">
      <c r="B95" s="36" t="s">
        <v>712</v>
      </c>
      <c r="C95" s="12" t="s">
        <v>71</v>
      </c>
      <c r="D95" s="11" t="n">
        <f aca="false">SUM(E95:L95)</f>
        <v>1800000</v>
      </c>
      <c r="E95" s="11" t="n">
        <f aca="false">ASM_X22_DOLLAR_INKIND_HERD</f>
        <v>225000</v>
      </c>
      <c r="F95" s="11" t="n">
        <f aca="false">ASM_X22_DOLLAR_INKIND_HERD</f>
        <v>225000</v>
      </c>
      <c r="G95" s="11" t="n">
        <f aca="false">ASM_X22_DOLLAR_INKIND_HERD</f>
        <v>225000</v>
      </c>
      <c r="H95" s="11" t="n">
        <f aca="false">ASM_X22_DOLLAR_INKIND_HERD</f>
        <v>225000</v>
      </c>
      <c r="I95" s="11" t="n">
        <f aca="false">ASM_X22_DOLLAR_INKIND_HERD</f>
        <v>225000</v>
      </c>
      <c r="J95" s="11" t="n">
        <f aca="false">ASM_X22_DOLLAR_INKIND_HERD</f>
        <v>225000</v>
      </c>
      <c r="K95" s="11" t="n">
        <f aca="false">ASM_X22_DOLLAR_INKIND_HERD</f>
        <v>225000</v>
      </c>
      <c r="L95" s="11" t="n">
        <f aca="false">ASM_X22_DOLLAR_INKIND_HERD</f>
        <v>225000</v>
      </c>
    </row>
    <row r="96" customFormat="false" ht="15" hidden="false" customHeight="true" outlineLevel="0" collapsed="false"/>
    <row r="97" customFormat="false" ht="15" hidden="false" customHeight="true" outlineLevel="0" collapsed="false">
      <c r="B97" s="34" t="s">
        <v>479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</row>
    <row r="98" customFormat="false" ht="15" hidden="false" customHeight="true" outlineLevel="0" collapsed="false">
      <c r="B98" s="40" t="s">
        <v>713</v>
      </c>
      <c r="C98" s="12" t="s">
        <v>136</v>
      </c>
      <c r="D98" s="30" t="n">
        <f aca="false">SUM(E98:L98)</f>
        <v>28643130.9090909</v>
      </c>
      <c r="E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  <c r="F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  <c r="G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  <c r="H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  <c r="I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  <c r="J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  <c r="K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  <c r="L98" s="30" t="n">
        <f aca="false">CAPEX_B1_YM1+CAPEX_B1_Y0+CAPEX_B1_Y1+CAPEX_B1_Y2+CAPEX_B1_Y3+CAPEX_B1_Y4+CAPEX_B1_Y5+CAPEX_B1_Y6+CAPEX_B4_YM1+CAPEX_B4_Y0+CAPEX_B4_Y1+CAPEX_B4_Y2+CAPEX_B4_Y3+CAPEX_B4_Y4+CAPEX_B4_Y5+CAPEX_B4_Y6+CAPEX_B5_YM1+CAPEX_B5_Y0+CAPEX_B5_Y1+CAPEX_B5_Y2+CAPEX_B5_Y3+CAPEX_B5_Y4+CAPEX_B5_Y5+CAPEX_B5_Y6</f>
        <v>3580391.36363636</v>
      </c>
    </row>
    <row r="99" customFormat="false" ht="15" hidden="false" customHeight="true" outlineLevel="0" collapsed="false">
      <c r="B99" s="40" t="s">
        <v>714</v>
      </c>
      <c r="C99" s="12" t="s">
        <v>136</v>
      </c>
      <c r="D99" s="30" t="n">
        <f aca="false">SUM(E99:L99)</f>
        <v>18904466.4</v>
      </c>
      <c r="E99" s="30" t="n">
        <f aca="false">E$92*E$98</f>
        <v>2363058.3</v>
      </c>
      <c r="F99" s="30" t="n">
        <f aca="false">F$92*F$98</f>
        <v>2363058.3</v>
      </c>
      <c r="G99" s="30" t="n">
        <f aca="false">G$92*G$98</f>
        <v>2363058.3</v>
      </c>
      <c r="H99" s="30" t="n">
        <f aca="false">H$92*H$98</f>
        <v>2363058.3</v>
      </c>
      <c r="I99" s="30" t="n">
        <f aca="false">I$92*I$98</f>
        <v>2363058.3</v>
      </c>
      <c r="J99" s="30" t="n">
        <f aca="false">J$92*J$98</f>
        <v>2363058.3</v>
      </c>
      <c r="K99" s="30" t="n">
        <f aca="false">K$92*K$98</f>
        <v>2363058.3</v>
      </c>
      <c r="L99" s="30" t="n">
        <f aca="false">L$92*L$98</f>
        <v>2363058.3</v>
      </c>
    </row>
    <row r="100" customFormat="false" ht="15" hidden="false" customHeight="true" outlineLevel="0" collapsed="false">
      <c r="B100" s="40" t="s">
        <v>715</v>
      </c>
      <c r="C100" s="12" t="s">
        <v>136</v>
      </c>
      <c r="D100" s="30" t="n">
        <f aca="false">SUM(E100:L100)</f>
        <v>4010038.32727273</v>
      </c>
      <c r="E100" s="30" t="n">
        <f aca="false">E$93*E$98</f>
        <v>501254.790909091</v>
      </c>
      <c r="F100" s="30" t="n">
        <f aca="false">F$93*F$98</f>
        <v>501254.790909091</v>
      </c>
      <c r="G100" s="30" t="n">
        <f aca="false">G$93*G$98</f>
        <v>501254.790909091</v>
      </c>
      <c r="H100" s="30" t="n">
        <f aca="false">H$93*H$98</f>
        <v>501254.790909091</v>
      </c>
      <c r="I100" s="30" t="n">
        <f aca="false">I$93*I$98</f>
        <v>501254.790909091</v>
      </c>
      <c r="J100" s="30" t="n">
        <f aca="false">J$93*J$98</f>
        <v>501254.790909091</v>
      </c>
      <c r="K100" s="30" t="n">
        <f aca="false">K$93*K$98</f>
        <v>501254.790909091</v>
      </c>
      <c r="L100" s="30" t="n">
        <f aca="false">L$93*L$98</f>
        <v>501254.790909091</v>
      </c>
    </row>
    <row r="101" customFormat="false" ht="15" hidden="false" customHeight="true" outlineLevel="0" collapsed="false">
      <c r="B101" s="40" t="s">
        <v>716</v>
      </c>
      <c r="C101" s="12" t="s">
        <v>136</v>
      </c>
      <c r="D101" s="30" t="n">
        <f aca="false">SUM(E101:L101)</f>
        <v>3591272.72727273</v>
      </c>
      <c r="E101" s="30" t="n">
        <f aca="false">E$94/E$91</f>
        <v>448909.090909091</v>
      </c>
      <c r="F101" s="30" t="n">
        <f aca="false">F$94/F$91</f>
        <v>448909.090909091</v>
      </c>
      <c r="G101" s="30" t="n">
        <f aca="false">G$94/G$91</f>
        <v>448909.090909091</v>
      </c>
      <c r="H101" s="30" t="n">
        <f aca="false">H$94/H$91</f>
        <v>448909.090909091</v>
      </c>
      <c r="I101" s="30" t="n">
        <f aca="false">I$94/I$91</f>
        <v>448909.090909091</v>
      </c>
      <c r="J101" s="30" t="n">
        <f aca="false">J$94/J$91</f>
        <v>448909.090909091</v>
      </c>
      <c r="K101" s="30" t="n">
        <f aca="false">K$94/K$91</f>
        <v>448909.090909091</v>
      </c>
      <c r="L101" s="30" t="n">
        <f aca="false">L$94/L$91</f>
        <v>448909.090909091</v>
      </c>
    </row>
    <row r="102" customFormat="false" ht="15" hidden="false" customHeight="true" outlineLevel="0" collapsed="false">
      <c r="B102" s="40" t="s">
        <v>717</v>
      </c>
      <c r="C102" s="12" t="s">
        <v>136</v>
      </c>
      <c r="D102" s="30" t="n">
        <f aca="false">SUM(E102:L102)</f>
        <v>1636363.63636364</v>
      </c>
      <c r="E102" s="30" t="n">
        <f aca="false">E$95/E$91</f>
        <v>204545.454545455</v>
      </c>
      <c r="F102" s="30" t="n">
        <f aca="false">F$95/F$91</f>
        <v>204545.454545455</v>
      </c>
      <c r="G102" s="30" t="n">
        <f aca="false">G$95/G$91</f>
        <v>204545.454545455</v>
      </c>
      <c r="H102" s="30" t="n">
        <f aca="false">H$95/H$91</f>
        <v>204545.454545455</v>
      </c>
      <c r="I102" s="30" t="n">
        <f aca="false">I$95/I$91</f>
        <v>204545.454545455</v>
      </c>
      <c r="J102" s="30" t="n">
        <f aca="false">J$95/J$91</f>
        <v>204545.454545455</v>
      </c>
      <c r="K102" s="30" t="n">
        <f aca="false">K$95/K$91</f>
        <v>204545.454545455</v>
      </c>
      <c r="L102" s="30" t="n">
        <f aca="false">L$95/L$91</f>
        <v>204545.454545455</v>
      </c>
    </row>
    <row r="103" customFormat="false" ht="15" hidden="false" customHeight="true" outlineLevel="0" collapsed="false">
      <c r="B103" s="40" t="s">
        <v>718</v>
      </c>
      <c r="C103" s="12" t="s">
        <v>136</v>
      </c>
      <c r="D103" s="30" t="n">
        <f aca="false">SUM(E103:L103)</f>
        <v>500989.818181817</v>
      </c>
      <c r="E103" s="30" t="n">
        <f aca="false">(1-E$92-E$93)*E$98-E$101-E$102</f>
        <v>62623.7272727271</v>
      </c>
      <c r="F103" s="30" t="n">
        <f aca="false">(1-F$92-F$93)*F$98-F$101-F$102</f>
        <v>62623.7272727271</v>
      </c>
      <c r="G103" s="30" t="n">
        <f aca="false">(1-G$92-G$93)*G$98-G$101-G$102</f>
        <v>62623.7272727271</v>
      </c>
      <c r="H103" s="30" t="n">
        <f aca="false">(1-H$92-H$93)*H$98-H$101-H$102</f>
        <v>62623.7272727271</v>
      </c>
      <c r="I103" s="30" t="n">
        <f aca="false">(1-I$92-I$93)*I$98-I$101-I$102</f>
        <v>62623.7272727271</v>
      </c>
      <c r="J103" s="30" t="n">
        <f aca="false">(1-J$92-J$93)*J$98-J$101-J$102</f>
        <v>62623.7272727271</v>
      </c>
      <c r="K103" s="30" t="n">
        <f aca="false">(1-K$92-K$93)*K$98-K$101-K$102</f>
        <v>62623.7272727271</v>
      </c>
      <c r="L103" s="30" t="n">
        <f aca="false">(1-L$92-L$93)*L$98-L$101-L$102</f>
        <v>62623.7272727271</v>
      </c>
    </row>
    <row r="104" customFormat="false" ht="15" hidden="false" customHeight="true" outlineLevel="0" collapsed="false">
      <c r="B104" s="40" t="s">
        <v>719</v>
      </c>
      <c r="C104" s="12" t="s">
        <v>136</v>
      </c>
      <c r="D104" s="30" t="n">
        <f aca="false">SUM(E104:L104)</f>
        <v>32203688</v>
      </c>
      <c r="E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  <c r="F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  <c r="G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  <c r="H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  <c r="I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  <c r="J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  <c r="K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  <c r="L104" s="30" t="n">
        <f aca="false">TRAIN_CAP_TOTAL_YM1+TRAIN_CAP_TOTAL_Y0+TRAIN_CAP_TOTAL_Y1+TRAIN_CAP_TOTAL_Y2+TRAIN_CAP_TOTAL_Y3+TRAIN_CAP_TOTAL_Y4+TRAIN_CAP_TOTAL_Y5+TRAIN_CAP_TOTAL_Y6+TRAIN_REC_TOTAL_YM1+TRAIN_REC_TOTAL_Y0+TRAIN_REC_TOTAL_Y1+TRAIN_REC_TOTAL_Y2+TRAIN_REC_TOTAL_Y3+TRAIN_REC_TOTAL_Y4+TRAIN_REC_TOTAL_Y5+TRAIN_REC_TOTAL_Y6+GEN_A_CAP_TOTAL_YM1+GEN_A_CAP_TOTAL_Y0+GEN_A_CAP_TOTAL_Y1+GEN_A_CAP_TOTAL_Y2+GEN_A_CAP_TOTAL_Y3+GEN_A_CAP_TOTAL_Y4+GEN_A_CAP_TOTAL_Y5+GEN_A_CAP_TOTAL_Y6+GEN_A_OPEX_TOTAL_YM1+GEN_A_OPEX_TOTAL_Y0+GEN_A_OPEX_TOTAL_Y1+GEN_A_OPEX_TOTAL_Y2+GEN_A_OPEX_TOTAL_Y3+GEN_A_OPEX_TOTAL_Y4+GEN_A_OPEX_TOTAL_Y5+GEN_A_OPEX_TOTAL_Y6+GEN_B_CAP_TOTAL_YM1+GEN_B_CAP_TOTAL_Y0+GEN_B_CAP_TOTAL_Y1+GEN_B_CAP_TOTAL_Y2+GEN_B_CAP_TOTAL_Y3+GEN_B_CAP_TOTAL_Y4+GEN_B_CAP_TOTAL_Y5+GEN_B_CAP_TOTAL_Y6+GEN_B_OPEX_TOTAL_YM1+GEN_B_OPEX_TOTAL_Y0+GEN_B_OPEX_TOTAL_Y1+GEN_B_OPEX_TOTAL_Y2+GEN_B_OPEX_TOTAL_Y3+GEN_B_OPEX_TOTAL_Y4+GEN_B_OPEX_TOTAL_Y5+GEN_B_OPEX_TOTAL_Y6</f>
        <v>4025461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720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385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23" t="s">
        <v>721</v>
      </c>
      <c r="C7" s="12" t="s">
        <v>136</v>
      </c>
      <c r="D7" s="24" t="n">
        <f aca="false">SUM(E7:L7)</f>
        <v>8072640.45</v>
      </c>
      <c r="E7" s="24" t="n">
        <f aca="false">E17+E27+E35+E42</f>
        <v>0</v>
      </c>
      <c r="F7" s="24" t="n">
        <f aca="false">F17+F27+F35+F42</f>
        <v>0</v>
      </c>
      <c r="G7" s="24" t="n">
        <f aca="false">G17+G27+G35+G42</f>
        <v>627001.2</v>
      </c>
      <c r="H7" s="24" t="n">
        <f aca="false">H17+H27+H35+H42</f>
        <v>1175627.25</v>
      </c>
      <c r="I7" s="24" t="n">
        <f aca="false">I17+I27+I35+I42</f>
        <v>1567503</v>
      </c>
      <c r="J7" s="24" t="n">
        <f aca="false">J17+J27+J35+J42</f>
        <v>1567503</v>
      </c>
      <c r="K7" s="24" t="n">
        <f aca="false">K17+K27+K35+K42</f>
        <v>1567503</v>
      </c>
      <c r="L7" s="24" t="n">
        <f aca="false">L17+L27+L35+L42</f>
        <v>1567503</v>
      </c>
    </row>
    <row r="8" customFormat="false" ht="15" hidden="false" customHeight="true" outlineLevel="0" collapsed="false">
      <c r="B8" s="23" t="s">
        <v>722</v>
      </c>
      <c r="C8" s="12" t="s">
        <v>136</v>
      </c>
      <c r="D8" s="24" t="n">
        <f aca="false">SUM(E8:L8)</f>
        <v>0</v>
      </c>
      <c r="E8" s="24" t="n">
        <f aca="false">E45</f>
        <v>0</v>
      </c>
      <c r="F8" s="24" t="n">
        <f aca="false">F45</f>
        <v>0</v>
      </c>
      <c r="G8" s="24" t="n">
        <f aca="false">G45</f>
        <v>0</v>
      </c>
      <c r="H8" s="24" t="n">
        <f aca="false">H45</f>
        <v>0</v>
      </c>
      <c r="I8" s="24" t="n">
        <f aca="false">I45</f>
        <v>0</v>
      </c>
      <c r="J8" s="24" t="n">
        <f aca="false">J45</f>
        <v>0</v>
      </c>
      <c r="K8" s="24" t="n">
        <f aca="false">K45</f>
        <v>0</v>
      </c>
      <c r="L8" s="24" t="n">
        <f aca="false">L45</f>
        <v>0</v>
      </c>
    </row>
    <row r="9" customFormat="false" ht="15" hidden="false" customHeight="true" outlineLevel="0" collapsed="false">
      <c r="B9" s="23" t="s">
        <v>723</v>
      </c>
      <c r="C9" s="12" t="s">
        <v>136</v>
      </c>
      <c r="D9" s="24" t="n">
        <f aca="false">SUM(E9:L9)</f>
        <v>0</v>
      </c>
      <c r="E9" s="24" t="n">
        <f aca="false">E48</f>
        <v>0</v>
      </c>
      <c r="F9" s="24" t="n">
        <f aca="false">F48</f>
        <v>0</v>
      </c>
      <c r="G9" s="24" t="n">
        <f aca="false">G48</f>
        <v>0</v>
      </c>
      <c r="H9" s="24" t="n">
        <f aca="false">H48</f>
        <v>0</v>
      </c>
      <c r="I9" s="24" t="n">
        <f aca="false">I48</f>
        <v>0</v>
      </c>
      <c r="J9" s="24" t="n">
        <f aca="false">J48</f>
        <v>0</v>
      </c>
      <c r="K9" s="24" t="n">
        <f aca="false">K48</f>
        <v>0</v>
      </c>
      <c r="L9" s="24" t="n">
        <f aca="false">L48</f>
        <v>0</v>
      </c>
    </row>
    <row r="10" customFormat="false" ht="15" hidden="false" customHeight="true" outlineLevel="0" collapsed="false">
      <c r="B10" s="25" t="s">
        <v>724</v>
      </c>
      <c r="C10" s="12" t="s">
        <v>136</v>
      </c>
      <c r="D10" s="27" t="n">
        <f aca="false">SUM(D7:D9)</f>
        <v>8072640.45</v>
      </c>
      <c r="E10" s="27" t="n">
        <f aca="false">SUM(E7:E9)</f>
        <v>0</v>
      </c>
      <c r="F10" s="27" t="n">
        <f aca="false">SUM(F7:F9)</f>
        <v>0</v>
      </c>
      <c r="G10" s="27" t="n">
        <f aca="false">SUM(G7:G9)</f>
        <v>627001.2</v>
      </c>
      <c r="H10" s="27" t="n">
        <f aca="false">SUM(H7:H9)</f>
        <v>1175627.25</v>
      </c>
      <c r="I10" s="27" t="n">
        <f aca="false">SUM(I7:I9)</f>
        <v>1567503</v>
      </c>
      <c r="J10" s="27" t="n">
        <f aca="false">SUM(J7:J9)</f>
        <v>1567503</v>
      </c>
      <c r="K10" s="27" t="n">
        <f aca="false">SUM(K7:K9)</f>
        <v>1567503</v>
      </c>
      <c r="L10" s="27" t="n">
        <f aca="false">SUM(L7:L9)</f>
        <v>1567503</v>
      </c>
    </row>
    <row r="11" customFormat="false" ht="15" hidden="false" customHeight="true" outlineLevel="0" collapsed="false"/>
    <row r="12" customFormat="false" ht="15" hidden="false" customHeight="true" outlineLevel="0" collapsed="false">
      <c r="B12" s="4" t="s">
        <v>725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true" outlineLevel="0" collapsed="false">
      <c r="B13" s="50" t="s">
        <v>726</v>
      </c>
      <c r="C13" s="12" t="s">
        <v>727</v>
      </c>
      <c r="D13" s="51" t="n">
        <f aca="false">SUM(E13:L13)</f>
        <v>720</v>
      </c>
      <c r="E13" s="51" t="n">
        <f aca="false">ASM_A01_N_FARMS*ASM_E08_N_COWS_DAIRY_PER_FARM</f>
        <v>90</v>
      </c>
      <c r="F13" s="51" t="n">
        <f aca="false">ASM_A01_N_FARMS*ASM_E08_N_COWS_DAIRY_PER_FARM</f>
        <v>90</v>
      </c>
      <c r="G13" s="51" t="n">
        <f aca="false">ASM_A01_N_FARMS*ASM_E08_N_COWS_DAIRY_PER_FARM</f>
        <v>90</v>
      </c>
      <c r="H13" s="51" t="n">
        <f aca="false">ASM_A01_N_FARMS*ASM_E08_N_COWS_DAIRY_PER_FARM</f>
        <v>90</v>
      </c>
      <c r="I13" s="51" t="n">
        <f aca="false">ASM_A01_N_FARMS*ASM_E08_N_COWS_DAIRY_PER_FARM</f>
        <v>90</v>
      </c>
      <c r="J13" s="51" t="n">
        <f aca="false">ASM_A01_N_FARMS*ASM_E08_N_COWS_DAIRY_PER_FARM</f>
        <v>90</v>
      </c>
      <c r="K13" s="51" t="n">
        <f aca="false">ASM_A01_N_FARMS*ASM_E08_N_COWS_DAIRY_PER_FARM</f>
        <v>90</v>
      </c>
      <c r="L13" s="51" t="n">
        <f aca="false">ASM_A01_N_FARMS*ASM_E08_N_COWS_DAIRY_PER_FARM</f>
        <v>90</v>
      </c>
    </row>
    <row r="14" customFormat="false" ht="15" hidden="false" customHeight="true" outlineLevel="0" collapsed="false">
      <c r="B14" s="50" t="s">
        <v>728</v>
      </c>
      <c r="C14" s="12" t="s">
        <v>729</v>
      </c>
      <c r="D14" s="51" t="n">
        <f aca="false">SUM(E14:L14)</f>
        <v>44800</v>
      </c>
      <c r="E14" s="51" t="n">
        <f aca="false">ASM_E09_YIELD_DAIRY_L_PER_COW</f>
        <v>5600</v>
      </c>
      <c r="F14" s="51" t="n">
        <f aca="false">ASM_E09_YIELD_DAIRY_L_PER_COW</f>
        <v>5600</v>
      </c>
      <c r="G14" s="51" t="n">
        <f aca="false">ASM_E09_YIELD_DAIRY_L_PER_COW</f>
        <v>5600</v>
      </c>
      <c r="H14" s="51" t="n">
        <f aca="false">ASM_E09_YIELD_DAIRY_L_PER_COW</f>
        <v>5600</v>
      </c>
      <c r="I14" s="51" t="n">
        <f aca="false">ASM_E09_YIELD_DAIRY_L_PER_COW</f>
        <v>5600</v>
      </c>
      <c r="J14" s="51" t="n">
        <f aca="false">ASM_E09_YIELD_DAIRY_L_PER_COW</f>
        <v>5600</v>
      </c>
      <c r="K14" s="51" t="n">
        <f aca="false">ASM_E09_YIELD_DAIRY_L_PER_COW</f>
        <v>5600</v>
      </c>
      <c r="L14" s="51" t="n">
        <f aca="false">ASM_E09_YIELD_DAIRY_L_PER_COW</f>
        <v>5600</v>
      </c>
    </row>
    <row r="15" customFormat="false" ht="15" hidden="false" customHeight="true" outlineLevel="0" collapsed="false">
      <c r="B15" s="50" t="s">
        <v>730</v>
      </c>
      <c r="C15" s="12" t="s">
        <v>731</v>
      </c>
      <c r="D15" s="51" t="n">
        <f aca="false">SUM(E15:L15)</f>
        <v>4032000</v>
      </c>
      <c r="E15" s="51" t="n">
        <f aca="false">E13*E14</f>
        <v>504000</v>
      </c>
      <c r="F15" s="51" t="n">
        <f aca="false">F13*F14</f>
        <v>504000</v>
      </c>
      <c r="G15" s="51" t="n">
        <f aca="false">G13*G14</f>
        <v>504000</v>
      </c>
      <c r="H15" s="51" t="n">
        <f aca="false">H13*H14</f>
        <v>504000</v>
      </c>
      <c r="I15" s="51" t="n">
        <f aca="false">I13*I14</f>
        <v>504000</v>
      </c>
      <c r="J15" s="51" t="n">
        <f aca="false">J13*J14</f>
        <v>504000</v>
      </c>
      <c r="K15" s="51" t="n">
        <f aca="false">K13*K14</f>
        <v>504000</v>
      </c>
      <c r="L15" s="51" t="n">
        <f aca="false">L13*L14</f>
        <v>504000</v>
      </c>
    </row>
    <row r="16" customFormat="false" ht="15" hidden="false" customHeight="true" outlineLevel="0" collapsed="false">
      <c r="B16" s="50" t="s">
        <v>732</v>
      </c>
      <c r="C16" s="12" t="s">
        <v>159</v>
      </c>
      <c r="D16" s="52" t="n">
        <f aca="false">SUM(E16:L16)</f>
        <v>2.8</v>
      </c>
      <c r="E16" s="52" t="n">
        <f aca="false">ASM_E16_PRICE_DAIRY_EUR_PER_L</f>
        <v>0.35</v>
      </c>
      <c r="F16" s="52" t="n">
        <f aca="false">ASM_E16_PRICE_DAIRY_EUR_PER_L</f>
        <v>0.35</v>
      </c>
      <c r="G16" s="52" t="n">
        <f aca="false">ASM_E16_PRICE_DAIRY_EUR_PER_L</f>
        <v>0.35</v>
      </c>
      <c r="H16" s="52" t="n">
        <f aca="false">ASM_E16_PRICE_DAIRY_EUR_PER_L</f>
        <v>0.35</v>
      </c>
      <c r="I16" s="52" t="n">
        <f aca="false">ASM_E16_PRICE_DAIRY_EUR_PER_L</f>
        <v>0.35</v>
      </c>
      <c r="J16" s="52" t="n">
        <f aca="false">ASM_E16_PRICE_DAIRY_EUR_PER_L</f>
        <v>0.35</v>
      </c>
      <c r="K16" s="52" t="n">
        <f aca="false">ASM_E16_PRICE_DAIRY_EUR_PER_L</f>
        <v>0.35</v>
      </c>
      <c r="L16" s="52" t="n">
        <f aca="false">ASM_E16_PRICE_DAIRY_EUR_PER_L</f>
        <v>0.35</v>
      </c>
    </row>
    <row r="17" customFormat="false" ht="15" hidden="false" customHeight="true" outlineLevel="0" collapsed="false">
      <c r="B17" s="53" t="s">
        <v>733</v>
      </c>
      <c r="C17" s="12" t="s">
        <v>734</v>
      </c>
      <c r="D17" s="24" t="n">
        <f aca="false">SUM(E17:L17)</f>
        <v>908460</v>
      </c>
      <c r="E17" s="24" t="n">
        <f aca="false">E15*E16*IF(E$4=ASM_A04_COD_YEAR,ASM_E20_RAMP_Y1_PCT,IF(E$4=ASM_A04_COD_YEAR+1,ASM_E21_RAMP_Y2_PCT,IF(E$4&gt;ASM_A04_COD_YEAR+1,1,0)))</f>
        <v>0</v>
      </c>
      <c r="F17" s="24" t="n">
        <f aca="false">F15*F16*IF(F$4=ASM_A04_COD_YEAR,ASM_E20_RAMP_Y1_PCT,IF(F$4=ASM_A04_COD_YEAR+1,ASM_E21_RAMP_Y2_PCT,IF(F$4&gt;ASM_A04_COD_YEAR+1,1,0)))</f>
        <v>0</v>
      </c>
      <c r="G17" s="24" t="n">
        <f aca="false">G15*G16*IF(G$4=ASM_A04_COD_YEAR,ASM_E20_RAMP_Y1_PCT,IF(G$4=ASM_A04_COD_YEAR+1,ASM_E21_RAMP_Y2_PCT,IF(G$4&gt;ASM_A04_COD_YEAR+1,1,0)))</f>
        <v>70560</v>
      </c>
      <c r="H17" s="24" t="n">
        <f aca="false">H15*H16*IF(H$4=ASM_A04_COD_YEAR,ASM_E20_RAMP_Y1_PCT,IF(H$4=ASM_A04_COD_YEAR+1,ASM_E21_RAMP_Y2_PCT,IF(H$4&gt;ASM_A04_COD_YEAR+1,1,0)))</f>
        <v>132300</v>
      </c>
      <c r="I17" s="24" t="n">
        <f aca="false">I15*I16*IF(I$4=ASM_A04_COD_YEAR,ASM_E20_RAMP_Y1_PCT,IF(I$4=ASM_A04_COD_YEAR+1,ASM_E21_RAMP_Y2_PCT,IF(I$4&gt;ASM_A04_COD_YEAR+1,1,0)))</f>
        <v>176400</v>
      </c>
      <c r="J17" s="24" t="n">
        <f aca="false">J15*J16*IF(J$4=ASM_A04_COD_YEAR,ASM_E20_RAMP_Y1_PCT,IF(J$4=ASM_A04_COD_YEAR+1,ASM_E21_RAMP_Y2_PCT,IF(J$4&gt;ASM_A04_COD_YEAR+1,1,0)))</f>
        <v>176400</v>
      </c>
      <c r="K17" s="24" t="n">
        <f aca="false">K15*K16*IF(K$4=ASM_A04_COD_YEAR,ASM_E20_RAMP_Y1_PCT,IF(K$4=ASM_A04_COD_YEAR+1,ASM_E21_RAMP_Y2_PCT,IF(K$4&gt;ASM_A04_COD_YEAR+1,1,0)))</f>
        <v>176400</v>
      </c>
      <c r="L17" s="24" t="n">
        <f aca="false">L15*L16*IF(L$4=ASM_A04_COD_YEAR,ASM_E20_RAMP_Y1_PCT,IF(L$4=ASM_A04_COD_YEAR+1,ASM_E21_RAMP_Y2_PCT,IF(L$4&gt;ASM_A04_COD_YEAR+1,1,0)))</f>
        <v>176400</v>
      </c>
    </row>
    <row r="18" customFormat="false" ht="15" hidden="false" customHeight="true" outlineLevel="0" collapsed="false"/>
    <row r="19" customFormat="false" ht="15" hidden="false" customHeight="true" outlineLevel="0" collapsed="false">
      <c r="B19" s="4" t="s">
        <v>735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B20" s="50" t="s">
        <v>736</v>
      </c>
      <c r="C20" s="12" t="s">
        <v>727</v>
      </c>
      <c r="D20" s="51" t="n">
        <f aca="false">SUM(E20:L20)</f>
        <v>1800</v>
      </c>
      <c r="E20" s="51" t="n">
        <f aca="false">ASM_A01_N_FARMS*ASM_E10_N_BEEF_STOCK_PER_FARM</f>
        <v>225</v>
      </c>
      <c r="F20" s="51" t="n">
        <f aca="false">ASM_A01_N_FARMS*ASM_E10_N_BEEF_STOCK_PER_FARM</f>
        <v>225</v>
      </c>
      <c r="G20" s="51" t="n">
        <f aca="false">ASM_A01_N_FARMS*ASM_E10_N_BEEF_STOCK_PER_FARM</f>
        <v>225</v>
      </c>
      <c r="H20" s="51" t="n">
        <f aca="false">ASM_A01_N_FARMS*ASM_E10_N_BEEF_STOCK_PER_FARM</f>
        <v>225</v>
      </c>
      <c r="I20" s="51" t="n">
        <f aca="false">ASM_A01_N_FARMS*ASM_E10_N_BEEF_STOCK_PER_FARM</f>
        <v>225</v>
      </c>
      <c r="J20" s="51" t="n">
        <f aca="false">ASM_A01_N_FARMS*ASM_E10_N_BEEF_STOCK_PER_FARM</f>
        <v>225</v>
      </c>
      <c r="K20" s="51" t="n">
        <f aca="false">ASM_A01_N_FARMS*ASM_E10_N_BEEF_STOCK_PER_FARM</f>
        <v>225</v>
      </c>
      <c r="L20" s="51" t="n">
        <f aca="false">ASM_A01_N_FARMS*ASM_E10_N_BEEF_STOCK_PER_FARM</f>
        <v>225</v>
      </c>
    </row>
    <row r="21" customFormat="false" ht="15" hidden="false" customHeight="true" outlineLevel="0" collapsed="false">
      <c r="B21" s="50" t="s">
        <v>737</v>
      </c>
      <c r="C21" s="12" t="s">
        <v>738</v>
      </c>
      <c r="D21" s="54" t="n">
        <f aca="false">SUM(E21:L21)</f>
        <v>6.4</v>
      </c>
      <c r="E21" s="54" t="n">
        <f aca="false">ASM_E11_OFFTAKE_RATE_BEEF</f>
        <v>0.8</v>
      </c>
      <c r="F21" s="54" t="n">
        <f aca="false">ASM_E11_OFFTAKE_RATE_BEEF</f>
        <v>0.8</v>
      </c>
      <c r="G21" s="54" t="n">
        <f aca="false">ASM_E11_OFFTAKE_RATE_BEEF</f>
        <v>0.8</v>
      </c>
      <c r="H21" s="54" t="n">
        <f aca="false">ASM_E11_OFFTAKE_RATE_BEEF</f>
        <v>0.8</v>
      </c>
      <c r="I21" s="54" t="n">
        <f aca="false">ASM_E11_OFFTAKE_RATE_BEEF</f>
        <v>0.8</v>
      </c>
      <c r="J21" s="54" t="n">
        <f aca="false">ASM_E11_OFFTAKE_RATE_BEEF</f>
        <v>0.8</v>
      </c>
      <c r="K21" s="54" t="n">
        <f aca="false">ASM_E11_OFFTAKE_RATE_BEEF</f>
        <v>0.8</v>
      </c>
      <c r="L21" s="54" t="n">
        <f aca="false">ASM_E11_OFFTAKE_RATE_BEEF</f>
        <v>0.8</v>
      </c>
    </row>
    <row r="22" customFormat="false" ht="15" hidden="false" customHeight="true" outlineLevel="0" collapsed="false">
      <c r="B22" s="50" t="s">
        <v>739</v>
      </c>
      <c r="C22" s="12" t="s">
        <v>727</v>
      </c>
      <c r="D22" s="51" t="n">
        <f aca="false">SUM(E22:L22)</f>
        <v>1440</v>
      </c>
      <c r="E22" s="51" t="n">
        <f aca="false">E20*E21</f>
        <v>180</v>
      </c>
      <c r="F22" s="51" t="n">
        <f aca="false">F20*F21</f>
        <v>180</v>
      </c>
      <c r="G22" s="51" t="n">
        <f aca="false">G20*G21</f>
        <v>180</v>
      </c>
      <c r="H22" s="51" t="n">
        <f aca="false">H20*H21</f>
        <v>180</v>
      </c>
      <c r="I22" s="51" t="n">
        <f aca="false">I20*I21</f>
        <v>180</v>
      </c>
      <c r="J22" s="51" t="n">
        <f aca="false">J20*J21</f>
        <v>180</v>
      </c>
      <c r="K22" s="51" t="n">
        <f aca="false">K20*K21</f>
        <v>180</v>
      </c>
      <c r="L22" s="51" t="n">
        <f aca="false">L20*L21</f>
        <v>180</v>
      </c>
    </row>
    <row r="23" customFormat="false" ht="15" hidden="false" customHeight="true" outlineLevel="0" collapsed="false">
      <c r="B23" s="50" t="s">
        <v>740</v>
      </c>
      <c r="C23" s="12" t="s">
        <v>741</v>
      </c>
      <c r="D23" s="51" t="n">
        <f aca="false">SUM(E23:L23)</f>
        <v>2240</v>
      </c>
      <c r="E23" s="51" t="n">
        <f aca="false">ASM_E12_LIVEWEIGHT_BEEF_KG</f>
        <v>280</v>
      </c>
      <c r="F23" s="51" t="n">
        <f aca="false">ASM_E12_LIVEWEIGHT_BEEF_KG</f>
        <v>280</v>
      </c>
      <c r="G23" s="51" t="n">
        <f aca="false">ASM_E12_LIVEWEIGHT_BEEF_KG</f>
        <v>280</v>
      </c>
      <c r="H23" s="51" t="n">
        <f aca="false">ASM_E12_LIVEWEIGHT_BEEF_KG</f>
        <v>280</v>
      </c>
      <c r="I23" s="51" t="n">
        <f aca="false">ASM_E12_LIVEWEIGHT_BEEF_KG</f>
        <v>280</v>
      </c>
      <c r="J23" s="51" t="n">
        <f aca="false">ASM_E12_LIVEWEIGHT_BEEF_KG</f>
        <v>280</v>
      </c>
      <c r="K23" s="51" t="n">
        <f aca="false">ASM_E12_LIVEWEIGHT_BEEF_KG</f>
        <v>280</v>
      </c>
      <c r="L23" s="51" t="n">
        <f aca="false">ASM_E12_LIVEWEIGHT_BEEF_KG</f>
        <v>280</v>
      </c>
    </row>
    <row r="24" customFormat="false" ht="15" hidden="false" customHeight="true" outlineLevel="0" collapsed="false">
      <c r="B24" s="50" t="s">
        <v>154</v>
      </c>
      <c r="C24" s="12" t="s">
        <v>63</v>
      </c>
      <c r="D24" s="54" t="n">
        <f aca="false">SUM(E24:L24)</f>
        <v>4.16</v>
      </c>
      <c r="E24" s="54" t="n">
        <f aca="false">ASM_E13_DRESSING_PCT_BEEF</f>
        <v>0.52</v>
      </c>
      <c r="F24" s="54" t="n">
        <f aca="false">ASM_E13_DRESSING_PCT_BEEF</f>
        <v>0.52</v>
      </c>
      <c r="G24" s="54" t="n">
        <f aca="false">ASM_E13_DRESSING_PCT_BEEF</f>
        <v>0.52</v>
      </c>
      <c r="H24" s="54" t="n">
        <f aca="false">ASM_E13_DRESSING_PCT_BEEF</f>
        <v>0.52</v>
      </c>
      <c r="I24" s="54" t="n">
        <f aca="false">ASM_E13_DRESSING_PCT_BEEF</f>
        <v>0.52</v>
      </c>
      <c r="J24" s="54" t="n">
        <f aca="false">ASM_E13_DRESSING_PCT_BEEF</f>
        <v>0.52</v>
      </c>
      <c r="K24" s="54" t="n">
        <f aca="false">ASM_E13_DRESSING_PCT_BEEF</f>
        <v>0.52</v>
      </c>
      <c r="L24" s="54" t="n">
        <f aca="false">ASM_E13_DRESSING_PCT_BEEF</f>
        <v>0.52</v>
      </c>
    </row>
    <row r="25" customFormat="false" ht="15" hidden="false" customHeight="true" outlineLevel="0" collapsed="false">
      <c r="B25" s="50" t="s">
        <v>742</v>
      </c>
      <c r="C25" s="12" t="s">
        <v>743</v>
      </c>
      <c r="D25" s="51" t="n">
        <f aca="false">SUM(E25:L25)</f>
        <v>209664</v>
      </c>
      <c r="E25" s="51" t="n">
        <f aca="false">E22*E23*E24</f>
        <v>26208</v>
      </c>
      <c r="F25" s="51" t="n">
        <f aca="false">F22*F23*F24</f>
        <v>26208</v>
      </c>
      <c r="G25" s="51" t="n">
        <f aca="false">G22*G23*G24</f>
        <v>26208</v>
      </c>
      <c r="H25" s="51" t="n">
        <f aca="false">H22*H23*H24</f>
        <v>26208</v>
      </c>
      <c r="I25" s="51" t="n">
        <f aca="false">I22*I23*I24</f>
        <v>26208</v>
      </c>
      <c r="J25" s="51" t="n">
        <f aca="false">J22*J23*J24</f>
        <v>26208</v>
      </c>
      <c r="K25" s="51" t="n">
        <f aca="false">K22*K23*K24</f>
        <v>26208</v>
      </c>
      <c r="L25" s="51" t="n">
        <f aca="false">L22*L23*L24</f>
        <v>26208</v>
      </c>
    </row>
    <row r="26" customFormat="false" ht="15" hidden="false" customHeight="true" outlineLevel="0" collapsed="false">
      <c r="B26" s="50" t="s">
        <v>744</v>
      </c>
      <c r="C26" s="12" t="s">
        <v>161</v>
      </c>
      <c r="D26" s="52" t="n">
        <f aca="false">SUM(E26:L26)</f>
        <v>28</v>
      </c>
      <c r="E26" s="52" t="n">
        <f aca="false">ASM_E17_PRICE_BEEF_EUR_PER_KG_CARC</f>
        <v>3.5</v>
      </c>
      <c r="F26" s="52" t="n">
        <f aca="false">ASM_E17_PRICE_BEEF_EUR_PER_KG_CARC</f>
        <v>3.5</v>
      </c>
      <c r="G26" s="52" t="n">
        <f aca="false">ASM_E17_PRICE_BEEF_EUR_PER_KG_CARC</f>
        <v>3.5</v>
      </c>
      <c r="H26" s="52" t="n">
        <f aca="false">ASM_E17_PRICE_BEEF_EUR_PER_KG_CARC</f>
        <v>3.5</v>
      </c>
      <c r="I26" s="52" t="n">
        <f aca="false">ASM_E17_PRICE_BEEF_EUR_PER_KG_CARC</f>
        <v>3.5</v>
      </c>
      <c r="J26" s="52" t="n">
        <f aca="false">ASM_E17_PRICE_BEEF_EUR_PER_KG_CARC</f>
        <v>3.5</v>
      </c>
      <c r="K26" s="52" t="n">
        <f aca="false">ASM_E17_PRICE_BEEF_EUR_PER_KG_CARC</f>
        <v>3.5</v>
      </c>
      <c r="L26" s="52" t="n">
        <f aca="false">ASM_E17_PRICE_BEEF_EUR_PER_KG_CARC</f>
        <v>3.5</v>
      </c>
    </row>
    <row r="27" customFormat="false" ht="15" hidden="false" customHeight="true" outlineLevel="0" collapsed="false">
      <c r="B27" s="53" t="s">
        <v>745</v>
      </c>
      <c r="C27" s="12" t="s">
        <v>734</v>
      </c>
      <c r="D27" s="24" t="n">
        <f aca="false">SUM(E27:L27)</f>
        <v>472399.2</v>
      </c>
      <c r="E27" s="24" t="n">
        <f aca="false">E25*E26*IF(E$4=ASM_A04_COD_YEAR,ASM_E20_RAMP_Y1_PCT,IF(E$4=ASM_A04_COD_YEAR+1,ASM_E21_RAMP_Y2_PCT,IF(E$4&gt;ASM_A04_COD_YEAR+1,1,0)))</f>
        <v>0</v>
      </c>
      <c r="F27" s="24" t="n">
        <f aca="false">F25*F26*IF(F$4=ASM_A04_COD_YEAR,ASM_E20_RAMP_Y1_PCT,IF(F$4=ASM_A04_COD_YEAR+1,ASM_E21_RAMP_Y2_PCT,IF(F$4&gt;ASM_A04_COD_YEAR+1,1,0)))</f>
        <v>0</v>
      </c>
      <c r="G27" s="24" t="n">
        <f aca="false">G25*G26*IF(G$4=ASM_A04_COD_YEAR,ASM_E20_RAMP_Y1_PCT,IF(G$4=ASM_A04_COD_YEAR+1,ASM_E21_RAMP_Y2_PCT,IF(G$4&gt;ASM_A04_COD_YEAR+1,1,0)))</f>
        <v>36691.2</v>
      </c>
      <c r="H27" s="24" t="n">
        <f aca="false">H25*H26*IF(H$4=ASM_A04_COD_YEAR,ASM_E20_RAMP_Y1_PCT,IF(H$4=ASM_A04_COD_YEAR+1,ASM_E21_RAMP_Y2_PCT,IF(H$4&gt;ASM_A04_COD_YEAR+1,1,0)))</f>
        <v>68796</v>
      </c>
      <c r="I27" s="24" t="n">
        <f aca="false">I25*I26*IF(I$4=ASM_A04_COD_YEAR,ASM_E20_RAMP_Y1_PCT,IF(I$4=ASM_A04_COD_YEAR+1,ASM_E21_RAMP_Y2_PCT,IF(I$4&gt;ASM_A04_COD_YEAR+1,1,0)))</f>
        <v>91728</v>
      </c>
      <c r="J27" s="24" t="n">
        <f aca="false">J25*J26*IF(J$4=ASM_A04_COD_YEAR,ASM_E20_RAMP_Y1_PCT,IF(J$4=ASM_A04_COD_YEAR+1,ASM_E21_RAMP_Y2_PCT,IF(J$4&gt;ASM_A04_COD_YEAR+1,1,0)))</f>
        <v>91728</v>
      </c>
      <c r="K27" s="24" t="n">
        <f aca="false">K25*K26*IF(K$4=ASM_A04_COD_YEAR,ASM_E20_RAMP_Y1_PCT,IF(K$4=ASM_A04_COD_YEAR+1,ASM_E21_RAMP_Y2_PCT,IF(K$4&gt;ASM_A04_COD_YEAR+1,1,0)))</f>
        <v>91728</v>
      </c>
      <c r="L27" s="24" t="n">
        <f aca="false">L25*L26*IF(L$4=ASM_A04_COD_YEAR,ASM_E20_RAMP_Y1_PCT,IF(L$4=ASM_A04_COD_YEAR+1,ASM_E21_RAMP_Y2_PCT,IF(L$4&gt;ASM_A04_COD_YEAR+1,1,0)))</f>
        <v>91728</v>
      </c>
    </row>
    <row r="28" customFormat="false" ht="15" hidden="false" customHeight="true" outlineLevel="0" collapsed="false"/>
    <row r="29" customFormat="false" ht="15" hidden="false" customHeight="true" outlineLevel="0" collapsed="false">
      <c r="B29" s="4" t="s">
        <v>746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true" outlineLevel="0" collapsed="false">
      <c r="B30" s="50" t="s">
        <v>747</v>
      </c>
      <c r="C30" s="12" t="s">
        <v>82</v>
      </c>
      <c r="D30" s="51" t="n">
        <f aca="false">SUM(E30:L30)</f>
        <v>600</v>
      </c>
      <c r="E30" s="51" t="n">
        <f aca="false">ASM_A01_N_FARMS*ASM_E04_SURFACE_MARAICHER_HA</f>
        <v>75</v>
      </c>
      <c r="F30" s="51" t="n">
        <f aca="false">ASM_A01_N_FARMS*ASM_E04_SURFACE_MARAICHER_HA</f>
        <v>75</v>
      </c>
      <c r="G30" s="51" t="n">
        <f aca="false">ASM_A01_N_FARMS*ASM_E04_SURFACE_MARAICHER_HA</f>
        <v>75</v>
      </c>
      <c r="H30" s="51" t="n">
        <f aca="false">ASM_A01_N_FARMS*ASM_E04_SURFACE_MARAICHER_HA</f>
        <v>75</v>
      </c>
      <c r="I30" s="51" t="n">
        <f aca="false">ASM_A01_N_FARMS*ASM_E04_SURFACE_MARAICHER_HA</f>
        <v>75</v>
      </c>
      <c r="J30" s="51" t="n">
        <f aca="false">ASM_A01_N_FARMS*ASM_E04_SURFACE_MARAICHER_HA</f>
        <v>75</v>
      </c>
      <c r="K30" s="51" t="n">
        <f aca="false">ASM_A01_N_FARMS*ASM_E04_SURFACE_MARAICHER_HA</f>
        <v>75</v>
      </c>
      <c r="L30" s="51" t="n">
        <f aca="false">ASM_A01_N_FARMS*ASM_E04_SURFACE_MARAICHER_HA</f>
        <v>75</v>
      </c>
    </row>
    <row r="31" customFormat="false" ht="15" hidden="false" customHeight="true" outlineLevel="0" collapsed="false">
      <c r="B31" s="50" t="s">
        <v>748</v>
      </c>
      <c r="C31" s="12" t="s">
        <v>156</v>
      </c>
      <c r="D31" s="55" t="n">
        <f aca="false">SUM(E31:L31)</f>
        <v>120</v>
      </c>
      <c r="E31" s="55" t="n">
        <f aca="false">ASM_E15_YIELD_MARAICH_T_PER_HA</f>
        <v>15</v>
      </c>
      <c r="F31" s="55" t="n">
        <f aca="false">ASM_E15_YIELD_MARAICH_T_PER_HA</f>
        <v>15</v>
      </c>
      <c r="G31" s="55" t="n">
        <f aca="false">ASM_E15_YIELD_MARAICH_T_PER_HA</f>
        <v>15</v>
      </c>
      <c r="H31" s="55" t="n">
        <f aca="false">ASM_E15_YIELD_MARAICH_T_PER_HA</f>
        <v>15</v>
      </c>
      <c r="I31" s="55" t="n">
        <f aca="false">ASM_E15_YIELD_MARAICH_T_PER_HA</f>
        <v>15</v>
      </c>
      <c r="J31" s="55" t="n">
        <f aca="false">ASM_E15_YIELD_MARAICH_T_PER_HA</f>
        <v>15</v>
      </c>
      <c r="K31" s="55" t="n">
        <f aca="false">ASM_E15_YIELD_MARAICH_T_PER_HA</f>
        <v>15</v>
      </c>
      <c r="L31" s="55" t="n">
        <f aca="false">ASM_E15_YIELD_MARAICH_T_PER_HA</f>
        <v>15</v>
      </c>
    </row>
    <row r="32" customFormat="false" ht="15" hidden="false" customHeight="true" outlineLevel="0" collapsed="false">
      <c r="B32" s="50" t="s">
        <v>749</v>
      </c>
      <c r="C32" s="12" t="s">
        <v>750</v>
      </c>
      <c r="D32" s="51" t="n">
        <f aca="false">SUM(E32:L32)</f>
        <v>24</v>
      </c>
      <c r="E32" s="51" t="n">
        <f aca="false">ASM_E07_N_CYCLES_MARAICHER</f>
        <v>3</v>
      </c>
      <c r="F32" s="51" t="n">
        <f aca="false">ASM_E07_N_CYCLES_MARAICHER</f>
        <v>3</v>
      </c>
      <c r="G32" s="51" t="n">
        <f aca="false">ASM_E07_N_CYCLES_MARAICHER</f>
        <v>3</v>
      </c>
      <c r="H32" s="51" t="n">
        <f aca="false">ASM_E07_N_CYCLES_MARAICHER</f>
        <v>3</v>
      </c>
      <c r="I32" s="51" t="n">
        <f aca="false">ASM_E07_N_CYCLES_MARAICHER</f>
        <v>3</v>
      </c>
      <c r="J32" s="51" t="n">
        <f aca="false">ASM_E07_N_CYCLES_MARAICHER</f>
        <v>3</v>
      </c>
      <c r="K32" s="51" t="n">
        <f aca="false">ASM_E07_N_CYCLES_MARAICHER</f>
        <v>3</v>
      </c>
      <c r="L32" s="51" t="n">
        <f aca="false">ASM_E07_N_CYCLES_MARAICHER</f>
        <v>3</v>
      </c>
    </row>
    <row r="33" customFormat="false" ht="15" hidden="false" customHeight="true" outlineLevel="0" collapsed="false">
      <c r="B33" s="50" t="s">
        <v>751</v>
      </c>
      <c r="C33" s="12" t="s">
        <v>752</v>
      </c>
      <c r="D33" s="51" t="n">
        <f aca="false">SUM(E33:L33)</f>
        <v>27000</v>
      </c>
      <c r="E33" s="51" t="n">
        <f aca="false">E30*E31*E32</f>
        <v>3375</v>
      </c>
      <c r="F33" s="51" t="n">
        <f aca="false">F30*F31*F32</f>
        <v>3375</v>
      </c>
      <c r="G33" s="51" t="n">
        <f aca="false">G30*G31*G32</f>
        <v>3375</v>
      </c>
      <c r="H33" s="51" t="n">
        <f aca="false">H30*H31*H32</f>
        <v>3375</v>
      </c>
      <c r="I33" s="51" t="n">
        <f aca="false">I30*I31*I32</f>
        <v>3375</v>
      </c>
      <c r="J33" s="51" t="n">
        <f aca="false">J30*J31*J32</f>
        <v>3375</v>
      </c>
      <c r="K33" s="51" t="n">
        <f aca="false">K30*K31*K32</f>
        <v>3375</v>
      </c>
      <c r="L33" s="51" t="n">
        <f aca="false">L30*L31*L32</f>
        <v>3375</v>
      </c>
    </row>
    <row r="34" customFormat="false" ht="15" hidden="false" customHeight="true" outlineLevel="0" collapsed="false">
      <c r="B34" s="50" t="s">
        <v>753</v>
      </c>
      <c r="C34" s="12" t="s">
        <v>163</v>
      </c>
      <c r="D34" s="51" t="n">
        <f aca="false">SUM(E34:L34)</f>
        <v>2888</v>
      </c>
      <c r="E34" s="51" t="n">
        <f aca="false">ASM_E19_PRICE_MARAICH_EUR_PER_T</f>
        <v>361</v>
      </c>
      <c r="F34" s="51" t="n">
        <f aca="false">ASM_E19_PRICE_MARAICH_EUR_PER_T</f>
        <v>361</v>
      </c>
      <c r="G34" s="51" t="n">
        <f aca="false">ASM_E19_PRICE_MARAICH_EUR_PER_T</f>
        <v>361</v>
      </c>
      <c r="H34" s="51" t="n">
        <f aca="false">ASM_E19_PRICE_MARAICH_EUR_PER_T</f>
        <v>361</v>
      </c>
      <c r="I34" s="51" t="n">
        <f aca="false">ASM_E19_PRICE_MARAICH_EUR_PER_T</f>
        <v>361</v>
      </c>
      <c r="J34" s="51" t="n">
        <f aca="false">ASM_E19_PRICE_MARAICH_EUR_PER_T</f>
        <v>361</v>
      </c>
      <c r="K34" s="51" t="n">
        <f aca="false">ASM_E19_PRICE_MARAICH_EUR_PER_T</f>
        <v>361</v>
      </c>
      <c r="L34" s="51" t="n">
        <f aca="false">ASM_E19_PRICE_MARAICH_EUR_PER_T</f>
        <v>361</v>
      </c>
    </row>
    <row r="35" customFormat="false" ht="15" hidden="false" customHeight="true" outlineLevel="0" collapsed="false">
      <c r="B35" s="53" t="s">
        <v>754</v>
      </c>
      <c r="C35" s="12" t="s">
        <v>734</v>
      </c>
      <c r="D35" s="24" t="n">
        <f aca="false">SUM(E35:L35)</f>
        <v>6274631.25</v>
      </c>
      <c r="E35" s="24" t="n">
        <f aca="false">E33*E34*IF(E$4=ASM_A04_COD_YEAR,ASM_E20_RAMP_Y1_PCT,IF(E$4=ASM_A04_COD_YEAR+1,ASM_E21_RAMP_Y2_PCT,IF(E$4&gt;ASM_A04_COD_YEAR+1,1,0)))</f>
        <v>0</v>
      </c>
      <c r="F35" s="24" t="n">
        <f aca="false">F33*F34*IF(F$4=ASM_A04_COD_YEAR,ASM_E20_RAMP_Y1_PCT,IF(F$4=ASM_A04_COD_YEAR+1,ASM_E21_RAMP_Y2_PCT,IF(F$4&gt;ASM_A04_COD_YEAR+1,1,0)))</f>
        <v>0</v>
      </c>
      <c r="G35" s="24" t="n">
        <f aca="false">G33*G34*IF(G$4=ASM_A04_COD_YEAR,ASM_E20_RAMP_Y1_PCT,IF(G$4=ASM_A04_COD_YEAR+1,ASM_E21_RAMP_Y2_PCT,IF(G$4&gt;ASM_A04_COD_YEAR+1,1,0)))</f>
        <v>487350</v>
      </c>
      <c r="H35" s="24" t="n">
        <f aca="false">H33*H34*IF(H$4=ASM_A04_COD_YEAR,ASM_E20_RAMP_Y1_PCT,IF(H$4=ASM_A04_COD_YEAR+1,ASM_E21_RAMP_Y2_PCT,IF(H$4&gt;ASM_A04_COD_YEAR+1,1,0)))</f>
        <v>913781.25</v>
      </c>
      <c r="I35" s="24" t="n">
        <f aca="false">I33*I34*IF(I$4=ASM_A04_COD_YEAR,ASM_E20_RAMP_Y1_PCT,IF(I$4=ASM_A04_COD_YEAR+1,ASM_E21_RAMP_Y2_PCT,IF(I$4&gt;ASM_A04_COD_YEAR+1,1,0)))</f>
        <v>1218375</v>
      </c>
      <c r="J35" s="24" t="n">
        <f aca="false">J33*J34*IF(J$4=ASM_A04_COD_YEAR,ASM_E20_RAMP_Y1_PCT,IF(J$4=ASM_A04_COD_YEAR+1,ASM_E21_RAMP_Y2_PCT,IF(J$4&gt;ASM_A04_COD_YEAR+1,1,0)))</f>
        <v>1218375</v>
      </c>
      <c r="K35" s="24" t="n">
        <f aca="false">K33*K34*IF(K$4=ASM_A04_COD_YEAR,ASM_E20_RAMP_Y1_PCT,IF(K$4=ASM_A04_COD_YEAR+1,ASM_E21_RAMP_Y2_PCT,IF(K$4&gt;ASM_A04_COD_YEAR+1,1,0)))</f>
        <v>1218375</v>
      </c>
      <c r="L35" s="24" t="n">
        <f aca="false">L33*L34*IF(L$4=ASM_A04_COD_YEAR,ASM_E20_RAMP_Y1_PCT,IF(L$4=ASM_A04_COD_YEAR+1,ASM_E21_RAMP_Y2_PCT,IF(L$4&gt;ASM_A04_COD_YEAR+1,1,0)))</f>
        <v>1218375</v>
      </c>
    </row>
    <row r="36" customFormat="false" ht="15" hidden="false" customHeight="true" outlineLevel="0" collapsed="false"/>
    <row r="37" customFormat="false" ht="15" hidden="false" customHeight="true" outlineLevel="0" collapsed="false">
      <c r="B37" s="4" t="s">
        <v>755</v>
      </c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B38" s="50" t="s">
        <v>756</v>
      </c>
      <c r="C38" s="12" t="s">
        <v>82</v>
      </c>
      <c r="D38" s="51" t="n">
        <f aca="false">SUM(E38:L38)</f>
        <v>1200</v>
      </c>
      <c r="E38" s="51" t="n">
        <f aca="false">ASM_A01_N_FARMS*ASM_E05_SURFACE_CEREALS_HA</f>
        <v>150</v>
      </c>
      <c r="F38" s="51" t="n">
        <f aca="false">ASM_A01_N_FARMS*ASM_E05_SURFACE_CEREALS_HA</f>
        <v>150</v>
      </c>
      <c r="G38" s="51" t="n">
        <f aca="false">ASM_A01_N_FARMS*ASM_E05_SURFACE_CEREALS_HA</f>
        <v>150</v>
      </c>
      <c r="H38" s="51" t="n">
        <f aca="false">ASM_A01_N_FARMS*ASM_E05_SURFACE_CEREALS_HA</f>
        <v>150</v>
      </c>
      <c r="I38" s="51" t="n">
        <f aca="false">ASM_A01_N_FARMS*ASM_E05_SURFACE_CEREALS_HA</f>
        <v>150</v>
      </c>
      <c r="J38" s="51" t="n">
        <f aca="false">ASM_A01_N_FARMS*ASM_E05_SURFACE_CEREALS_HA</f>
        <v>150</v>
      </c>
      <c r="K38" s="51" t="n">
        <f aca="false">ASM_A01_N_FARMS*ASM_E05_SURFACE_CEREALS_HA</f>
        <v>150</v>
      </c>
      <c r="L38" s="51" t="n">
        <f aca="false">ASM_A01_N_FARMS*ASM_E05_SURFACE_CEREALS_HA</f>
        <v>150</v>
      </c>
    </row>
    <row r="39" customFormat="false" ht="15" hidden="false" customHeight="true" outlineLevel="0" collapsed="false">
      <c r="B39" s="50" t="s">
        <v>757</v>
      </c>
      <c r="C39" s="12" t="s">
        <v>156</v>
      </c>
      <c r="D39" s="55" t="n">
        <f aca="false">SUM(E39:L39)</f>
        <v>24</v>
      </c>
      <c r="E39" s="55" t="n">
        <f aca="false">ASM_E14_YIELD_CEREAL_T_PER_HA</f>
        <v>3</v>
      </c>
      <c r="F39" s="55" t="n">
        <f aca="false">ASM_E14_YIELD_CEREAL_T_PER_HA</f>
        <v>3</v>
      </c>
      <c r="G39" s="55" t="n">
        <f aca="false">ASM_E14_YIELD_CEREAL_T_PER_HA</f>
        <v>3</v>
      </c>
      <c r="H39" s="55" t="n">
        <f aca="false">ASM_E14_YIELD_CEREAL_T_PER_HA</f>
        <v>3</v>
      </c>
      <c r="I39" s="55" t="n">
        <f aca="false">ASM_E14_YIELD_CEREAL_T_PER_HA</f>
        <v>3</v>
      </c>
      <c r="J39" s="55" t="n">
        <f aca="false">ASM_E14_YIELD_CEREAL_T_PER_HA</f>
        <v>3</v>
      </c>
      <c r="K39" s="55" t="n">
        <f aca="false">ASM_E14_YIELD_CEREAL_T_PER_HA</f>
        <v>3</v>
      </c>
      <c r="L39" s="55" t="n">
        <f aca="false">ASM_E14_YIELD_CEREAL_T_PER_HA</f>
        <v>3</v>
      </c>
    </row>
    <row r="40" customFormat="false" ht="15" hidden="false" customHeight="true" outlineLevel="0" collapsed="false">
      <c r="B40" s="50" t="s">
        <v>751</v>
      </c>
      <c r="C40" s="12" t="s">
        <v>752</v>
      </c>
      <c r="D40" s="51" t="n">
        <f aca="false">SUM(E40:L40)</f>
        <v>3600</v>
      </c>
      <c r="E40" s="51" t="n">
        <f aca="false">E38*E39</f>
        <v>450</v>
      </c>
      <c r="F40" s="51" t="n">
        <f aca="false">F38*F39</f>
        <v>450</v>
      </c>
      <c r="G40" s="51" t="n">
        <f aca="false">G38*G39</f>
        <v>450</v>
      </c>
      <c r="H40" s="51" t="n">
        <f aca="false">H38*H39</f>
        <v>450</v>
      </c>
      <c r="I40" s="51" t="n">
        <f aca="false">I38*I39</f>
        <v>450</v>
      </c>
      <c r="J40" s="51" t="n">
        <f aca="false">J38*J39</f>
        <v>450</v>
      </c>
      <c r="K40" s="51" t="n">
        <f aca="false">K38*K39</f>
        <v>450</v>
      </c>
      <c r="L40" s="51" t="n">
        <f aca="false">L38*L39</f>
        <v>450</v>
      </c>
    </row>
    <row r="41" customFormat="false" ht="15" hidden="false" customHeight="true" outlineLevel="0" collapsed="false">
      <c r="B41" s="50" t="s">
        <v>753</v>
      </c>
      <c r="C41" s="12" t="s">
        <v>163</v>
      </c>
      <c r="D41" s="51" t="n">
        <f aca="false">SUM(E41:L41)</f>
        <v>1440</v>
      </c>
      <c r="E41" s="51" t="n">
        <f aca="false">ASM_E18_PRICE_CEREAL_EUR_PER_T</f>
        <v>180</v>
      </c>
      <c r="F41" s="51" t="n">
        <f aca="false">ASM_E18_PRICE_CEREAL_EUR_PER_T</f>
        <v>180</v>
      </c>
      <c r="G41" s="51" t="n">
        <f aca="false">ASM_E18_PRICE_CEREAL_EUR_PER_T</f>
        <v>180</v>
      </c>
      <c r="H41" s="51" t="n">
        <f aca="false">ASM_E18_PRICE_CEREAL_EUR_PER_T</f>
        <v>180</v>
      </c>
      <c r="I41" s="51" t="n">
        <f aca="false">ASM_E18_PRICE_CEREAL_EUR_PER_T</f>
        <v>180</v>
      </c>
      <c r="J41" s="51" t="n">
        <f aca="false">ASM_E18_PRICE_CEREAL_EUR_PER_T</f>
        <v>180</v>
      </c>
      <c r="K41" s="51" t="n">
        <f aca="false">ASM_E18_PRICE_CEREAL_EUR_PER_T</f>
        <v>180</v>
      </c>
      <c r="L41" s="51" t="n">
        <f aca="false">ASM_E18_PRICE_CEREAL_EUR_PER_T</f>
        <v>180</v>
      </c>
    </row>
    <row r="42" customFormat="false" ht="15" hidden="false" customHeight="true" outlineLevel="0" collapsed="false">
      <c r="B42" s="53" t="s">
        <v>758</v>
      </c>
      <c r="C42" s="12" t="s">
        <v>734</v>
      </c>
      <c r="D42" s="24" t="n">
        <f aca="false">SUM(E42:L42)</f>
        <v>417150</v>
      </c>
      <c r="E42" s="24" t="n">
        <f aca="false">E40*E41*IF(E$4=ASM_A04_COD_YEAR,ASM_E20_RAMP_Y1_PCT,IF(E$4=ASM_A04_COD_YEAR+1,ASM_E21_RAMP_Y2_PCT,IF(E$4&gt;ASM_A04_COD_YEAR+1,1,0)))</f>
        <v>0</v>
      </c>
      <c r="F42" s="24" t="n">
        <f aca="false">F40*F41*IF(F$4=ASM_A04_COD_YEAR,ASM_E20_RAMP_Y1_PCT,IF(F$4=ASM_A04_COD_YEAR+1,ASM_E21_RAMP_Y2_PCT,IF(F$4&gt;ASM_A04_COD_YEAR+1,1,0)))</f>
        <v>0</v>
      </c>
      <c r="G42" s="24" t="n">
        <f aca="false">G40*G41*IF(G$4=ASM_A04_COD_YEAR,ASM_E20_RAMP_Y1_PCT,IF(G$4=ASM_A04_COD_YEAR+1,ASM_E21_RAMP_Y2_PCT,IF(G$4&gt;ASM_A04_COD_YEAR+1,1,0)))</f>
        <v>32400</v>
      </c>
      <c r="H42" s="24" t="n">
        <f aca="false">H40*H41*IF(H$4=ASM_A04_COD_YEAR,ASM_E20_RAMP_Y1_PCT,IF(H$4=ASM_A04_COD_YEAR+1,ASM_E21_RAMP_Y2_PCT,IF(H$4&gt;ASM_A04_COD_YEAR+1,1,0)))</f>
        <v>60750</v>
      </c>
      <c r="I42" s="24" t="n">
        <f aca="false">I40*I41*IF(I$4=ASM_A04_COD_YEAR,ASM_E20_RAMP_Y1_PCT,IF(I$4=ASM_A04_COD_YEAR+1,ASM_E21_RAMP_Y2_PCT,IF(I$4&gt;ASM_A04_COD_YEAR+1,1,0)))</f>
        <v>81000</v>
      </c>
      <c r="J42" s="24" t="n">
        <f aca="false">J40*J41*IF(J$4=ASM_A04_COD_YEAR,ASM_E20_RAMP_Y1_PCT,IF(J$4=ASM_A04_COD_YEAR+1,ASM_E21_RAMP_Y2_PCT,IF(J$4&gt;ASM_A04_COD_YEAR+1,1,0)))</f>
        <v>81000</v>
      </c>
      <c r="K42" s="24" t="n">
        <f aca="false">K40*K41*IF(K$4=ASM_A04_COD_YEAR,ASM_E20_RAMP_Y1_PCT,IF(K$4=ASM_A04_COD_YEAR+1,ASM_E21_RAMP_Y2_PCT,IF(K$4&gt;ASM_A04_COD_YEAR+1,1,0)))</f>
        <v>81000</v>
      </c>
      <c r="L42" s="24" t="n">
        <f aca="false">L40*L41*IF(L$4=ASM_A04_COD_YEAR,ASM_E20_RAMP_Y1_PCT,IF(L$4=ASM_A04_COD_YEAR+1,ASM_E21_RAMP_Y2_PCT,IF(L$4&gt;ASM_A04_COD_YEAR+1,1,0)))</f>
        <v>81000</v>
      </c>
    </row>
    <row r="43" customFormat="false" ht="15" hidden="false" customHeight="true" outlineLevel="0" collapsed="false"/>
    <row r="44" customFormat="false" ht="15" hidden="false" customHeight="true" outlineLevel="0" collapsed="false">
      <c r="B44" s="4" t="s">
        <v>722</v>
      </c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true" outlineLevel="0" collapsed="false">
      <c r="B45" s="36" t="s">
        <v>759</v>
      </c>
      <c r="C45" s="12" t="s">
        <v>58</v>
      </c>
      <c r="D45" s="11" t="n">
        <f aca="false">SUM(E45:L45)</f>
        <v>0</v>
      </c>
      <c r="E45" s="11" t="n">
        <f aca="false">TRAIN_REVENUE_YM1</f>
        <v>0</v>
      </c>
      <c r="F45" s="11" t="n">
        <f aca="false">TRAIN_REVENUE_Y0</f>
        <v>0</v>
      </c>
      <c r="G45" s="11" t="n">
        <f aca="false">TRAIN_REVENUE_Y1</f>
        <v>0</v>
      </c>
      <c r="H45" s="11" t="n">
        <f aca="false">TRAIN_REVENUE_Y2</f>
        <v>0</v>
      </c>
      <c r="I45" s="11" t="n">
        <f aca="false">TRAIN_REVENUE_Y3</f>
        <v>0</v>
      </c>
      <c r="J45" s="11" t="n">
        <f aca="false">TRAIN_REVENUE_Y4</f>
        <v>0</v>
      </c>
      <c r="K45" s="11" t="n">
        <f aca="false">TRAIN_REVENUE_Y5</f>
        <v>0</v>
      </c>
      <c r="L45" s="11" t="n">
        <f aca="false">TRAIN_REVENUE_Y6</f>
        <v>0</v>
      </c>
    </row>
    <row r="46" customFormat="false" ht="15" hidden="false" customHeight="true" outlineLevel="0" collapsed="false"/>
    <row r="47" customFormat="false" ht="15" hidden="false" customHeight="true" outlineLevel="0" collapsed="false">
      <c r="B47" s="4" t="s">
        <v>760</v>
      </c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5" hidden="false" customHeight="true" outlineLevel="0" collapsed="false">
      <c r="B48" s="36" t="s">
        <v>761</v>
      </c>
      <c r="C48" s="12" t="s">
        <v>58</v>
      </c>
      <c r="D48" s="11" t="n">
        <f aca="false">SUM(E48:L48)</f>
        <v>0</v>
      </c>
      <c r="E48" s="11" t="n">
        <f aca="false">GEN_REVENUE_YM1</f>
        <v>0</v>
      </c>
      <c r="F48" s="11" t="n">
        <f aca="false">GEN_REVENUE_Y0</f>
        <v>0</v>
      </c>
      <c r="G48" s="11" t="n">
        <f aca="false">GEN_REVENUE_Y1</f>
        <v>0</v>
      </c>
      <c r="H48" s="11" t="n">
        <f aca="false">GEN_REVENUE_Y2</f>
        <v>0</v>
      </c>
      <c r="I48" s="11" t="n">
        <f aca="false">GEN_REVENUE_Y3</f>
        <v>0</v>
      </c>
      <c r="J48" s="11" t="n">
        <f aca="false">GEN_REVENUE_Y4</f>
        <v>0</v>
      </c>
      <c r="K48" s="11" t="n">
        <f aca="false">GEN_REVENUE_Y5</f>
        <v>0</v>
      </c>
      <c r="L48" s="11" t="n">
        <f aca="false">GEN_REVENUE_Y6</f>
        <v>0</v>
      </c>
    </row>
    <row r="49" customFormat="false" ht="15" hidden="false" customHeight="true" outlineLevel="0" collapsed="false"/>
    <row r="50" customFormat="false" ht="15" hidden="false" customHeight="true" outlineLevel="0" collapsed="false">
      <c r="B50" s="4" t="s">
        <v>762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5" hidden="false" customHeight="true" outlineLevel="0" collapsed="false">
      <c r="B51" s="53" t="s">
        <v>724</v>
      </c>
      <c r="C51" s="12" t="s">
        <v>734</v>
      </c>
      <c r="D51" s="24" t="n">
        <f aca="false">SUM(E51:L51)</f>
        <v>8072640.45</v>
      </c>
      <c r="E51" s="24" t="n">
        <f aca="false">E17+E27+E35+E42+E45+E48</f>
        <v>0</v>
      </c>
      <c r="F51" s="24" t="n">
        <f aca="false">F17+F27+F35+F42+F45+F48</f>
        <v>0</v>
      </c>
      <c r="G51" s="24" t="n">
        <f aca="false">G17+G27+G35+G42+G45+G48</f>
        <v>627001.2</v>
      </c>
      <c r="H51" s="24" t="n">
        <f aca="false">H17+H27+H35+H42+H45+H48</f>
        <v>1175627.25</v>
      </c>
      <c r="I51" s="24" t="n">
        <f aca="false">I17+I27+I35+I42+I45+I48</f>
        <v>1567503</v>
      </c>
      <c r="J51" s="24" t="n">
        <f aca="false">J17+J27+J35+J42+J45+J48</f>
        <v>1567503</v>
      </c>
      <c r="K51" s="24" t="n">
        <f aca="false">K17+K27+K35+K42+K45+K48</f>
        <v>1567503</v>
      </c>
      <c r="L51" s="24" t="n">
        <f aca="false">L17+L27+L35+L42+L45+L48</f>
        <v>1567503</v>
      </c>
    </row>
    <row r="5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763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385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23" t="s">
        <v>764</v>
      </c>
      <c r="C7" s="12" t="s">
        <v>136</v>
      </c>
      <c r="D7" s="24" t="n">
        <f aca="false">SUM(E7:L7)</f>
        <v>3140891.79545455</v>
      </c>
      <c r="E7" s="24" t="n">
        <f aca="false">E39+E49+E63+E16</f>
        <v>0</v>
      </c>
      <c r="F7" s="24" t="n">
        <f aca="false">F39+F49+F63+F16</f>
        <v>0</v>
      </c>
      <c r="G7" s="24" t="n">
        <f aca="false">G39+G49+G63+G16</f>
        <v>345081.340909091</v>
      </c>
      <c r="H7" s="24" t="n">
        <f aca="false">H39+H49+H63+H16</f>
        <v>481314.545454545</v>
      </c>
      <c r="I7" s="24" t="n">
        <f aca="false">I39+I49+I63+I16</f>
        <v>578623.977272727</v>
      </c>
      <c r="J7" s="24" t="n">
        <f aca="false">J39+J49+J63+J16</f>
        <v>578623.977272727</v>
      </c>
      <c r="K7" s="24" t="n">
        <f aca="false">K39+K49+K63+K16</f>
        <v>578623.977272727</v>
      </c>
      <c r="L7" s="24" t="n">
        <f aca="false">L39+L49+L63+L16</f>
        <v>578623.977272727</v>
      </c>
    </row>
    <row r="8" customFormat="false" ht="15" hidden="false" customHeight="true" outlineLevel="0" collapsed="false">
      <c r="B8" s="23" t="s">
        <v>765</v>
      </c>
      <c r="C8" s="12" t="s">
        <v>136</v>
      </c>
      <c r="D8" s="24" t="n">
        <f aca="false">SUM(E8:L8)</f>
        <v>1359700</v>
      </c>
      <c r="E8" s="24" t="n">
        <f aca="false">E13</f>
        <v>0</v>
      </c>
      <c r="F8" s="24" t="n">
        <f aca="false">F13</f>
        <v>0</v>
      </c>
      <c r="G8" s="24" t="n">
        <f aca="false">G13</f>
        <v>679850</v>
      </c>
      <c r="H8" s="24" t="n">
        <f aca="false">H13</f>
        <v>679850</v>
      </c>
      <c r="I8" s="24" t="n">
        <f aca="false">I13</f>
        <v>0</v>
      </c>
      <c r="J8" s="24" t="n">
        <f aca="false">J13</f>
        <v>0</v>
      </c>
      <c r="K8" s="24" t="n">
        <f aca="false">K13</f>
        <v>0</v>
      </c>
      <c r="L8" s="24" t="n">
        <f aca="false">L13</f>
        <v>0</v>
      </c>
    </row>
    <row r="9" customFormat="false" ht="15" hidden="false" customHeight="true" outlineLevel="0" collapsed="false">
      <c r="B9" s="23" t="s">
        <v>766</v>
      </c>
      <c r="C9" s="12" t="s">
        <v>136</v>
      </c>
      <c r="D9" s="24" t="n">
        <f aca="false">SUM(E9:L9)</f>
        <v>679360</v>
      </c>
      <c r="E9" s="24" t="n">
        <f aca="false">E68</f>
        <v>0</v>
      </c>
      <c r="F9" s="24" t="n">
        <f aca="false">F68</f>
        <v>177800</v>
      </c>
      <c r="G9" s="24" t="n">
        <f aca="false">G68</f>
        <v>250780</v>
      </c>
      <c r="H9" s="24" t="n">
        <f aca="false">H68</f>
        <v>250780</v>
      </c>
      <c r="I9" s="24" t="n">
        <f aca="false">I68</f>
        <v>0</v>
      </c>
      <c r="J9" s="24" t="n">
        <f aca="false">J68</f>
        <v>0</v>
      </c>
      <c r="K9" s="24" t="n">
        <f aca="false">K68</f>
        <v>0</v>
      </c>
      <c r="L9" s="24" t="n">
        <f aca="false">L68</f>
        <v>0</v>
      </c>
    </row>
    <row r="10" customFormat="false" ht="15" hidden="false" customHeight="true" outlineLevel="0" collapsed="false">
      <c r="B10" s="25" t="s">
        <v>767</v>
      </c>
      <c r="C10" s="12" t="s">
        <v>136</v>
      </c>
      <c r="D10" s="27" t="n">
        <f aca="false">SUM(D7:D9)</f>
        <v>5179951.79545455</v>
      </c>
      <c r="E10" s="27" t="n">
        <f aca="false">SUM(E7:E9)</f>
        <v>0</v>
      </c>
      <c r="F10" s="27" t="n">
        <f aca="false">SUM(F7:F9)</f>
        <v>177800</v>
      </c>
      <c r="G10" s="27" t="n">
        <f aca="false">SUM(G7:G9)</f>
        <v>1275711.34090909</v>
      </c>
      <c r="H10" s="27" t="n">
        <f aca="false">SUM(H7:H9)</f>
        <v>1411944.54545455</v>
      </c>
      <c r="I10" s="27" t="n">
        <f aca="false">SUM(I7:I9)</f>
        <v>578623.977272727</v>
      </c>
      <c r="J10" s="27" t="n">
        <f aca="false">SUM(J7:J9)</f>
        <v>578623.977272727</v>
      </c>
      <c r="K10" s="27" t="n">
        <f aca="false">SUM(K7:K9)</f>
        <v>578623.977272727</v>
      </c>
      <c r="L10" s="27" t="n">
        <f aca="false">SUM(L7:L9)</f>
        <v>578623.977272727</v>
      </c>
    </row>
    <row r="11" customFormat="false" ht="15" hidden="false" customHeight="true" outlineLevel="0" collapsed="false"/>
    <row r="12" customFormat="false" ht="15" hidden="false" customHeight="true" outlineLevel="0" collapsed="false">
      <c r="B12" s="4" t="s">
        <v>768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true" outlineLevel="0" collapsed="false">
      <c r="B13" s="36" t="s">
        <v>769</v>
      </c>
      <c r="C13" s="12" t="s">
        <v>58</v>
      </c>
      <c r="D13" s="11" t="n">
        <f aca="false">SUM(E13:L13)</f>
        <v>1359700</v>
      </c>
      <c r="E13" s="11" t="n">
        <f aca="false">TRAIN_REC_TOTAL_YM1</f>
        <v>0</v>
      </c>
      <c r="F13" s="11" t="n">
        <f aca="false">TRAIN_REC_TOTAL_Y0</f>
        <v>0</v>
      </c>
      <c r="G13" s="11" t="n">
        <f aca="false">TRAIN_REC_TOTAL_Y1</f>
        <v>679850</v>
      </c>
      <c r="H13" s="11" t="n">
        <f aca="false">TRAIN_REC_TOTAL_Y2</f>
        <v>679850</v>
      </c>
      <c r="I13" s="11" t="n">
        <f aca="false">TRAIN_REC_TOTAL_Y3</f>
        <v>0</v>
      </c>
      <c r="J13" s="11" t="n">
        <f aca="false">TRAIN_REC_TOTAL_Y4</f>
        <v>0</v>
      </c>
      <c r="K13" s="11" t="n">
        <f aca="false">TRAIN_REC_TOTAL_Y5</f>
        <v>0</v>
      </c>
      <c r="L13" s="11" t="n">
        <f aca="false">TRAIN_REC_TOTAL_Y6</f>
        <v>0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4" t="s">
        <v>770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B16" s="18" t="s">
        <v>771</v>
      </c>
      <c r="C16" s="12" t="s">
        <v>58</v>
      </c>
      <c r="D16" s="30" t="n">
        <f aca="false">SUM(E16:L16)</f>
        <v>81816</v>
      </c>
      <c r="E16" s="30" t="n">
        <f aca="false">ASM_J04_COST_AUDIT_YEAR_EUR*IF(AND(E$4&gt;=ASM_A04_COD_YEAR,E$4&lt;ASM_A04_COD_YEAR+ASM_J05_N_YEARS_AUDIT),1,0)</f>
        <v>0</v>
      </c>
      <c r="F16" s="30" t="n">
        <f aca="false">ASM_J04_COST_AUDIT_YEAR_EUR*IF(AND(F$4&gt;=ASM_A04_COD_YEAR,F$4&lt;ASM_A04_COD_YEAR+ASM_J05_N_YEARS_AUDIT),1,0)</f>
        <v>0</v>
      </c>
      <c r="G16" s="30" t="n">
        <f aca="false">ASM_J04_COST_AUDIT_YEAR_EUR*IF(AND(G$4&gt;=ASM_A04_COD_YEAR,G$4&lt;ASM_A04_COD_YEAR+ASM_J05_N_YEARS_AUDIT),1,0)</f>
        <v>13636</v>
      </c>
      <c r="H16" s="30" t="n">
        <f aca="false">ASM_J04_COST_AUDIT_YEAR_EUR*IF(AND(H$4&gt;=ASM_A04_COD_YEAR,H$4&lt;ASM_A04_COD_YEAR+ASM_J05_N_YEARS_AUDIT),1,0)</f>
        <v>13636</v>
      </c>
      <c r="I16" s="30" t="n">
        <f aca="false">ASM_J04_COST_AUDIT_YEAR_EUR*IF(AND(I$4&gt;=ASM_A04_COD_YEAR,I$4&lt;ASM_A04_COD_YEAR+ASM_J05_N_YEARS_AUDIT),1,0)</f>
        <v>13636</v>
      </c>
      <c r="J16" s="30" t="n">
        <f aca="false">ASM_J04_COST_AUDIT_YEAR_EUR*IF(AND(J$4&gt;=ASM_A04_COD_YEAR,J$4&lt;ASM_A04_COD_YEAR+ASM_J05_N_YEARS_AUDIT),1,0)</f>
        <v>13636</v>
      </c>
      <c r="K16" s="30" t="n">
        <f aca="false">ASM_J04_COST_AUDIT_YEAR_EUR*IF(AND(K$4&gt;=ASM_A04_COD_YEAR,K$4&lt;ASM_A04_COD_YEAR+ASM_J05_N_YEARS_AUDIT),1,0)</f>
        <v>13636</v>
      </c>
      <c r="L16" s="30" t="n">
        <f aca="false">ASM_J04_COST_AUDIT_YEAR_EUR*IF(AND(L$4&gt;=ASM_A04_COD_YEAR,L$4&lt;ASM_A04_COD_YEAR+ASM_J05_N_YEARS_AUDIT),1,0)</f>
        <v>13636</v>
      </c>
    </row>
    <row r="17" customFormat="false" ht="15" hidden="false" customHeight="true" outlineLevel="0" collapsed="false">
      <c r="B17" s="18" t="s">
        <v>244</v>
      </c>
      <c r="C17" s="12" t="s">
        <v>58</v>
      </c>
      <c r="D17" s="30" t="n">
        <f aca="false">SUM(E17:L17)</f>
        <v>13620</v>
      </c>
      <c r="E17" s="30" t="n">
        <f aca="false">ASM_K07_DSRA_LC_FEE_EUR_YR*FLAG_POST_COD_YM1</f>
        <v>0</v>
      </c>
      <c r="F17" s="30" t="n">
        <f aca="false">ASM_K07_DSRA_LC_FEE_EUR_YR*FLAG_POST_COD_Y0</f>
        <v>0</v>
      </c>
      <c r="G17" s="30" t="n">
        <f aca="false">ASM_K07_DSRA_LC_FEE_EUR_YR*FLAG_POST_COD_Y1</f>
        <v>2270</v>
      </c>
      <c r="H17" s="30" t="n">
        <f aca="false">ASM_K07_DSRA_LC_FEE_EUR_YR*FLAG_POST_COD_Y2</f>
        <v>2270</v>
      </c>
      <c r="I17" s="30" t="n">
        <f aca="false">ASM_K07_DSRA_LC_FEE_EUR_YR*FLAG_POST_COD_Y3</f>
        <v>2270</v>
      </c>
      <c r="J17" s="30" t="n">
        <f aca="false">ASM_K07_DSRA_LC_FEE_EUR_YR*FLAG_POST_COD_Y4</f>
        <v>2270</v>
      </c>
      <c r="K17" s="30" t="n">
        <f aca="false">ASM_K07_DSRA_LC_FEE_EUR_YR*FLAG_POST_COD_Y5</f>
        <v>2270</v>
      </c>
      <c r="L17" s="30" t="n">
        <f aca="false">ASM_K07_DSRA_LC_FEE_EUR_YR*FLAG_POST_COD_Y6</f>
        <v>2270</v>
      </c>
    </row>
    <row r="18" customFormat="false" ht="15" hidden="false" customHeight="true" outlineLevel="0" collapsed="false"/>
    <row r="19" customFormat="false" ht="15" hidden="false" customHeight="true" outlineLevel="0" collapsed="false">
      <c r="B19" s="4" t="s">
        <v>772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B20" s="50" t="s">
        <v>747</v>
      </c>
      <c r="C20" s="12" t="s">
        <v>82</v>
      </c>
      <c r="D20" s="51" t="n">
        <f aca="false">SUM(E20:L20)</f>
        <v>600</v>
      </c>
      <c r="E20" s="51" t="n">
        <f aca="false">ASM_A01_N_FARMS*ASM_E04_SURFACE_MARAICHER_HA</f>
        <v>75</v>
      </c>
      <c r="F20" s="51" t="n">
        <f aca="false">ASM_A01_N_FARMS*ASM_E04_SURFACE_MARAICHER_HA</f>
        <v>75</v>
      </c>
      <c r="G20" s="51" t="n">
        <f aca="false">ASM_A01_N_FARMS*ASM_E04_SURFACE_MARAICHER_HA</f>
        <v>75</v>
      </c>
      <c r="H20" s="51" t="n">
        <f aca="false">ASM_A01_N_FARMS*ASM_E04_SURFACE_MARAICHER_HA</f>
        <v>75</v>
      </c>
      <c r="I20" s="51" t="n">
        <f aca="false">ASM_A01_N_FARMS*ASM_E04_SURFACE_MARAICHER_HA</f>
        <v>75</v>
      </c>
      <c r="J20" s="51" t="n">
        <f aca="false">ASM_A01_N_FARMS*ASM_E04_SURFACE_MARAICHER_HA</f>
        <v>75</v>
      </c>
      <c r="K20" s="51" t="n">
        <f aca="false">ASM_A01_N_FARMS*ASM_E04_SURFACE_MARAICHER_HA</f>
        <v>75</v>
      </c>
      <c r="L20" s="51" t="n">
        <f aca="false">ASM_A01_N_FARMS*ASM_E04_SURFACE_MARAICHER_HA</f>
        <v>75</v>
      </c>
    </row>
    <row r="21" customFormat="false" ht="15" hidden="false" customHeight="true" outlineLevel="0" collapsed="false">
      <c r="B21" s="50" t="s">
        <v>773</v>
      </c>
      <c r="C21" s="12" t="s">
        <v>774</v>
      </c>
      <c r="D21" s="51" t="n">
        <f aca="false">SUM(E21:L21)</f>
        <v>1800</v>
      </c>
      <c r="E21" s="51" t="n">
        <f aca="false">E20*ASM_E07_N_CYCLES_MARAICHER</f>
        <v>225</v>
      </c>
      <c r="F21" s="51" t="n">
        <f aca="false">F20*ASM_E07_N_CYCLES_MARAICHER</f>
        <v>225</v>
      </c>
      <c r="G21" s="51" t="n">
        <f aca="false">G20*ASM_E07_N_CYCLES_MARAICHER</f>
        <v>225</v>
      </c>
      <c r="H21" s="51" t="n">
        <f aca="false">H20*ASM_E07_N_CYCLES_MARAICHER</f>
        <v>225</v>
      </c>
      <c r="I21" s="51" t="n">
        <f aca="false">I20*ASM_E07_N_CYCLES_MARAICHER</f>
        <v>225</v>
      </c>
      <c r="J21" s="51" t="n">
        <f aca="false">J20*ASM_E07_N_CYCLES_MARAICHER</f>
        <v>225</v>
      </c>
      <c r="K21" s="51" t="n">
        <f aca="false">K20*ASM_E07_N_CYCLES_MARAICHER</f>
        <v>225</v>
      </c>
      <c r="L21" s="51" t="n">
        <f aca="false">L20*ASM_E07_N_CYCLES_MARAICHER</f>
        <v>225</v>
      </c>
    </row>
    <row r="22" customFormat="false" ht="15" hidden="false" customHeight="true" outlineLevel="0" collapsed="false">
      <c r="B22" s="53" t="s">
        <v>775</v>
      </c>
      <c r="C22" s="12" t="s">
        <v>734</v>
      </c>
      <c r="D22" s="24" t="n">
        <f aca="false">SUM(E22:L22)</f>
        <v>139050</v>
      </c>
      <c r="E22" s="24" t="n">
        <f aca="false">E21*ASM_P01_COST_SEED_MARAICH_EUR_HA_CYCLE*IF(E$4=ASM_A04_COD_YEAR,ASM_E20_RAMP_Y1_PCT,IF(E$4=ASM_A04_COD_YEAR+1,ASM_E21_RAMP_Y2_PCT,IF(E$4&gt;ASM_A04_COD_YEAR+1,1,0)))</f>
        <v>0</v>
      </c>
      <c r="F22" s="24" t="n">
        <f aca="false">F21*ASM_P01_COST_SEED_MARAICH_EUR_HA_CYCLE*IF(F$4=ASM_A04_COD_YEAR,ASM_E20_RAMP_Y1_PCT,IF(F$4=ASM_A04_COD_YEAR+1,ASM_E21_RAMP_Y2_PCT,IF(F$4&gt;ASM_A04_COD_YEAR+1,1,0)))</f>
        <v>0</v>
      </c>
      <c r="G22" s="24" t="n">
        <f aca="false">G21*ASM_P01_COST_SEED_MARAICH_EUR_HA_CYCLE*IF(G$4=ASM_A04_COD_YEAR,ASM_E20_RAMP_Y1_PCT,IF(G$4=ASM_A04_COD_YEAR+1,ASM_E21_RAMP_Y2_PCT,IF(G$4&gt;ASM_A04_COD_YEAR+1,1,0)))</f>
        <v>10800</v>
      </c>
      <c r="H22" s="24" t="n">
        <f aca="false">H21*ASM_P01_COST_SEED_MARAICH_EUR_HA_CYCLE*IF(H$4=ASM_A04_COD_YEAR,ASM_E20_RAMP_Y1_PCT,IF(H$4=ASM_A04_COD_YEAR+1,ASM_E21_RAMP_Y2_PCT,IF(H$4&gt;ASM_A04_COD_YEAR+1,1,0)))</f>
        <v>20250</v>
      </c>
      <c r="I22" s="24" t="n">
        <f aca="false">I21*ASM_P01_COST_SEED_MARAICH_EUR_HA_CYCLE*IF(I$4=ASM_A04_COD_YEAR,ASM_E20_RAMP_Y1_PCT,IF(I$4=ASM_A04_COD_YEAR+1,ASM_E21_RAMP_Y2_PCT,IF(I$4&gt;ASM_A04_COD_YEAR+1,1,0)))</f>
        <v>27000</v>
      </c>
      <c r="J22" s="24" t="n">
        <f aca="false">J21*ASM_P01_COST_SEED_MARAICH_EUR_HA_CYCLE*IF(J$4=ASM_A04_COD_YEAR,ASM_E20_RAMP_Y1_PCT,IF(J$4=ASM_A04_COD_YEAR+1,ASM_E21_RAMP_Y2_PCT,IF(J$4&gt;ASM_A04_COD_YEAR+1,1,0)))</f>
        <v>27000</v>
      </c>
      <c r="K22" s="24" t="n">
        <f aca="false">K21*ASM_P01_COST_SEED_MARAICH_EUR_HA_CYCLE*IF(K$4=ASM_A04_COD_YEAR,ASM_E20_RAMP_Y1_PCT,IF(K$4=ASM_A04_COD_YEAR+1,ASM_E21_RAMP_Y2_PCT,IF(K$4&gt;ASM_A04_COD_YEAR+1,1,0)))</f>
        <v>27000</v>
      </c>
      <c r="L22" s="24" t="n">
        <f aca="false">L21*ASM_P01_COST_SEED_MARAICH_EUR_HA_CYCLE*IF(L$4=ASM_A04_COD_YEAR,ASM_E20_RAMP_Y1_PCT,IF(L$4=ASM_A04_COD_YEAR+1,ASM_E21_RAMP_Y2_PCT,IF(L$4&gt;ASM_A04_COD_YEAR+1,1,0)))</f>
        <v>27000</v>
      </c>
    </row>
    <row r="23" customFormat="false" ht="15" hidden="false" customHeight="true" outlineLevel="0" collapsed="false">
      <c r="B23" s="53" t="s">
        <v>776</v>
      </c>
      <c r="C23" s="12" t="s">
        <v>734</v>
      </c>
      <c r="D23" s="24" t="n">
        <f aca="false">SUM(E23:L23)</f>
        <v>173812.5</v>
      </c>
      <c r="E23" s="24" t="n">
        <f aca="false">E21*ASM_P02_COST_FERT_MARAICH_EUR_HA_CYCLE*IF(E$4=ASM_A04_COD_YEAR,ASM_E20_RAMP_Y1_PCT,IF(E$4=ASM_A04_COD_YEAR+1,ASM_E21_RAMP_Y2_PCT,IF(E$4&gt;ASM_A04_COD_YEAR+1,1,0)))</f>
        <v>0</v>
      </c>
      <c r="F23" s="24" t="n">
        <f aca="false">F21*ASM_P02_COST_FERT_MARAICH_EUR_HA_CYCLE*IF(F$4=ASM_A04_COD_YEAR,ASM_E20_RAMP_Y1_PCT,IF(F$4=ASM_A04_COD_YEAR+1,ASM_E21_RAMP_Y2_PCT,IF(F$4&gt;ASM_A04_COD_YEAR+1,1,0)))</f>
        <v>0</v>
      </c>
      <c r="G23" s="24" t="n">
        <f aca="false">G21*ASM_P02_COST_FERT_MARAICH_EUR_HA_CYCLE*IF(G$4=ASM_A04_COD_YEAR,ASM_E20_RAMP_Y1_PCT,IF(G$4=ASM_A04_COD_YEAR+1,ASM_E21_RAMP_Y2_PCT,IF(G$4&gt;ASM_A04_COD_YEAR+1,1,0)))</f>
        <v>13500</v>
      </c>
      <c r="H23" s="24" t="n">
        <f aca="false">H21*ASM_P02_COST_FERT_MARAICH_EUR_HA_CYCLE*IF(H$4=ASM_A04_COD_YEAR,ASM_E20_RAMP_Y1_PCT,IF(H$4=ASM_A04_COD_YEAR+1,ASM_E21_RAMP_Y2_PCT,IF(H$4&gt;ASM_A04_COD_YEAR+1,1,0)))</f>
        <v>25312.5</v>
      </c>
      <c r="I23" s="24" t="n">
        <f aca="false">I21*ASM_P02_COST_FERT_MARAICH_EUR_HA_CYCLE*IF(I$4=ASM_A04_COD_YEAR,ASM_E20_RAMP_Y1_PCT,IF(I$4=ASM_A04_COD_YEAR+1,ASM_E21_RAMP_Y2_PCT,IF(I$4&gt;ASM_A04_COD_YEAR+1,1,0)))</f>
        <v>33750</v>
      </c>
      <c r="J23" s="24" t="n">
        <f aca="false">J21*ASM_P02_COST_FERT_MARAICH_EUR_HA_CYCLE*IF(J$4=ASM_A04_COD_YEAR,ASM_E20_RAMP_Y1_PCT,IF(J$4=ASM_A04_COD_YEAR+1,ASM_E21_RAMP_Y2_PCT,IF(J$4&gt;ASM_A04_COD_YEAR+1,1,0)))</f>
        <v>33750</v>
      </c>
      <c r="K23" s="24" t="n">
        <f aca="false">K21*ASM_P02_COST_FERT_MARAICH_EUR_HA_CYCLE*IF(K$4=ASM_A04_COD_YEAR,ASM_E20_RAMP_Y1_PCT,IF(K$4=ASM_A04_COD_YEAR+1,ASM_E21_RAMP_Y2_PCT,IF(K$4&gt;ASM_A04_COD_YEAR+1,1,0)))</f>
        <v>33750</v>
      </c>
      <c r="L23" s="24" t="n">
        <f aca="false">L21*ASM_P02_COST_FERT_MARAICH_EUR_HA_CYCLE*IF(L$4=ASM_A04_COD_YEAR,ASM_E20_RAMP_Y1_PCT,IF(L$4=ASM_A04_COD_YEAR+1,ASM_E21_RAMP_Y2_PCT,IF(L$4&gt;ASM_A04_COD_YEAR+1,1,0)))</f>
        <v>33750</v>
      </c>
    </row>
    <row r="24" customFormat="false" ht="15" hidden="false" customHeight="true" outlineLevel="0" collapsed="false">
      <c r="B24" s="53" t="s">
        <v>777</v>
      </c>
      <c r="C24" s="12" t="s">
        <v>734</v>
      </c>
      <c r="D24" s="24" t="n">
        <f aca="false">SUM(E24:L24)</f>
        <v>92700</v>
      </c>
      <c r="E24" s="24" t="n">
        <f aca="false">E21*ASM_P03_COST_PHYTO_MARAICH_EUR_HA_CYCLE*IF(E$4=ASM_A04_COD_YEAR,ASM_E20_RAMP_Y1_PCT,IF(E$4=ASM_A04_COD_YEAR+1,ASM_E21_RAMP_Y2_PCT,IF(E$4&gt;ASM_A04_COD_YEAR+1,1,0)))</f>
        <v>0</v>
      </c>
      <c r="F24" s="24" t="n">
        <f aca="false">F21*ASM_P03_COST_PHYTO_MARAICH_EUR_HA_CYCLE*IF(F$4=ASM_A04_COD_YEAR,ASM_E20_RAMP_Y1_PCT,IF(F$4=ASM_A04_COD_YEAR+1,ASM_E21_RAMP_Y2_PCT,IF(F$4&gt;ASM_A04_COD_YEAR+1,1,0)))</f>
        <v>0</v>
      </c>
      <c r="G24" s="24" t="n">
        <f aca="false">G21*ASM_P03_COST_PHYTO_MARAICH_EUR_HA_CYCLE*IF(G$4=ASM_A04_COD_YEAR,ASM_E20_RAMP_Y1_PCT,IF(G$4=ASM_A04_COD_YEAR+1,ASM_E21_RAMP_Y2_PCT,IF(G$4&gt;ASM_A04_COD_YEAR+1,1,0)))</f>
        <v>7200</v>
      </c>
      <c r="H24" s="24" t="n">
        <f aca="false">H21*ASM_P03_COST_PHYTO_MARAICH_EUR_HA_CYCLE*IF(H$4=ASM_A04_COD_YEAR,ASM_E20_RAMP_Y1_PCT,IF(H$4=ASM_A04_COD_YEAR+1,ASM_E21_RAMP_Y2_PCT,IF(H$4&gt;ASM_A04_COD_YEAR+1,1,0)))</f>
        <v>13500</v>
      </c>
      <c r="I24" s="24" t="n">
        <f aca="false">I21*ASM_P03_COST_PHYTO_MARAICH_EUR_HA_CYCLE*IF(I$4=ASM_A04_COD_YEAR,ASM_E20_RAMP_Y1_PCT,IF(I$4=ASM_A04_COD_YEAR+1,ASM_E21_RAMP_Y2_PCT,IF(I$4&gt;ASM_A04_COD_YEAR+1,1,0)))</f>
        <v>18000</v>
      </c>
      <c r="J24" s="24" t="n">
        <f aca="false">J21*ASM_P03_COST_PHYTO_MARAICH_EUR_HA_CYCLE*IF(J$4=ASM_A04_COD_YEAR,ASM_E20_RAMP_Y1_PCT,IF(J$4=ASM_A04_COD_YEAR+1,ASM_E21_RAMP_Y2_PCT,IF(J$4&gt;ASM_A04_COD_YEAR+1,1,0)))</f>
        <v>18000</v>
      </c>
      <c r="K24" s="24" t="n">
        <f aca="false">K21*ASM_P03_COST_PHYTO_MARAICH_EUR_HA_CYCLE*IF(K$4=ASM_A04_COD_YEAR,ASM_E20_RAMP_Y1_PCT,IF(K$4=ASM_A04_COD_YEAR+1,ASM_E21_RAMP_Y2_PCT,IF(K$4&gt;ASM_A04_COD_YEAR+1,1,0)))</f>
        <v>18000</v>
      </c>
      <c r="L24" s="24" t="n">
        <f aca="false">L21*ASM_P03_COST_PHYTO_MARAICH_EUR_HA_CYCLE*IF(L$4=ASM_A04_COD_YEAR,ASM_E20_RAMP_Y1_PCT,IF(L$4=ASM_A04_COD_YEAR+1,ASM_E21_RAMP_Y2_PCT,IF(L$4&gt;ASM_A04_COD_YEAR+1,1,0)))</f>
        <v>18000</v>
      </c>
    </row>
    <row r="25" customFormat="false" ht="15" hidden="false" customHeight="true" outlineLevel="0" collapsed="false">
      <c r="B25" s="50" t="s">
        <v>756</v>
      </c>
      <c r="C25" s="12" t="s">
        <v>82</v>
      </c>
      <c r="D25" s="51" t="n">
        <f aca="false">SUM(E25:L25)</f>
        <v>1200</v>
      </c>
      <c r="E25" s="51" t="n">
        <f aca="false">ASM_A01_N_FARMS*ASM_E05_SURFACE_CEREALS_HA</f>
        <v>150</v>
      </c>
      <c r="F25" s="51" t="n">
        <f aca="false">ASM_A01_N_FARMS*ASM_E05_SURFACE_CEREALS_HA</f>
        <v>150</v>
      </c>
      <c r="G25" s="51" t="n">
        <f aca="false">ASM_A01_N_FARMS*ASM_E05_SURFACE_CEREALS_HA</f>
        <v>150</v>
      </c>
      <c r="H25" s="51" t="n">
        <f aca="false">ASM_A01_N_FARMS*ASM_E05_SURFACE_CEREALS_HA</f>
        <v>150</v>
      </c>
      <c r="I25" s="51" t="n">
        <f aca="false">ASM_A01_N_FARMS*ASM_E05_SURFACE_CEREALS_HA</f>
        <v>150</v>
      </c>
      <c r="J25" s="51" t="n">
        <f aca="false">ASM_A01_N_FARMS*ASM_E05_SURFACE_CEREALS_HA</f>
        <v>150</v>
      </c>
      <c r="K25" s="51" t="n">
        <f aca="false">ASM_A01_N_FARMS*ASM_E05_SURFACE_CEREALS_HA</f>
        <v>150</v>
      </c>
      <c r="L25" s="51" t="n">
        <f aca="false">ASM_A01_N_FARMS*ASM_E05_SURFACE_CEREALS_HA</f>
        <v>150</v>
      </c>
    </row>
    <row r="26" customFormat="false" ht="15" hidden="false" customHeight="true" outlineLevel="0" collapsed="false">
      <c r="B26" s="53" t="s">
        <v>778</v>
      </c>
      <c r="C26" s="12" t="s">
        <v>734</v>
      </c>
      <c r="D26" s="24" t="n">
        <f aca="false">SUM(E26:L26)</f>
        <v>34762.5</v>
      </c>
      <c r="E26" s="24" t="n">
        <f aca="false">E25*ASM_P04_COST_SEED_CEREAL_EUR_HA*IF(E$4=ASM_A04_COD_YEAR,ASM_E20_RAMP_Y1_PCT,IF(E$4=ASM_A04_COD_YEAR+1,ASM_E21_RAMP_Y2_PCT,IF(E$4&gt;ASM_A04_COD_YEAR+1,1,0)))</f>
        <v>0</v>
      </c>
      <c r="F26" s="24" t="n">
        <f aca="false">F25*ASM_P04_COST_SEED_CEREAL_EUR_HA*IF(F$4=ASM_A04_COD_YEAR,ASM_E20_RAMP_Y1_PCT,IF(F$4=ASM_A04_COD_YEAR+1,ASM_E21_RAMP_Y2_PCT,IF(F$4&gt;ASM_A04_COD_YEAR+1,1,0)))</f>
        <v>0</v>
      </c>
      <c r="G26" s="24" t="n">
        <f aca="false">G25*ASM_P04_COST_SEED_CEREAL_EUR_HA*IF(G$4=ASM_A04_COD_YEAR,ASM_E20_RAMP_Y1_PCT,IF(G$4=ASM_A04_COD_YEAR+1,ASM_E21_RAMP_Y2_PCT,IF(G$4&gt;ASM_A04_COD_YEAR+1,1,0)))</f>
        <v>2700</v>
      </c>
      <c r="H26" s="24" t="n">
        <f aca="false">H25*ASM_P04_COST_SEED_CEREAL_EUR_HA*IF(H$4=ASM_A04_COD_YEAR,ASM_E20_RAMP_Y1_PCT,IF(H$4=ASM_A04_COD_YEAR+1,ASM_E21_RAMP_Y2_PCT,IF(H$4&gt;ASM_A04_COD_YEAR+1,1,0)))</f>
        <v>5062.5</v>
      </c>
      <c r="I26" s="24" t="n">
        <f aca="false">I25*ASM_P04_COST_SEED_CEREAL_EUR_HA*IF(I$4=ASM_A04_COD_YEAR,ASM_E20_RAMP_Y1_PCT,IF(I$4=ASM_A04_COD_YEAR+1,ASM_E21_RAMP_Y2_PCT,IF(I$4&gt;ASM_A04_COD_YEAR+1,1,0)))</f>
        <v>6750</v>
      </c>
      <c r="J26" s="24" t="n">
        <f aca="false">J25*ASM_P04_COST_SEED_CEREAL_EUR_HA*IF(J$4=ASM_A04_COD_YEAR,ASM_E20_RAMP_Y1_PCT,IF(J$4=ASM_A04_COD_YEAR+1,ASM_E21_RAMP_Y2_PCT,IF(J$4&gt;ASM_A04_COD_YEAR+1,1,0)))</f>
        <v>6750</v>
      </c>
      <c r="K26" s="24" t="n">
        <f aca="false">K25*ASM_P04_COST_SEED_CEREAL_EUR_HA*IF(K$4=ASM_A04_COD_YEAR,ASM_E20_RAMP_Y1_PCT,IF(K$4=ASM_A04_COD_YEAR+1,ASM_E21_RAMP_Y2_PCT,IF(K$4&gt;ASM_A04_COD_YEAR+1,1,0)))</f>
        <v>6750</v>
      </c>
      <c r="L26" s="24" t="n">
        <f aca="false">L25*ASM_P04_COST_SEED_CEREAL_EUR_HA*IF(L$4=ASM_A04_COD_YEAR,ASM_E20_RAMP_Y1_PCT,IF(L$4=ASM_A04_COD_YEAR+1,ASM_E21_RAMP_Y2_PCT,IF(L$4&gt;ASM_A04_COD_YEAR+1,1,0)))</f>
        <v>6750</v>
      </c>
    </row>
    <row r="27" customFormat="false" ht="15" hidden="false" customHeight="true" outlineLevel="0" collapsed="false">
      <c r="B27" s="53" t="s">
        <v>779</v>
      </c>
      <c r="C27" s="12" t="s">
        <v>734</v>
      </c>
      <c r="D27" s="24" t="n">
        <f aca="false">SUM(E27:L27)</f>
        <v>92700</v>
      </c>
      <c r="E27" s="24" t="n">
        <f aca="false">E25*ASM_P05_COST_FERT_CEREAL_EUR_HA*IF(E$4=ASM_A04_COD_YEAR,ASM_E20_RAMP_Y1_PCT,IF(E$4=ASM_A04_COD_YEAR+1,ASM_E21_RAMP_Y2_PCT,IF(E$4&gt;ASM_A04_COD_YEAR+1,1,0)))</f>
        <v>0</v>
      </c>
      <c r="F27" s="24" t="n">
        <f aca="false">F25*ASM_P05_COST_FERT_CEREAL_EUR_HA*IF(F$4=ASM_A04_COD_YEAR,ASM_E20_RAMP_Y1_PCT,IF(F$4=ASM_A04_COD_YEAR+1,ASM_E21_RAMP_Y2_PCT,IF(F$4&gt;ASM_A04_COD_YEAR+1,1,0)))</f>
        <v>0</v>
      </c>
      <c r="G27" s="24" t="n">
        <f aca="false">G25*ASM_P05_COST_FERT_CEREAL_EUR_HA*IF(G$4=ASM_A04_COD_YEAR,ASM_E20_RAMP_Y1_PCT,IF(G$4=ASM_A04_COD_YEAR+1,ASM_E21_RAMP_Y2_PCT,IF(G$4&gt;ASM_A04_COD_YEAR+1,1,0)))</f>
        <v>7200</v>
      </c>
      <c r="H27" s="24" t="n">
        <f aca="false">H25*ASM_P05_COST_FERT_CEREAL_EUR_HA*IF(H$4=ASM_A04_COD_YEAR,ASM_E20_RAMP_Y1_PCT,IF(H$4=ASM_A04_COD_YEAR+1,ASM_E21_RAMP_Y2_PCT,IF(H$4&gt;ASM_A04_COD_YEAR+1,1,0)))</f>
        <v>13500</v>
      </c>
      <c r="I27" s="24" t="n">
        <f aca="false">I25*ASM_P05_COST_FERT_CEREAL_EUR_HA*IF(I$4=ASM_A04_COD_YEAR,ASM_E20_RAMP_Y1_PCT,IF(I$4=ASM_A04_COD_YEAR+1,ASM_E21_RAMP_Y2_PCT,IF(I$4&gt;ASM_A04_COD_YEAR+1,1,0)))</f>
        <v>18000</v>
      </c>
      <c r="J27" s="24" t="n">
        <f aca="false">J25*ASM_P05_COST_FERT_CEREAL_EUR_HA*IF(J$4=ASM_A04_COD_YEAR,ASM_E20_RAMP_Y1_PCT,IF(J$4=ASM_A04_COD_YEAR+1,ASM_E21_RAMP_Y2_PCT,IF(J$4&gt;ASM_A04_COD_YEAR+1,1,0)))</f>
        <v>18000</v>
      </c>
      <c r="K27" s="24" t="n">
        <f aca="false">K25*ASM_P05_COST_FERT_CEREAL_EUR_HA*IF(K$4=ASM_A04_COD_YEAR,ASM_E20_RAMP_Y1_PCT,IF(K$4=ASM_A04_COD_YEAR+1,ASM_E21_RAMP_Y2_PCT,IF(K$4&gt;ASM_A04_COD_YEAR+1,1,0)))</f>
        <v>18000</v>
      </c>
      <c r="L27" s="24" t="n">
        <f aca="false">L25*ASM_P05_COST_FERT_CEREAL_EUR_HA*IF(L$4=ASM_A04_COD_YEAR,ASM_E20_RAMP_Y1_PCT,IF(L$4=ASM_A04_COD_YEAR+1,ASM_E21_RAMP_Y2_PCT,IF(L$4&gt;ASM_A04_COD_YEAR+1,1,0)))</f>
        <v>18000</v>
      </c>
    </row>
    <row r="28" customFormat="false" ht="15" hidden="false" customHeight="true" outlineLevel="0" collapsed="false">
      <c r="B28" s="53" t="s">
        <v>780</v>
      </c>
      <c r="C28" s="12" t="s">
        <v>734</v>
      </c>
      <c r="D28" s="24" t="n">
        <f aca="false">SUM(E28:L28)</f>
        <v>30900</v>
      </c>
      <c r="E28" s="24" t="n">
        <f aca="false">E25*ASM_P06_COST_PHYTO_CEREAL_EUR_HA*IF(E$4=ASM_A04_COD_YEAR,ASM_E20_RAMP_Y1_PCT,IF(E$4=ASM_A04_COD_YEAR+1,ASM_E21_RAMP_Y2_PCT,IF(E$4&gt;ASM_A04_COD_YEAR+1,1,0)))</f>
        <v>0</v>
      </c>
      <c r="F28" s="24" t="n">
        <f aca="false">F25*ASM_P06_COST_PHYTO_CEREAL_EUR_HA*IF(F$4=ASM_A04_COD_YEAR,ASM_E20_RAMP_Y1_PCT,IF(F$4=ASM_A04_COD_YEAR+1,ASM_E21_RAMP_Y2_PCT,IF(F$4&gt;ASM_A04_COD_YEAR+1,1,0)))</f>
        <v>0</v>
      </c>
      <c r="G28" s="24" t="n">
        <f aca="false">G25*ASM_P06_COST_PHYTO_CEREAL_EUR_HA*IF(G$4=ASM_A04_COD_YEAR,ASM_E20_RAMP_Y1_PCT,IF(G$4=ASM_A04_COD_YEAR+1,ASM_E21_RAMP_Y2_PCT,IF(G$4&gt;ASM_A04_COD_YEAR+1,1,0)))</f>
        <v>2400</v>
      </c>
      <c r="H28" s="24" t="n">
        <f aca="false">H25*ASM_P06_COST_PHYTO_CEREAL_EUR_HA*IF(H$4=ASM_A04_COD_YEAR,ASM_E20_RAMP_Y1_PCT,IF(H$4=ASM_A04_COD_YEAR+1,ASM_E21_RAMP_Y2_PCT,IF(H$4&gt;ASM_A04_COD_YEAR+1,1,0)))</f>
        <v>4500</v>
      </c>
      <c r="I28" s="24" t="n">
        <f aca="false">I25*ASM_P06_COST_PHYTO_CEREAL_EUR_HA*IF(I$4=ASM_A04_COD_YEAR,ASM_E20_RAMP_Y1_PCT,IF(I$4=ASM_A04_COD_YEAR+1,ASM_E21_RAMP_Y2_PCT,IF(I$4&gt;ASM_A04_COD_YEAR+1,1,0)))</f>
        <v>6000</v>
      </c>
      <c r="J28" s="24" t="n">
        <f aca="false">J25*ASM_P06_COST_PHYTO_CEREAL_EUR_HA*IF(J$4=ASM_A04_COD_YEAR,ASM_E20_RAMP_Y1_PCT,IF(J$4=ASM_A04_COD_YEAR+1,ASM_E21_RAMP_Y2_PCT,IF(J$4&gt;ASM_A04_COD_YEAR+1,1,0)))</f>
        <v>6000</v>
      </c>
      <c r="K28" s="24" t="n">
        <f aca="false">K25*ASM_P06_COST_PHYTO_CEREAL_EUR_HA*IF(K$4=ASM_A04_COD_YEAR,ASM_E20_RAMP_Y1_PCT,IF(K$4=ASM_A04_COD_YEAR+1,ASM_E21_RAMP_Y2_PCT,IF(K$4&gt;ASM_A04_COD_YEAR+1,1,0)))</f>
        <v>6000</v>
      </c>
      <c r="L28" s="24" t="n">
        <f aca="false">L25*ASM_P06_COST_PHYTO_CEREAL_EUR_HA*IF(L$4=ASM_A04_COD_YEAR,ASM_E20_RAMP_Y1_PCT,IF(L$4=ASM_A04_COD_YEAR+1,ASM_E21_RAMP_Y2_PCT,IF(L$4&gt;ASM_A04_COD_YEAR+1,1,0)))</f>
        <v>6000</v>
      </c>
    </row>
    <row r="29" customFormat="false" ht="15" hidden="false" customHeight="true" outlineLevel="0" collapsed="false">
      <c r="B29" s="50" t="s">
        <v>781</v>
      </c>
      <c r="C29" s="12" t="s">
        <v>82</v>
      </c>
      <c r="D29" s="51" t="n">
        <f aca="false">SUM(E29:L29)</f>
        <v>240</v>
      </c>
      <c r="E29" s="51" t="n">
        <f aca="false">ASM_A01_N_FARMS*ASM_E22_SURFACE_FOURRAGE_HA</f>
        <v>30</v>
      </c>
      <c r="F29" s="51" t="n">
        <f aca="false">ASM_A01_N_FARMS*ASM_E22_SURFACE_FOURRAGE_HA</f>
        <v>30</v>
      </c>
      <c r="G29" s="51" t="n">
        <f aca="false">ASM_A01_N_FARMS*ASM_E22_SURFACE_FOURRAGE_HA</f>
        <v>30</v>
      </c>
      <c r="H29" s="51" t="n">
        <f aca="false">ASM_A01_N_FARMS*ASM_E22_SURFACE_FOURRAGE_HA</f>
        <v>30</v>
      </c>
      <c r="I29" s="51" t="n">
        <f aca="false">ASM_A01_N_FARMS*ASM_E22_SURFACE_FOURRAGE_HA</f>
        <v>30</v>
      </c>
      <c r="J29" s="51" t="n">
        <f aca="false">ASM_A01_N_FARMS*ASM_E22_SURFACE_FOURRAGE_HA</f>
        <v>30</v>
      </c>
      <c r="K29" s="51" t="n">
        <f aca="false">ASM_A01_N_FARMS*ASM_E22_SURFACE_FOURRAGE_HA</f>
        <v>30</v>
      </c>
      <c r="L29" s="51" t="n">
        <f aca="false">ASM_A01_N_FARMS*ASM_E22_SURFACE_FOURRAGE_HA</f>
        <v>30</v>
      </c>
    </row>
    <row r="30" customFormat="false" ht="15" hidden="false" customHeight="true" outlineLevel="0" collapsed="false">
      <c r="B30" s="53" t="s">
        <v>782</v>
      </c>
      <c r="C30" s="12" t="s">
        <v>734</v>
      </c>
      <c r="D30" s="24" t="n">
        <f aca="false">SUM(E30:L30)</f>
        <v>15450</v>
      </c>
      <c r="E30" s="24" t="n">
        <f aca="false">E29*ASM_P07_COST_FERT_FOURRAGE_EUR_HA*IF(E$4=ASM_A04_COD_YEAR,ASM_E20_RAMP_Y1_PCT,IF(E$4=ASM_A04_COD_YEAR+1,ASM_E21_RAMP_Y2_PCT,IF(E$4&gt;ASM_A04_COD_YEAR+1,1,0)))</f>
        <v>0</v>
      </c>
      <c r="F30" s="24" t="n">
        <f aca="false">F29*ASM_P07_COST_FERT_FOURRAGE_EUR_HA*IF(F$4=ASM_A04_COD_YEAR,ASM_E20_RAMP_Y1_PCT,IF(F$4=ASM_A04_COD_YEAR+1,ASM_E21_RAMP_Y2_PCT,IF(F$4&gt;ASM_A04_COD_YEAR+1,1,0)))</f>
        <v>0</v>
      </c>
      <c r="G30" s="24" t="n">
        <f aca="false">G29*ASM_P07_COST_FERT_FOURRAGE_EUR_HA*IF(G$4=ASM_A04_COD_YEAR,ASM_E20_RAMP_Y1_PCT,IF(G$4=ASM_A04_COD_YEAR+1,ASM_E21_RAMP_Y2_PCT,IF(G$4&gt;ASM_A04_COD_YEAR+1,1,0)))</f>
        <v>1200</v>
      </c>
      <c r="H30" s="24" t="n">
        <f aca="false">H29*ASM_P07_COST_FERT_FOURRAGE_EUR_HA*IF(H$4=ASM_A04_COD_YEAR,ASM_E20_RAMP_Y1_PCT,IF(H$4=ASM_A04_COD_YEAR+1,ASM_E21_RAMP_Y2_PCT,IF(H$4&gt;ASM_A04_COD_YEAR+1,1,0)))</f>
        <v>2250</v>
      </c>
      <c r="I30" s="24" t="n">
        <f aca="false">I29*ASM_P07_COST_FERT_FOURRAGE_EUR_HA*IF(I$4=ASM_A04_COD_YEAR,ASM_E20_RAMP_Y1_PCT,IF(I$4=ASM_A04_COD_YEAR+1,ASM_E21_RAMP_Y2_PCT,IF(I$4&gt;ASM_A04_COD_YEAR+1,1,0)))</f>
        <v>3000</v>
      </c>
      <c r="J30" s="24" t="n">
        <f aca="false">J29*ASM_P07_COST_FERT_FOURRAGE_EUR_HA*IF(J$4=ASM_A04_COD_YEAR,ASM_E20_RAMP_Y1_PCT,IF(J$4=ASM_A04_COD_YEAR+1,ASM_E21_RAMP_Y2_PCT,IF(J$4&gt;ASM_A04_COD_YEAR+1,1,0)))</f>
        <v>3000</v>
      </c>
      <c r="K30" s="24" t="n">
        <f aca="false">K29*ASM_P07_COST_FERT_FOURRAGE_EUR_HA*IF(K$4=ASM_A04_COD_YEAR,ASM_E20_RAMP_Y1_PCT,IF(K$4=ASM_A04_COD_YEAR+1,ASM_E21_RAMP_Y2_PCT,IF(K$4&gt;ASM_A04_COD_YEAR+1,1,0)))</f>
        <v>3000</v>
      </c>
      <c r="L30" s="24" t="n">
        <f aca="false">L29*ASM_P07_COST_FERT_FOURRAGE_EUR_HA*IF(L$4=ASM_A04_COD_YEAR,ASM_E20_RAMP_Y1_PCT,IF(L$4=ASM_A04_COD_YEAR+1,ASM_E21_RAMP_Y2_PCT,IF(L$4&gt;ASM_A04_COD_YEAR+1,1,0)))</f>
        <v>3000</v>
      </c>
    </row>
    <row r="31" customFormat="false" ht="15" hidden="false" customHeight="true" outlineLevel="0" collapsed="false">
      <c r="B31" s="50" t="s">
        <v>783</v>
      </c>
      <c r="C31" s="12" t="s">
        <v>784</v>
      </c>
      <c r="D31" s="51" t="n">
        <f aca="false">SUM(E31:L31)</f>
        <v>5385.6</v>
      </c>
      <c r="E31" s="51" t="n">
        <f aca="false">ASM_A01_N_FARMS*(ASM_E08_N_COWS_DAIRY_PER_FARM*ASM_E24_FEED_RATE_DAIRY_T_MS_YR+ASM_E10_N_BEEF_STOCK_PER_FARM*ASM_E25_FEED_RATE_BEEF_T_MS_YR)</f>
        <v>673.2</v>
      </c>
      <c r="F31" s="51" t="n">
        <f aca="false">ASM_A01_N_FARMS*(ASM_E08_N_COWS_DAIRY_PER_FARM*ASM_E24_FEED_RATE_DAIRY_T_MS_YR+ASM_E10_N_BEEF_STOCK_PER_FARM*ASM_E25_FEED_RATE_BEEF_T_MS_YR)</f>
        <v>673.2</v>
      </c>
      <c r="G31" s="51" t="n">
        <f aca="false">ASM_A01_N_FARMS*(ASM_E08_N_COWS_DAIRY_PER_FARM*ASM_E24_FEED_RATE_DAIRY_T_MS_YR+ASM_E10_N_BEEF_STOCK_PER_FARM*ASM_E25_FEED_RATE_BEEF_T_MS_YR)</f>
        <v>673.2</v>
      </c>
      <c r="H31" s="51" t="n">
        <f aca="false">ASM_A01_N_FARMS*(ASM_E08_N_COWS_DAIRY_PER_FARM*ASM_E24_FEED_RATE_DAIRY_T_MS_YR+ASM_E10_N_BEEF_STOCK_PER_FARM*ASM_E25_FEED_RATE_BEEF_T_MS_YR)</f>
        <v>673.2</v>
      </c>
      <c r="I31" s="51" t="n">
        <f aca="false">ASM_A01_N_FARMS*(ASM_E08_N_COWS_DAIRY_PER_FARM*ASM_E24_FEED_RATE_DAIRY_T_MS_YR+ASM_E10_N_BEEF_STOCK_PER_FARM*ASM_E25_FEED_RATE_BEEF_T_MS_YR)</f>
        <v>673.2</v>
      </c>
      <c r="J31" s="51" t="n">
        <f aca="false">ASM_A01_N_FARMS*(ASM_E08_N_COWS_DAIRY_PER_FARM*ASM_E24_FEED_RATE_DAIRY_T_MS_YR+ASM_E10_N_BEEF_STOCK_PER_FARM*ASM_E25_FEED_RATE_BEEF_T_MS_YR)</f>
        <v>673.2</v>
      </c>
      <c r="K31" s="51" t="n">
        <f aca="false">ASM_A01_N_FARMS*(ASM_E08_N_COWS_DAIRY_PER_FARM*ASM_E24_FEED_RATE_DAIRY_T_MS_YR+ASM_E10_N_BEEF_STOCK_PER_FARM*ASM_E25_FEED_RATE_BEEF_T_MS_YR)</f>
        <v>673.2</v>
      </c>
      <c r="L31" s="51" t="n">
        <f aca="false">ASM_A01_N_FARMS*(ASM_E08_N_COWS_DAIRY_PER_FARM*ASM_E24_FEED_RATE_DAIRY_T_MS_YR+ASM_E10_N_BEEF_STOCK_PER_FARM*ASM_E25_FEED_RATE_BEEF_T_MS_YR)</f>
        <v>673.2</v>
      </c>
    </row>
    <row r="32" customFormat="false" ht="15" hidden="false" customHeight="true" outlineLevel="0" collapsed="false">
      <c r="B32" s="50" t="s">
        <v>785</v>
      </c>
      <c r="C32" s="12" t="s">
        <v>784</v>
      </c>
      <c r="D32" s="51" t="n">
        <f aca="false">SUM(E32:L32)</f>
        <v>2880</v>
      </c>
      <c r="E32" s="51" t="n">
        <f aca="false">ASM_A01_N_FARMS*ASM_E22_SURFACE_FOURRAGE_HA*ASM_E23_YIELD_FOURRAGE_T_MS_HA</f>
        <v>360</v>
      </c>
      <c r="F32" s="51" t="n">
        <f aca="false">ASM_A01_N_FARMS*ASM_E22_SURFACE_FOURRAGE_HA*ASM_E23_YIELD_FOURRAGE_T_MS_HA</f>
        <v>360</v>
      </c>
      <c r="G32" s="51" t="n">
        <f aca="false">ASM_A01_N_FARMS*ASM_E22_SURFACE_FOURRAGE_HA*ASM_E23_YIELD_FOURRAGE_T_MS_HA</f>
        <v>360</v>
      </c>
      <c r="H32" s="51" t="n">
        <f aca="false">ASM_A01_N_FARMS*ASM_E22_SURFACE_FOURRAGE_HA*ASM_E23_YIELD_FOURRAGE_T_MS_HA</f>
        <v>360</v>
      </c>
      <c r="I32" s="51" t="n">
        <f aca="false">ASM_A01_N_FARMS*ASM_E22_SURFACE_FOURRAGE_HA*ASM_E23_YIELD_FOURRAGE_T_MS_HA</f>
        <v>360</v>
      </c>
      <c r="J32" s="51" t="n">
        <f aca="false">ASM_A01_N_FARMS*ASM_E22_SURFACE_FOURRAGE_HA*ASM_E23_YIELD_FOURRAGE_T_MS_HA</f>
        <v>360</v>
      </c>
      <c r="K32" s="51" t="n">
        <f aca="false">ASM_A01_N_FARMS*ASM_E22_SURFACE_FOURRAGE_HA*ASM_E23_YIELD_FOURRAGE_T_MS_HA</f>
        <v>360</v>
      </c>
      <c r="L32" s="51" t="n">
        <f aca="false">ASM_A01_N_FARMS*ASM_E22_SURFACE_FOURRAGE_HA*ASM_E23_YIELD_FOURRAGE_T_MS_HA</f>
        <v>360</v>
      </c>
    </row>
    <row r="33" customFormat="false" ht="15" hidden="false" customHeight="true" outlineLevel="0" collapsed="false">
      <c r="B33" s="50" t="s">
        <v>786</v>
      </c>
      <c r="C33" s="12" t="s">
        <v>784</v>
      </c>
      <c r="D33" s="51" t="n">
        <f aca="false">SUM(E33:L33)</f>
        <v>2505.6</v>
      </c>
      <c r="E33" s="51" t="n">
        <f aca="false">MAX(0,E31-E32)</f>
        <v>313.2</v>
      </c>
      <c r="F33" s="51" t="n">
        <f aca="false">MAX(0,F31-F32)</f>
        <v>313.2</v>
      </c>
      <c r="G33" s="51" t="n">
        <f aca="false">MAX(0,G31-G32)</f>
        <v>313.2</v>
      </c>
      <c r="H33" s="51" t="n">
        <f aca="false">MAX(0,H31-H32)</f>
        <v>313.2</v>
      </c>
      <c r="I33" s="51" t="n">
        <f aca="false">MAX(0,I31-I32)</f>
        <v>313.2</v>
      </c>
      <c r="J33" s="51" t="n">
        <f aca="false">MAX(0,J31-J32)</f>
        <v>313.2</v>
      </c>
      <c r="K33" s="51" t="n">
        <f aca="false">MAX(0,K31-K32)</f>
        <v>313.2</v>
      </c>
      <c r="L33" s="51" t="n">
        <f aca="false">MAX(0,L31-L32)</f>
        <v>313.2</v>
      </c>
    </row>
    <row r="34" customFormat="false" ht="15" hidden="false" customHeight="true" outlineLevel="0" collapsed="false">
      <c r="B34" s="53" t="s">
        <v>787</v>
      </c>
      <c r="C34" s="12" t="s">
        <v>734</v>
      </c>
      <c r="D34" s="24" t="n">
        <f aca="false">SUM(E34:L34)</f>
        <v>469230.545454545</v>
      </c>
      <c r="E34" s="24" t="n">
        <f aca="false">E33*$F$80*IF(E$4=ASM_A04_COD_YEAR,ASM_E20_RAMP_Y1_PCT,IF(E$4=ASM_A04_COD_YEAR+1,ASM_E21_RAMP_Y2_PCT,IF(E$4&gt;ASM_A04_COD_YEAR+1,1,0)))</f>
        <v>0</v>
      </c>
      <c r="F34" s="24" t="n">
        <f aca="false">F33*$F$80*IF(F$4=ASM_A04_COD_YEAR,ASM_E20_RAMP_Y1_PCT,IF(F$4=ASM_A04_COD_YEAR+1,ASM_E21_RAMP_Y2_PCT,IF(F$4&gt;ASM_A04_COD_YEAR+1,1,0)))</f>
        <v>0</v>
      </c>
      <c r="G34" s="24" t="n">
        <f aca="false">G33*$F$80*IF(G$4=ASM_A04_COD_YEAR,ASM_E20_RAMP_Y1_PCT,IF(G$4=ASM_A04_COD_YEAR+1,ASM_E21_RAMP_Y2_PCT,IF(G$4&gt;ASM_A04_COD_YEAR+1,1,0)))</f>
        <v>36445.0909090909</v>
      </c>
      <c r="H34" s="24" t="n">
        <f aca="false">H33*$F$80*IF(H$4=ASM_A04_COD_YEAR,ASM_E20_RAMP_Y1_PCT,IF(H$4=ASM_A04_COD_YEAR+1,ASM_E21_RAMP_Y2_PCT,IF(H$4&gt;ASM_A04_COD_YEAR+1,1,0)))</f>
        <v>68334.5454545455</v>
      </c>
      <c r="I34" s="24" t="n">
        <f aca="false">I33*$F$80*IF(I$4=ASM_A04_COD_YEAR,ASM_E20_RAMP_Y1_PCT,IF(I$4=ASM_A04_COD_YEAR+1,ASM_E21_RAMP_Y2_PCT,IF(I$4&gt;ASM_A04_COD_YEAR+1,1,0)))</f>
        <v>91112.7272727273</v>
      </c>
      <c r="J34" s="24" t="n">
        <f aca="false">J33*$F$80*IF(J$4=ASM_A04_COD_YEAR,ASM_E20_RAMP_Y1_PCT,IF(J$4=ASM_A04_COD_YEAR+1,ASM_E21_RAMP_Y2_PCT,IF(J$4&gt;ASM_A04_COD_YEAR+1,1,0)))</f>
        <v>91112.7272727273</v>
      </c>
      <c r="K34" s="24" t="n">
        <f aca="false">K33*$F$80*IF(K$4=ASM_A04_COD_YEAR,ASM_E20_RAMP_Y1_PCT,IF(K$4=ASM_A04_COD_YEAR+1,ASM_E21_RAMP_Y2_PCT,IF(K$4&gt;ASM_A04_COD_YEAR+1,1,0)))</f>
        <v>91112.7272727273</v>
      </c>
      <c r="L34" s="24" t="n">
        <f aca="false">L33*$F$80*IF(L$4=ASM_A04_COD_YEAR,ASM_E20_RAMP_Y1_PCT,IF(L$4=ASM_A04_COD_YEAR+1,ASM_E21_RAMP_Y2_PCT,IF(L$4&gt;ASM_A04_COD_YEAR+1,1,0)))</f>
        <v>91112.7272727273</v>
      </c>
    </row>
    <row r="35" customFormat="false" ht="15" hidden="false" customHeight="true" outlineLevel="0" collapsed="false">
      <c r="B35" s="53" t="s">
        <v>788</v>
      </c>
      <c r="C35" s="12" t="s">
        <v>734</v>
      </c>
      <c r="D35" s="24" t="n">
        <f aca="false">SUM(E35:L35)</f>
        <v>162225</v>
      </c>
      <c r="E35" s="24" t="n">
        <f aca="false">ASM_A01_N_FARMS*(ASM_E08_N_COWS_DAIRY_PER_FARM*ASM_P09_COST_VET_DAIRY_EUR_HEAD_YR+ASM_E10_N_BEEF_STOCK_PER_FARM*ASM_P10_COST_VET_BEEF_EUR_HEAD_YR)*IF(E$4=ASM_A04_COD_YEAR,ASM_E20_RAMP_Y1_PCT,IF(E$4=ASM_A04_COD_YEAR+1,ASM_E21_RAMP_Y2_PCT,IF(E$4&gt;ASM_A04_COD_YEAR+1,1,0)))</f>
        <v>0</v>
      </c>
      <c r="F35" s="24" t="n">
        <f aca="false">ASM_A01_N_FARMS*(ASM_E08_N_COWS_DAIRY_PER_FARM*ASM_P09_COST_VET_DAIRY_EUR_HEAD_YR+ASM_E10_N_BEEF_STOCK_PER_FARM*ASM_P10_COST_VET_BEEF_EUR_HEAD_YR)*IF(F$4=ASM_A04_COD_YEAR,ASM_E20_RAMP_Y1_PCT,IF(F$4=ASM_A04_COD_YEAR+1,ASM_E21_RAMP_Y2_PCT,IF(F$4&gt;ASM_A04_COD_YEAR+1,1,0)))</f>
        <v>0</v>
      </c>
      <c r="G35" s="24" t="n">
        <f aca="false">ASM_A01_N_FARMS*(ASM_E08_N_COWS_DAIRY_PER_FARM*ASM_P09_COST_VET_DAIRY_EUR_HEAD_YR+ASM_E10_N_BEEF_STOCK_PER_FARM*ASM_P10_COST_VET_BEEF_EUR_HEAD_YR)*IF(G$4=ASM_A04_COD_YEAR,ASM_E20_RAMP_Y1_PCT,IF(G$4=ASM_A04_COD_YEAR+1,ASM_E21_RAMP_Y2_PCT,IF(G$4&gt;ASM_A04_COD_YEAR+1,1,0)))</f>
        <v>12600</v>
      </c>
      <c r="H35" s="24" t="n">
        <f aca="false">ASM_A01_N_FARMS*(ASM_E08_N_COWS_DAIRY_PER_FARM*ASM_P09_COST_VET_DAIRY_EUR_HEAD_YR+ASM_E10_N_BEEF_STOCK_PER_FARM*ASM_P10_COST_VET_BEEF_EUR_HEAD_YR)*IF(H$4=ASM_A04_COD_YEAR,ASM_E20_RAMP_Y1_PCT,IF(H$4=ASM_A04_COD_YEAR+1,ASM_E21_RAMP_Y2_PCT,IF(H$4&gt;ASM_A04_COD_YEAR+1,1,0)))</f>
        <v>23625</v>
      </c>
      <c r="I35" s="24" t="n">
        <f aca="false">ASM_A01_N_FARMS*(ASM_E08_N_COWS_DAIRY_PER_FARM*ASM_P09_COST_VET_DAIRY_EUR_HEAD_YR+ASM_E10_N_BEEF_STOCK_PER_FARM*ASM_P10_COST_VET_BEEF_EUR_HEAD_YR)*IF(I$4=ASM_A04_COD_YEAR,ASM_E20_RAMP_Y1_PCT,IF(I$4=ASM_A04_COD_YEAR+1,ASM_E21_RAMP_Y2_PCT,IF(I$4&gt;ASM_A04_COD_YEAR+1,1,0)))</f>
        <v>31500</v>
      </c>
      <c r="J35" s="24" t="n">
        <f aca="false">ASM_A01_N_FARMS*(ASM_E08_N_COWS_DAIRY_PER_FARM*ASM_P09_COST_VET_DAIRY_EUR_HEAD_YR+ASM_E10_N_BEEF_STOCK_PER_FARM*ASM_P10_COST_VET_BEEF_EUR_HEAD_YR)*IF(J$4=ASM_A04_COD_YEAR,ASM_E20_RAMP_Y1_PCT,IF(J$4=ASM_A04_COD_YEAR+1,ASM_E21_RAMP_Y2_PCT,IF(J$4&gt;ASM_A04_COD_YEAR+1,1,0)))</f>
        <v>31500</v>
      </c>
      <c r="K35" s="24" t="n">
        <f aca="false">ASM_A01_N_FARMS*(ASM_E08_N_COWS_DAIRY_PER_FARM*ASM_P09_COST_VET_DAIRY_EUR_HEAD_YR+ASM_E10_N_BEEF_STOCK_PER_FARM*ASM_P10_COST_VET_BEEF_EUR_HEAD_YR)*IF(K$4=ASM_A04_COD_YEAR,ASM_E20_RAMP_Y1_PCT,IF(K$4=ASM_A04_COD_YEAR+1,ASM_E21_RAMP_Y2_PCT,IF(K$4&gt;ASM_A04_COD_YEAR+1,1,0)))</f>
        <v>31500</v>
      </c>
      <c r="L35" s="24" t="n">
        <f aca="false">ASM_A01_N_FARMS*(ASM_E08_N_COWS_DAIRY_PER_FARM*ASM_P09_COST_VET_DAIRY_EUR_HEAD_YR+ASM_E10_N_BEEF_STOCK_PER_FARM*ASM_P10_COST_VET_BEEF_EUR_HEAD_YR)*IF(L$4=ASM_A04_COD_YEAR,ASM_E20_RAMP_Y1_PCT,IF(L$4=ASM_A04_COD_YEAR+1,ASM_E21_RAMP_Y2_PCT,IF(L$4&gt;ASM_A04_COD_YEAR+1,1,0)))</f>
        <v>31500</v>
      </c>
    </row>
    <row r="36" customFormat="false" ht="15" hidden="false" customHeight="true" outlineLevel="0" collapsed="false">
      <c r="B36" s="53" t="s">
        <v>789</v>
      </c>
      <c r="C36" s="12" t="s">
        <v>734</v>
      </c>
      <c r="D36" s="24" t="n">
        <f aca="false">SUM(E36:L36)</f>
        <v>46350</v>
      </c>
      <c r="E36" s="24" t="n">
        <f aca="false">ASM_A01_N_FARMS*ASM_E08_N_COWS_DAIRY_PER_FARM*ASM_P11_COST_INSEM_EUR_COW_YR*IF(E$4=ASM_A04_COD_YEAR,ASM_E20_RAMP_Y1_PCT,IF(E$4=ASM_A04_COD_YEAR+1,ASM_E21_RAMP_Y2_PCT,IF(E$4&gt;ASM_A04_COD_YEAR+1,1,0)))</f>
        <v>0</v>
      </c>
      <c r="F36" s="24" t="n">
        <f aca="false">ASM_A01_N_FARMS*ASM_E08_N_COWS_DAIRY_PER_FARM*ASM_P11_COST_INSEM_EUR_COW_YR*IF(F$4=ASM_A04_COD_YEAR,ASM_E20_RAMP_Y1_PCT,IF(F$4=ASM_A04_COD_YEAR+1,ASM_E21_RAMP_Y2_PCT,IF(F$4&gt;ASM_A04_COD_YEAR+1,1,0)))</f>
        <v>0</v>
      </c>
      <c r="G36" s="24" t="n">
        <f aca="false">ASM_A01_N_FARMS*ASM_E08_N_COWS_DAIRY_PER_FARM*ASM_P11_COST_INSEM_EUR_COW_YR*IF(G$4=ASM_A04_COD_YEAR,ASM_E20_RAMP_Y1_PCT,IF(G$4=ASM_A04_COD_YEAR+1,ASM_E21_RAMP_Y2_PCT,IF(G$4&gt;ASM_A04_COD_YEAR+1,1,0)))</f>
        <v>3600</v>
      </c>
      <c r="H36" s="24" t="n">
        <f aca="false">ASM_A01_N_FARMS*ASM_E08_N_COWS_DAIRY_PER_FARM*ASM_P11_COST_INSEM_EUR_COW_YR*IF(H$4=ASM_A04_COD_YEAR,ASM_E20_RAMP_Y1_PCT,IF(H$4=ASM_A04_COD_YEAR+1,ASM_E21_RAMP_Y2_PCT,IF(H$4&gt;ASM_A04_COD_YEAR+1,1,0)))</f>
        <v>6750</v>
      </c>
      <c r="I36" s="24" t="n">
        <f aca="false">ASM_A01_N_FARMS*ASM_E08_N_COWS_DAIRY_PER_FARM*ASM_P11_COST_INSEM_EUR_COW_YR*IF(I$4=ASM_A04_COD_YEAR,ASM_E20_RAMP_Y1_PCT,IF(I$4=ASM_A04_COD_YEAR+1,ASM_E21_RAMP_Y2_PCT,IF(I$4&gt;ASM_A04_COD_YEAR+1,1,0)))</f>
        <v>9000</v>
      </c>
      <c r="J36" s="24" t="n">
        <f aca="false">ASM_A01_N_FARMS*ASM_E08_N_COWS_DAIRY_PER_FARM*ASM_P11_COST_INSEM_EUR_COW_YR*IF(J$4=ASM_A04_COD_YEAR,ASM_E20_RAMP_Y1_PCT,IF(J$4=ASM_A04_COD_YEAR+1,ASM_E21_RAMP_Y2_PCT,IF(J$4&gt;ASM_A04_COD_YEAR+1,1,0)))</f>
        <v>9000</v>
      </c>
      <c r="K36" s="24" t="n">
        <f aca="false">ASM_A01_N_FARMS*ASM_E08_N_COWS_DAIRY_PER_FARM*ASM_P11_COST_INSEM_EUR_COW_YR*IF(K$4=ASM_A04_COD_YEAR,ASM_E20_RAMP_Y1_PCT,IF(K$4=ASM_A04_COD_YEAR+1,ASM_E21_RAMP_Y2_PCT,IF(K$4&gt;ASM_A04_COD_YEAR+1,1,0)))</f>
        <v>9000</v>
      </c>
      <c r="L36" s="24" t="n">
        <f aca="false">ASM_A01_N_FARMS*ASM_E08_N_COWS_DAIRY_PER_FARM*ASM_P11_COST_INSEM_EUR_COW_YR*IF(L$4=ASM_A04_COD_YEAR,ASM_E20_RAMP_Y1_PCT,IF(L$4=ASM_A04_COD_YEAR+1,ASM_E21_RAMP_Y2_PCT,IF(L$4&gt;ASM_A04_COD_YEAR+1,1,0)))</f>
        <v>9000</v>
      </c>
    </row>
    <row r="37" customFormat="false" ht="15" hidden="false" customHeight="true" outlineLevel="0" collapsed="false">
      <c r="B37" s="53" t="s">
        <v>790</v>
      </c>
      <c r="C37" s="12" t="s">
        <v>734</v>
      </c>
      <c r="D37" s="24" t="n">
        <f aca="false">SUM(E37:L37)</f>
        <v>185400</v>
      </c>
      <c r="E37" s="24" t="n">
        <f aca="false">ASM_A01_N_FARMS*ASM_E10_N_BEEF_STOCK_PER_FARM*ASM_E11_OFFTAKE_RATE_BEEF*ASM_P14_COST_CALF_PURCHASE_EUR_HEAD*IF(E$4=ASM_A04_COD_YEAR,ASM_E20_RAMP_Y1_PCT,IF(E$4=ASM_A04_COD_YEAR+1,ASM_E21_RAMP_Y2_PCT,IF(E$4&gt;ASM_A04_COD_YEAR+1,1,0)))</f>
        <v>0</v>
      </c>
      <c r="F37" s="24" t="n">
        <f aca="false">ASM_A01_N_FARMS*ASM_E10_N_BEEF_STOCK_PER_FARM*ASM_E11_OFFTAKE_RATE_BEEF*ASM_P14_COST_CALF_PURCHASE_EUR_HEAD*IF(F$4=ASM_A04_COD_YEAR,ASM_E20_RAMP_Y1_PCT,IF(F$4=ASM_A04_COD_YEAR+1,ASM_E21_RAMP_Y2_PCT,IF(F$4&gt;ASM_A04_COD_YEAR+1,1,0)))</f>
        <v>0</v>
      </c>
      <c r="G37" s="24" t="n">
        <f aca="false">ASM_A01_N_FARMS*ASM_E10_N_BEEF_STOCK_PER_FARM*ASM_E11_OFFTAKE_RATE_BEEF*ASM_P14_COST_CALF_PURCHASE_EUR_HEAD*IF(G$4=ASM_A04_COD_YEAR,ASM_E20_RAMP_Y1_PCT,IF(G$4=ASM_A04_COD_YEAR+1,ASM_E21_RAMP_Y2_PCT,IF(G$4&gt;ASM_A04_COD_YEAR+1,1,0)))</f>
        <v>14400</v>
      </c>
      <c r="H37" s="24" t="n">
        <f aca="false">ASM_A01_N_FARMS*ASM_E10_N_BEEF_STOCK_PER_FARM*ASM_E11_OFFTAKE_RATE_BEEF*ASM_P14_COST_CALF_PURCHASE_EUR_HEAD*IF(H$4=ASM_A04_COD_YEAR,ASM_E20_RAMP_Y1_PCT,IF(H$4=ASM_A04_COD_YEAR+1,ASM_E21_RAMP_Y2_PCT,IF(H$4&gt;ASM_A04_COD_YEAR+1,1,0)))</f>
        <v>27000</v>
      </c>
      <c r="I37" s="24" t="n">
        <f aca="false">ASM_A01_N_FARMS*ASM_E10_N_BEEF_STOCK_PER_FARM*ASM_E11_OFFTAKE_RATE_BEEF*ASM_P14_COST_CALF_PURCHASE_EUR_HEAD*IF(I$4=ASM_A04_COD_YEAR,ASM_E20_RAMP_Y1_PCT,IF(I$4=ASM_A04_COD_YEAR+1,ASM_E21_RAMP_Y2_PCT,IF(I$4&gt;ASM_A04_COD_YEAR+1,1,0)))</f>
        <v>36000</v>
      </c>
      <c r="J37" s="24" t="n">
        <f aca="false">ASM_A01_N_FARMS*ASM_E10_N_BEEF_STOCK_PER_FARM*ASM_E11_OFFTAKE_RATE_BEEF*ASM_P14_COST_CALF_PURCHASE_EUR_HEAD*IF(J$4=ASM_A04_COD_YEAR,ASM_E20_RAMP_Y1_PCT,IF(J$4=ASM_A04_COD_YEAR+1,ASM_E21_RAMP_Y2_PCT,IF(J$4&gt;ASM_A04_COD_YEAR+1,1,0)))</f>
        <v>36000</v>
      </c>
      <c r="K37" s="24" t="n">
        <f aca="false">ASM_A01_N_FARMS*ASM_E10_N_BEEF_STOCK_PER_FARM*ASM_E11_OFFTAKE_RATE_BEEF*ASM_P14_COST_CALF_PURCHASE_EUR_HEAD*IF(K$4=ASM_A04_COD_YEAR,ASM_E20_RAMP_Y1_PCT,IF(K$4=ASM_A04_COD_YEAR+1,ASM_E21_RAMP_Y2_PCT,IF(K$4&gt;ASM_A04_COD_YEAR+1,1,0)))</f>
        <v>36000</v>
      </c>
      <c r="L37" s="24" t="n">
        <f aca="false">ASM_A01_N_FARMS*ASM_E10_N_BEEF_STOCK_PER_FARM*ASM_E11_OFFTAKE_RATE_BEEF*ASM_P14_COST_CALF_PURCHASE_EUR_HEAD*IF(L$4=ASM_A04_COD_YEAR,ASM_E20_RAMP_Y1_PCT,IF(L$4=ASM_A04_COD_YEAR+1,ASM_E21_RAMP_Y2_PCT,IF(L$4&gt;ASM_A04_COD_YEAR+1,1,0)))</f>
        <v>36000</v>
      </c>
    </row>
    <row r="38" customFormat="false" ht="15" hidden="false" customHeight="true" outlineLevel="0" collapsed="false">
      <c r="B38" s="53" t="s">
        <v>791</v>
      </c>
      <c r="C38" s="12" t="s">
        <v>734</v>
      </c>
      <c r="D38" s="24" t="n">
        <f aca="false">SUM(E38:L38)</f>
        <v>270000</v>
      </c>
      <c r="E38" s="24" t="n">
        <f aca="false">ASM_A01_N_FARMS*ASM_P12_N_FARM_MANAGERS*ASM_P13_COST_FARM_MANAGER_EUR_YR*FLAG_POST_COD_YM1</f>
        <v>0</v>
      </c>
      <c r="F38" s="24" t="n">
        <f aca="false">ASM_A01_N_FARMS*ASM_P12_N_FARM_MANAGERS*ASM_P13_COST_FARM_MANAGER_EUR_YR*FLAG_POST_COD_Y0</f>
        <v>0</v>
      </c>
      <c r="G38" s="24" t="n">
        <f aca="false">ASM_A01_N_FARMS*ASM_P12_N_FARM_MANAGERS*ASM_P13_COST_FARM_MANAGER_EUR_YR*FLAG_POST_COD_Y1</f>
        <v>45000</v>
      </c>
      <c r="H38" s="24" t="n">
        <f aca="false">ASM_A01_N_FARMS*ASM_P12_N_FARM_MANAGERS*ASM_P13_COST_FARM_MANAGER_EUR_YR*FLAG_POST_COD_Y2</f>
        <v>45000</v>
      </c>
      <c r="I38" s="24" t="n">
        <f aca="false">ASM_A01_N_FARMS*ASM_P12_N_FARM_MANAGERS*ASM_P13_COST_FARM_MANAGER_EUR_YR*FLAG_POST_COD_Y3</f>
        <v>45000</v>
      </c>
      <c r="J38" s="24" t="n">
        <f aca="false">ASM_A01_N_FARMS*ASM_P12_N_FARM_MANAGERS*ASM_P13_COST_FARM_MANAGER_EUR_YR*FLAG_POST_COD_Y4</f>
        <v>45000</v>
      </c>
      <c r="K38" s="24" t="n">
        <f aca="false">ASM_A01_N_FARMS*ASM_P12_N_FARM_MANAGERS*ASM_P13_COST_FARM_MANAGER_EUR_YR*FLAG_POST_COD_Y5</f>
        <v>45000</v>
      </c>
      <c r="L38" s="24" t="n">
        <f aca="false">ASM_A01_N_FARMS*ASM_P12_N_FARM_MANAGERS*ASM_P13_COST_FARM_MANAGER_EUR_YR*FLAG_POST_COD_Y6</f>
        <v>45000</v>
      </c>
    </row>
    <row r="39" customFormat="false" ht="15" hidden="false" customHeight="true" outlineLevel="0" collapsed="false">
      <c r="B39" s="31" t="s">
        <v>792</v>
      </c>
      <c r="C39" s="56" t="s">
        <v>734</v>
      </c>
      <c r="D39" s="32" t="n">
        <f aca="false">SUM(E39:L39)</f>
        <v>1712580.54545455</v>
      </c>
      <c r="E39" s="32" t="n">
        <f aca="false">E22+E23+E24+E26+E27+E28+E30+E34+E35+E36+E37+E38</f>
        <v>0</v>
      </c>
      <c r="F39" s="32" t="n">
        <f aca="false">F22+F23+F24+F26+F27+F28+F30+F34+F35+F36+F37+F38</f>
        <v>0</v>
      </c>
      <c r="G39" s="32" t="n">
        <f aca="false">G22+G23+G24+G26+G27+G28+G30+G34+G35+G36+G37+G38</f>
        <v>157045.090909091</v>
      </c>
      <c r="H39" s="32" t="n">
        <f aca="false">H22+H23+H24+H26+H27+H28+H30+H34+H35+H36+H37+H38</f>
        <v>255084.545454545</v>
      </c>
      <c r="I39" s="32" t="n">
        <f aca="false">I22+I23+I24+I26+I27+I28+I30+I34+I35+I36+I37+I38</f>
        <v>325112.727272727</v>
      </c>
      <c r="J39" s="32" t="n">
        <f aca="false">J22+J23+J24+J26+J27+J28+J30+J34+J35+J36+J37+J38</f>
        <v>325112.727272727</v>
      </c>
      <c r="K39" s="32" t="n">
        <f aca="false">K22+K23+K24+K26+K27+K28+K30+K34+K35+K36+K37+K38</f>
        <v>325112.727272727</v>
      </c>
      <c r="L39" s="32" t="n">
        <f aca="false">L22+L23+L24+L26+L27+L28+L30+L34+L35+L36+L37+L38</f>
        <v>325112.727272727</v>
      </c>
    </row>
    <row r="40" customFormat="false" ht="15" hidden="false" customHeight="true" outlineLevel="0" collapsed="false"/>
    <row r="41" customFormat="false" ht="15" hidden="false" customHeight="true" outlineLevel="0" collapsed="false">
      <c r="B41" s="4" t="s">
        <v>793</v>
      </c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true" outlineLevel="0" collapsed="false">
      <c r="B42" s="50" t="s">
        <v>794</v>
      </c>
      <c r="C42" s="12" t="s">
        <v>795</v>
      </c>
      <c r="D42" s="51" t="n">
        <f aca="false">SUM(E42:L42)</f>
        <v>1920000</v>
      </c>
      <c r="E42" s="51" t="n">
        <f aca="false">ASM_A01_N_FARMS*ASM_E04_SURFACE_MARAICHER_HA*ASM_Q01_DOTATION_MARAICH_M3_HA_YR*ASM_Q03_ENERGIE_POMPAGE_KWH_M3</f>
        <v>240000</v>
      </c>
      <c r="F42" s="51" t="n">
        <f aca="false">ASM_A01_N_FARMS*ASM_E04_SURFACE_MARAICHER_HA*ASM_Q01_DOTATION_MARAICH_M3_HA_YR*ASM_Q03_ENERGIE_POMPAGE_KWH_M3</f>
        <v>240000</v>
      </c>
      <c r="G42" s="51" t="n">
        <f aca="false">ASM_A01_N_FARMS*ASM_E04_SURFACE_MARAICHER_HA*ASM_Q01_DOTATION_MARAICH_M3_HA_YR*ASM_Q03_ENERGIE_POMPAGE_KWH_M3</f>
        <v>240000</v>
      </c>
      <c r="H42" s="51" t="n">
        <f aca="false">ASM_A01_N_FARMS*ASM_E04_SURFACE_MARAICHER_HA*ASM_Q01_DOTATION_MARAICH_M3_HA_YR*ASM_Q03_ENERGIE_POMPAGE_KWH_M3</f>
        <v>240000</v>
      </c>
      <c r="I42" s="51" t="n">
        <f aca="false">ASM_A01_N_FARMS*ASM_E04_SURFACE_MARAICHER_HA*ASM_Q01_DOTATION_MARAICH_M3_HA_YR*ASM_Q03_ENERGIE_POMPAGE_KWH_M3</f>
        <v>240000</v>
      </c>
      <c r="J42" s="51" t="n">
        <f aca="false">ASM_A01_N_FARMS*ASM_E04_SURFACE_MARAICHER_HA*ASM_Q01_DOTATION_MARAICH_M3_HA_YR*ASM_Q03_ENERGIE_POMPAGE_KWH_M3</f>
        <v>240000</v>
      </c>
      <c r="K42" s="51" t="n">
        <f aca="false">ASM_A01_N_FARMS*ASM_E04_SURFACE_MARAICHER_HA*ASM_Q01_DOTATION_MARAICH_M3_HA_YR*ASM_Q03_ENERGIE_POMPAGE_KWH_M3</f>
        <v>240000</v>
      </c>
      <c r="L42" s="51" t="n">
        <f aca="false">ASM_A01_N_FARMS*ASM_E04_SURFACE_MARAICHER_HA*ASM_Q01_DOTATION_MARAICH_M3_HA_YR*ASM_Q03_ENERGIE_POMPAGE_KWH_M3</f>
        <v>240000</v>
      </c>
    </row>
    <row r="43" customFormat="false" ht="15" hidden="false" customHeight="true" outlineLevel="0" collapsed="false">
      <c r="B43" s="50" t="s">
        <v>796</v>
      </c>
      <c r="C43" s="12" t="s">
        <v>795</v>
      </c>
      <c r="D43" s="51" t="n">
        <f aca="false">SUM(E43:L43)</f>
        <v>1152000</v>
      </c>
      <c r="E43" s="51" t="n">
        <f aca="false">ASM_A01_N_FARMS*ASM_E22_SURFACE_FOURRAGE_HA*ASM_Q02_DOTATION_FOURRAGE_M3_HA_YR*ASM_Q03_ENERGIE_POMPAGE_KWH_M3</f>
        <v>144000</v>
      </c>
      <c r="F43" s="51" t="n">
        <f aca="false">ASM_A01_N_FARMS*ASM_E22_SURFACE_FOURRAGE_HA*ASM_Q02_DOTATION_FOURRAGE_M3_HA_YR*ASM_Q03_ENERGIE_POMPAGE_KWH_M3</f>
        <v>144000</v>
      </c>
      <c r="G43" s="51" t="n">
        <f aca="false">ASM_A01_N_FARMS*ASM_E22_SURFACE_FOURRAGE_HA*ASM_Q02_DOTATION_FOURRAGE_M3_HA_YR*ASM_Q03_ENERGIE_POMPAGE_KWH_M3</f>
        <v>144000</v>
      </c>
      <c r="H43" s="51" t="n">
        <f aca="false">ASM_A01_N_FARMS*ASM_E22_SURFACE_FOURRAGE_HA*ASM_Q02_DOTATION_FOURRAGE_M3_HA_YR*ASM_Q03_ENERGIE_POMPAGE_KWH_M3</f>
        <v>144000</v>
      </c>
      <c r="I43" s="51" t="n">
        <f aca="false">ASM_A01_N_FARMS*ASM_E22_SURFACE_FOURRAGE_HA*ASM_Q02_DOTATION_FOURRAGE_M3_HA_YR*ASM_Q03_ENERGIE_POMPAGE_KWH_M3</f>
        <v>144000</v>
      </c>
      <c r="J43" s="51" t="n">
        <f aca="false">ASM_A01_N_FARMS*ASM_E22_SURFACE_FOURRAGE_HA*ASM_Q02_DOTATION_FOURRAGE_M3_HA_YR*ASM_Q03_ENERGIE_POMPAGE_KWH_M3</f>
        <v>144000</v>
      </c>
      <c r="K43" s="51" t="n">
        <f aca="false">ASM_A01_N_FARMS*ASM_E22_SURFACE_FOURRAGE_HA*ASM_Q02_DOTATION_FOURRAGE_M3_HA_YR*ASM_Q03_ENERGIE_POMPAGE_KWH_M3</f>
        <v>144000</v>
      </c>
      <c r="L43" s="51" t="n">
        <f aca="false">ASM_A01_N_FARMS*ASM_E22_SURFACE_FOURRAGE_HA*ASM_Q02_DOTATION_FOURRAGE_M3_HA_YR*ASM_Q03_ENERGIE_POMPAGE_KWH_M3</f>
        <v>144000</v>
      </c>
    </row>
    <row r="44" customFormat="false" ht="15" hidden="false" customHeight="true" outlineLevel="0" collapsed="false">
      <c r="B44" s="50" t="s">
        <v>797</v>
      </c>
      <c r="C44" s="12" t="s">
        <v>795</v>
      </c>
      <c r="D44" s="51" t="n">
        <f aca="false">SUM(E44:L44)</f>
        <v>360000</v>
      </c>
      <c r="E44" s="51" t="n">
        <f aca="false">ASM_A01_N_FARMS*ASM_Q05_CONSO_PROCESS_KWH_FARM_YR</f>
        <v>45000</v>
      </c>
      <c r="F44" s="51" t="n">
        <f aca="false">ASM_A01_N_FARMS*ASM_Q05_CONSO_PROCESS_KWH_FARM_YR</f>
        <v>45000</v>
      </c>
      <c r="G44" s="51" t="n">
        <f aca="false">ASM_A01_N_FARMS*ASM_Q05_CONSO_PROCESS_KWH_FARM_YR</f>
        <v>45000</v>
      </c>
      <c r="H44" s="51" t="n">
        <f aca="false">ASM_A01_N_FARMS*ASM_Q05_CONSO_PROCESS_KWH_FARM_YR</f>
        <v>45000</v>
      </c>
      <c r="I44" s="51" t="n">
        <f aca="false">ASM_A01_N_FARMS*ASM_Q05_CONSO_PROCESS_KWH_FARM_YR</f>
        <v>45000</v>
      </c>
      <c r="J44" s="51" t="n">
        <f aca="false">ASM_A01_N_FARMS*ASM_Q05_CONSO_PROCESS_KWH_FARM_YR</f>
        <v>45000</v>
      </c>
      <c r="K44" s="51" t="n">
        <f aca="false">ASM_A01_N_FARMS*ASM_Q05_CONSO_PROCESS_KWH_FARM_YR</f>
        <v>45000</v>
      </c>
      <c r="L44" s="51" t="n">
        <f aca="false">ASM_A01_N_FARMS*ASM_Q05_CONSO_PROCESS_KWH_FARM_YR</f>
        <v>45000</v>
      </c>
    </row>
    <row r="45" customFormat="false" ht="15" hidden="false" customHeight="true" outlineLevel="0" collapsed="false">
      <c r="B45" s="50" t="s">
        <v>798</v>
      </c>
      <c r="C45" s="12" t="s">
        <v>795</v>
      </c>
      <c r="D45" s="51" t="n">
        <f aca="false">SUM(E45:L45)</f>
        <v>3432000</v>
      </c>
      <c r="E45" s="51" t="n">
        <f aca="false">E42+E43+E44</f>
        <v>429000</v>
      </c>
      <c r="F45" s="51" t="n">
        <f aca="false">F42+F43+F44</f>
        <v>429000</v>
      </c>
      <c r="G45" s="51" t="n">
        <f aca="false">G42+G43+G44</f>
        <v>429000</v>
      </c>
      <c r="H45" s="51" t="n">
        <f aca="false">H42+H43+H44</f>
        <v>429000</v>
      </c>
      <c r="I45" s="51" t="n">
        <f aca="false">I42+I43+I44</f>
        <v>429000</v>
      </c>
      <c r="J45" s="51" t="n">
        <f aca="false">J42+J43+J44</f>
        <v>429000</v>
      </c>
      <c r="K45" s="51" t="n">
        <f aca="false">K42+K43+K44</f>
        <v>429000</v>
      </c>
      <c r="L45" s="51" t="n">
        <f aca="false">L42+L43+L44</f>
        <v>429000</v>
      </c>
    </row>
    <row r="46" customFormat="false" ht="15" hidden="false" customHeight="true" outlineLevel="0" collapsed="false">
      <c r="B46" s="53" t="s">
        <v>799</v>
      </c>
      <c r="C46" s="12" t="s">
        <v>734</v>
      </c>
      <c r="D46" s="24" t="n">
        <f aca="false">SUM(E46:L46)</f>
        <v>643500</v>
      </c>
      <c r="E46" s="24" t="n">
        <f aca="false">E45*ASM_Q04_TARIF_ENERGIE_EUR_KWH*FLAG_POST_COD_YM1</f>
        <v>0</v>
      </c>
      <c r="F46" s="24" t="n">
        <f aca="false">F45*ASM_Q04_TARIF_ENERGIE_EUR_KWH*FLAG_POST_COD_Y0</f>
        <v>0</v>
      </c>
      <c r="G46" s="24" t="n">
        <f aca="false">G45*ASM_Q04_TARIF_ENERGIE_EUR_KWH*FLAG_POST_COD_Y1</f>
        <v>107250</v>
      </c>
      <c r="H46" s="24" t="n">
        <f aca="false">H45*ASM_Q04_TARIF_ENERGIE_EUR_KWH*FLAG_POST_COD_Y2</f>
        <v>107250</v>
      </c>
      <c r="I46" s="24" t="n">
        <f aca="false">I45*ASM_Q04_TARIF_ENERGIE_EUR_KWH*FLAG_POST_COD_Y3</f>
        <v>107250</v>
      </c>
      <c r="J46" s="24" t="n">
        <f aca="false">J45*ASM_Q04_TARIF_ENERGIE_EUR_KWH*FLAG_POST_COD_Y4</f>
        <v>107250</v>
      </c>
      <c r="K46" s="24" t="n">
        <f aca="false">K45*ASM_Q04_TARIF_ENERGIE_EUR_KWH*FLAG_POST_COD_Y5</f>
        <v>107250</v>
      </c>
      <c r="L46" s="24" t="n">
        <f aca="false">L45*ASM_Q04_TARIF_ENERGIE_EUR_KWH*FLAG_POST_COD_Y6</f>
        <v>107250</v>
      </c>
    </row>
    <row r="47" customFormat="false" ht="15" hidden="false" customHeight="true" outlineLevel="0" collapsed="false">
      <c r="B47" s="50" t="s">
        <v>800</v>
      </c>
      <c r="C47" s="12" t="s">
        <v>801</v>
      </c>
      <c r="D47" s="51" t="n">
        <f aca="false">SUM(E47:L47)</f>
        <v>171600</v>
      </c>
      <c r="E47" s="51" t="n">
        <f aca="false">E45*ASM_Q06_PCT_GASOIL_BACKUP/ASM_Q08_RENDEMENT_GROUPE_KWH_L</f>
        <v>21450</v>
      </c>
      <c r="F47" s="51" t="n">
        <f aca="false">F45*ASM_Q06_PCT_GASOIL_BACKUP/ASM_Q08_RENDEMENT_GROUPE_KWH_L</f>
        <v>21450</v>
      </c>
      <c r="G47" s="51" t="n">
        <f aca="false">G45*ASM_Q06_PCT_GASOIL_BACKUP/ASM_Q08_RENDEMENT_GROUPE_KWH_L</f>
        <v>21450</v>
      </c>
      <c r="H47" s="51" t="n">
        <f aca="false">H45*ASM_Q06_PCT_GASOIL_BACKUP/ASM_Q08_RENDEMENT_GROUPE_KWH_L</f>
        <v>21450</v>
      </c>
      <c r="I47" s="51" t="n">
        <f aca="false">I45*ASM_Q06_PCT_GASOIL_BACKUP/ASM_Q08_RENDEMENT_GROUPE_KWH_L</f>
        <v>21450</v>
      </c>
      <c r="J47" s="51" t="n">
        <f aca="false">J45*ASM_Q06_PCT_GASOIL_BACKUP/ASM_Q08_RENDEMENT_GROUPE_KWH_L</f>
        <v>21450</v>
      </c>
      <c r="K47" s="51" t="n">
        <f aca="false">K45*ASM_Q06_PCT_GASOIL_BACKUP/ASM_Q08_RENDEMENT_GROUPE_KWH_L</f>
        <v>21450</v>
      </c>
      <c r="L47" s="51" t="n">
        <f aca="false">L45*ASM_Q06_PCT_GASOIL_BACKUP/ASM_Q08_RENDEMENT_GROUPE_KWH_L</f>
        <v>21450</v>
      </c>
    </row>
    <row r="48" customFormat="false" ht="15" hidden="false" customHeight="true" outlineLevel="0" collapsed="false">
      <c r="B48" s="53" t="s">
        <v>802</v>
      </c>
      <c r="C48" s="12" t="s">
        <v>734</v>
      </c>
      <c r="D48" s="24" t="n">
        <f aca="false">SUM(E48:L48)</f>
        <v>117000</v>
      </c>
      <c r="E48" s="24" t="n">
        <f aca="false">E47*$F$81*FLAG_POST_COD_YM1</f>
        <v>0</v>
      </c>
      <c r="F48" s="24" t="n">
        <f aca="false">F47*$F$81*FLAG_POST_COD_Y0</f>
        <v>0</v>
      </c>
      <c r="G48" s="24" t="n">
        <f aca="false">G47*$F$81*FLAG_POST_COD_Y1</f>
        <v>19500</v>
      </c>
      <c r="H48" s="24" t="n">
        <f aca="false">H47*$F$81*FLAG_POST_COD_Y2</f>
        <v>19500</v>
      </c>
      <c r="I48" s="24" t="n">
        <f aca="false">I47*$F$81*FLAG_POST_COD_Y3</f>
        <v>19500</v>
      </c>
      <c r="J48" s="24" t="n">
        <f aca="false">J47*$F$81*FLAG_POST_COD_Y4</f>
        <v>19500</v>
      </c>
      <c r="K48" s="24" t="n">
        <f aca="false">K47*$F$81*FLAG_POST_COD_Y5</f>
        <v>19500</v>
      </c>
      <c r="L48" s="24" t="n">
        <f aca="false">L47*$F$81*FLAG_POST_COD_Y6</f>
        <v>19500</v>
      </c>
    </row>
    <row r="49" customFormat="false" ht="15" hidden="false" customHeight="true" outlineLevel="0" collapsed="false">
      <c r="B49" s="31" t="s">
        <v>803</v>
      </c>
      <c r="C49" s="56" t="s">
        <v>734</v>
      </c>
      <c r="D49" s="32" t="n">
        <f aca="false">SUM(E49:L49)</f>
        <v>760500</v>
      </c>
      <c r="E49" s="32" t="n">
        <f aca="false">E46+E48</f>
        <v>0</v>
      </c>
      <c r="F49" s="32" t="n">
        <f aca="false">F46+F48</f>
        <v>0</v>
      </c>
      <c r="G49" s="32" t="n">
        <f aca="false">G46+G48</f>
        <v>126750</v>
      </c>
      <c r="H49" s="32" t="n">
        <f aca="false">H46+H48</f>
        <v>126750</v>
      </c>
      <c r="I49" s="32" t="n">
        <f aca="false">I46+I48</f>
        <v>126750</v>
      </c>
      <c r="J49" s="32" t="n">
        <f aca="false">J46+J48</f>
        <v>126750</v>
      </c>
      <c r="K49" s="32" t="n">
        <f aca="false">K46+K48</f>
        <v>126750</v>
      </c>
      <c r="L49" s="32" t="n">
        <f aca="false">L46+L48</f>
        <v>126750</v>
      </c>
    </row>
    <row r="50" customFormat="false" ht="15" hidden="false" customHeight="true" outlineLevel="0" collapsed="false"/>
    <row r="51" customFormat="false" ht="15" hidden="false" customHeight="true" outlineLevel="0" collapsed="false">
      <c r="B51" s="4" t="s">
        <v>804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B52" s="50" t="s">
        <v>805</v>
      </c>
      <c r="C52" s="12" t="s">
        <v>82</v>
      </c>
      <c r="D52" s="51" t="n">
        <f aca="false">SUM(E52:L52)</f>
        <v>2040</v>
      </c>
      <c r="E52" s="51" t="n">
        <f aca="false">ASM_A01_N_FARMS*(ASM_E04_SURFACE_MARAICHER_HA+ASM_E05_SURFACE_CEREALS_HA+ASM_E22_SURFACE_FOURRAGE_HA)</f>
        <v>255</v>
      </c>
      <c r="F52" s="51" t="n">
        <f aca="false">ASM_A01_N_FARMS*(ASM_E04_SURFACE_MARAICHER_HA+ASM_E05_SURFACE_CEREALS_HA+ASM_E22_SURFACE_FOURRAGE_HA)</f>
        <v>255</v>
      </c>
      <c r="G52" s="51" t="n">
        <f aca="false">ASM_A01_N_FARMS*(ASM_E04_SURFACE_MARAICHER_HA+ASM_E05_SURFACE_CEREALS_HA+ASM_E22_SURFACE_FOURRAGE_HA)</f>
        <v>255</v>
      </c>
      <c r="H52" s="51" t="n">
        <f aca="false">ASM_A01_N_FARMS*(ASM_E04_SURFACE_MARAICHER_HA+ASM_E05_SURFACE_CEREALS_HA+ASM_E22_SURFACE_FOURRAGE_HA)</f>
        <v>255</v>
      </c>
      <c r="I52" s="51" t="n">
        <f aca="false">ASM_A01_N_FARMS*(ASM_E04_SURFACE_MARAICHER_HA+ASM_E05_SURFACE_CEREALS_HA+ASM_E22_SURFACE_FOURRAGE_HA)</f>
        <v>255</v>
      </c>
      <c r="J52" s="51" t="n">
        <f aca="false">ASM_A01_N_FARMS*(ASM_E04_SURFACE_MARAICHER_HA+ASM_E05_SURFACE_CEREALS_HA+ASM_E22_SURFACE_FOURRAGE_HA)</f>
        <v>255</v>
      </c>
      <c r="K52" s="51" t="n">
        <f aca="false">ASM_A01_N_FARMS*(ASM_E04_SURFACE_MARAICHER_HA+ASM_E05_SURFACE_CEREALS_HA+ASM_E22_SURFACE_FOURRAGE_HA)</f>
        <v>255</v>
      </c>
      <c r="L52" s="51" t="n">
        <f aca="false">ASM_A01_N_FARMS*(ASM_E04_SURFACE_MARAICHER_HA+ASM_E05_SURFACE_CEREALS_HA+ASM_E22_SURFACE_FOURRAGE_HA)</f>
        <v>255</v>
      </c>
    </row>
    <row r="53" customFormat="false" ht="15" hidden="false" customHeight="true" outlineLevel="0" collapsed="false">
      <c r="B53" s="53" t="s">
        <v>806</v>
      </c>
      <c r="C53" s="12" t="s">
        <v>734</v>
      </c>
      <c r="D53" s="24" t="n">
        <f aca="false">SUM(E53:L53)</f>
        <v>59096.25</v>
      </c>
      <c r="E53" s="24" t="n">
        <f aca="false">E52*ASM_R01_COST_LABOUR_SOL_EUR_HA*IF(E$4=ASM_A04_COD_YEAR,ASM_E20_RAMP_Y1_PCT,IF(E$4=ASM_A04_COD_YEAR+1,ASM_E21_RAMP_Y2_PCT,IF(E$4&gt;ASM_A04_COD_YEAR+1,1,0)))</f>
        <v>0</v>
      </c>
      <c r="F53" s="24" t="n">
        <f aca="false">F52*ASM_R01_COST_LABOUR_SOL_EUR_HA*IF(F$4=ASM_A04_COD_YEAR,ASM_E20_RAMP_Y1_PCT,IF(F$4=ASM_A04_COD_YEAR+1,ASM_E21_RAMP_Y2_PCT,IF(F$4&gt;ASM_A04_COD_YEAR+1,1,0)))</f>
        <v>0</v>
      </c>
      <c r="G53" s="24" t="n">
        <f aca="false">G52*ASM_R01_COST_LABOUR_SOL_EUR_HA*IF(G$4=ASM_A04_COD_YEAR,ASM_E20_RAMP_Y1_PCT,IF(G$4=ASM_A04_COD_YEAR+1,ASM_E21_RAMP_Y2_PCT,IF(G$4&gt;ASM_A04_COD_YEAR+1,1,0)))</f>
        <v>4590</v>
      </c>
      <c r="H53" s="24" t="n">
        <f aca="false">H52*ASM_R01_COST_LABOUR_SOL_EUR_HA*IF(H$4=ASM_A04_COD_YEAR,ASM_E20_RAMP_Y1_PCT,IF(H$4=ASM_A04_COD_YEAR+1,ASM_E21_RAMP_Y2_PCT,IF(H$4&gt;ASM_A04_COD_YEAR+1,1,0)))</f>
        <v>8606.25</v>
      </c>
      <c r="I53" s="24" t="n">
        <f aca="false">I52*ASM_R01_COST_LABOUR_SOL_EUR_HA*IF(I$4=ASM_A04_COD_YEAR,ASM_E20_RAMP_Y1_PCT,IF(I$4=ASM_A04_COD_YEAR+1,ASM_E21_RAMP_Y2_PCT,IF(I$4&gt;ASM_A04_COD_YEAR+1,1,0)))</f>
        <v>11475</v>
      </c>
      <c r="J53" s="24" t="n">
        <f aca="false">J52*ASM_R01_COST_LABOUR_SOL_EUR_HA*IF(J$4=ASM_A04_COD_YEAR,ASM_E20_RAMP_Y1_PCT,IF(J$4=ASM_A04_COD_YEAR+1,ASM_E21_RAMP_Y2_PCT,IF(J$4&gt;ASM_A04_COD_YEAR+1,1,0)))</f>
        <v>11475</v>
      </c>
      <c r="K53" s="24" t="n">
        <f aca="false">K52*ASM_R01_COST_LABOUR_SOL_EUR_HA*IF(K$4=ASM_A04_COD_YEAR,ASM_E20_RAMP_Y1_PCT,IF(K$4=ASM_A04_COD_YEAR+1,ASM_E21_RAMP_Y2_PCT,IF(K$4&gt;ASM_A04_COD_YEAR+1,1,0)))</f>
        <v>11475</v>
      </c>
      <c r="L53" s="24" t="n">
        <f aca="false">L52*ASM_R01_COST_LABOUR_SOL_EUR_HA*IF(L$4=ASM_A04_COD_YEAR,ASM_E20_RAMP_Y1_PCT,IF(L$4=ASM_A04_COD_YEAR+1,ASM_E21_RAMP_Y2_PCT,IF(L$4&gt;ASM_A04_COD_YEAR+1,1,0)))</f>
        <v>11475</v>
      </c>
    </row>
    <row r="54" customFormat="false" ht="15" hidden="false" customHeight="true" outlineLevel="0" collapsed="false">
      <c r="B54" s="53" t="s">
        <v>807</v>
      </c>
      <c r="C54" s="12" t="s">
        <v>734</v>
      </c>
      <c r="D54" s="24" t="n">
        <f aca="false">SUM(E54:L54)</f>
        <v>28968.75</v>
      </c>
      <c r="E54" s="24" t="n">
        <f aca="false">ASM_A01_N_FARMS*ASM_E04_SURFACE_MARAICHER_HA*ASM_E07_N_CYCLES_MARAICHER*ASM_R02_COST_SEMIS_EUR_HA*IF(E$4=ASM_A04_COD_YEAR,ASM_E20_RAMP_Y1_PCT,IF(E$4=ASM_A04_COD_YEAR+1,ASM_E21_RAMP_Y2_PCT,IF(E$4&gt;ASM_A04_COD_YEAR+1,1,0)))</f>
        <v>0</v>
      </c>
      <c r="F54" s="24" t="n">
        <f aca="false">ASM_A01_N_FARMS*ASM_E04_SURFACE_MARAICHER_HA*ASM_E07_N_CYCLES_MARAICHER*ASM_R02_COST_SEMIS_EUR_HA*IF(F$4=ASM_A04_COD_YEAR,ASM_E20_RAMP_Y1_PCT,IF(F$4=ASM_A04_COD_YEAR+1,ASM_E21_RAMP_Y2_PCT,IF(F$4&gt;ASM_A04_COD_YEAR+1,1,0)))</f>
        <v>0</v>
      </c>
      <c r="G54" s="24" t="n">
        <f aca="false">ASM_A01_N_FARMS*ASM_E04_SURFACE_MARAICHER_HA*ASM_E07_N_CYCLES_MARAICHER*ASM_R02_COST_SEMIS_EUR_HA*IF(G$4=ASM_A04_COD_YEAR,ASM_E20_RAMP_Y1_PCT,IF(G$4=ASM_A04_COD_YEAR+1,ASM_E21_RAMP_Y2_PCT,IF(G$4&gt;ASM_A04_COD_YEAR+1,1,0)))</f>
        <v>2250</v>
      </c>
      <c r="H54" s="24" t="n">
        <f aca="false">ASM_A01_N_FARMS*ASM_E04_SURFACE_MARAICHER_HA*ASM_E07_N_CYCLES_MARAICHER*ASM_R02_COST_SEMIS_EUR_HA*IF(H$4=ASM_A04_COD_YEAR,ASM_E20_RAMP_Y1_PCT,IF(H$4=ASM_A04_COD_YEAR+1,ASM_E21_RAMP_Y2_PCT,IF(H$4&gt;ASM_A04_COD_YEAR+1,1,0)))</f>
        <v>4218.75</v>
      </c>
      <c r="I54" s="24" t="n">
        <f aca="false">ASM_A01_N_FARMS*ASM_E04_SURFACE_MARAICHER_HA*ASM_E07_N_CYCLES_MARAICHER*ASM_R02_COST_SEMIS_EUR_HA*IF(I$4=ASM_A04_COD_YEAR,ASM_E20_RAMP_Y1_PCT,IF(I$4=ASM_A04_COD_YEAR+1,ASM_E21_RAMP_Y2_PCT,IF(I$4&gt;ASM_A04_COD_YEAR+1,1,0)))</f>
        <v>5625</v>
      </c>
      <c r="J54" s="24" t="n">
        <f aca="false">ASM_A01_N_FARMS*ASM_E04_SURFACE_MARAICHER_HA*ASM_E07_N_CYCLES_MARAICHER*ASM_R02_COST_SEMIS_EUR_HA*IF(J$4=ASM_A04_COD_YEAR,ASM_E20_RAMP_Y1_PCT,IF(J$4=ASM_A04_COD_YEAR+1,ASM_E21_RAMP_Y2_PCT,IF(J$4&gt;ASM_A04_COD_YEAR+1,1,0)))</f>
        <v>5625</v>
      </c>
      <c r="K54" s="24" t="n">
        <f aca="false">ASM_A01_N_FARMS*ASM_E04_SURFACE_MARAICHER_HA*ASM_E07_N_CYCLES_MARAICHER*ASM_R02_COST_SEMIS_EUR_HA*IF(K$4=ASM_A04_COD_YEAR,ASM_E20_RAMP_Y1_PCT,IF(K$4=ASM_A04_COD_YEAR+1,ASM_E21_RAMP_Y2_PCT,IF(K$4&gt;ASM_A04_COD_YEAR+1,1,0)))</f>
        <v>5625</v>
      </c>
      <c r="L54" s="24" t="n">
        <f aca="false">ASM_A01_N_FARMS*ASM_E04_SURFACE_MARAICHER_HA*ASM_E07_N_CYCLES_MARAICHER*ASM_R02_COST_SEMIS_EUR_HA*IF(L$4=ASM_A04_COD_YEAR,ASM_E20_RAMP_Y1_PCT,IF(L$4=ASM_A04_COD_YEAR+1,ASM_E21_RAMP_Y2_PCT,IF(L$4&gt;ASM_A04_COD_YEAR+1,1,0)))</f>
        <v>5625</v>
      </c>
    </row>
    <row r="55" customFormat="false" ht="15" hidden="false" customHeight="true" outlineLevel="0" collapsed="false">
      <c r="B55" s="53" t="s">
        <v>808</v>
      </c>
      <c r="C55" s="12" t="s">
        <v>734</v>
      </c>
      <c r="D55" s="24" t="n">
        <f aca="false">SUM(E55:L55)</f>
        <v>19312.5</v>
      </c>
      <c r="E55" s="24" t="n">
        <f aca="false">ASM_A01_N_FARMS*ASM_E05_SURFACE_CEREALS_HA*ASM_R02_COST_SEMIS_EUR_HA*IF(E$4=ASM_A04_COD_YEAR,ASM_E20_RAMP_Y1_PCT,IF(E$4=ASM_A04_COD_YEAR+1,ASM_E21_RAMP_Y2_PCT,IF(E$4&gt;ASM_A04_COD_YEAR+1,1,0)))</f>
        <v>0</v>
      </c>
      <c r="F55" s="24" t="n">
        <f aca="false">ASM_A01_N_FARMS*ASM_E05_SURFACE_CEREALS_HA*ASM_R02_COST_SEMIS_EUR_HA*IF(F$4=ASM_A04_COD_YEAR,ASM_E20_RAMP_Y1_PCT,IF(F$4=ASM_A04_COD_YEAR+1,ASM_E21_RAMP_Y2_PCT,IF(F$4&gt;ASM_A04_COD_YEAR+1,1,0)))</f>
        <v>0</v>
      </c>
      <c r="G55" s="24" t="n">
        <f aca="false">ASM_A01_N_FARMS*ASM_E05_SURFACE_CEREALS_HA*ASM_R02_COST_SEMIS_EUR_HA*IF(G$4=ASM_A04_COD_YEAR,ASM_E20_RAMP_Y1_PCT,IF(G$4=ASM_A04_COD_YEAR+1,ASM_E21_RAMP_Y2_PCT,IF(G$4&gt;ASM_A04_COD_YEAR+1,1,0)))</f>
        <v>1500</v>
      </c>
      <c r="H55" s="24" t="n">
        <f aca="false">ASM_A01_N_FARMS*ASM_E05_SURFACE_CEREALS_HA*ASM_R02_COST_SEMIS_EUR_HA*IF(H$4=ASM_A04_COD_YEAR,ASM_E20_RAMP_Y1_PCT,IF(H$4=ASM_A04_COD_YEAR+1,ASM_E21_RAMP_Y2_PCT,IF(H$4&gt;ASM_A04_COD_YEAR+1,1,0)))</f>
        <v>2812.5</v>
      </c>
      <c r="I55" s="24" t="n">
        <f aca="false">ASM_A01_N_FARMS*ASM_E05_SURFACE_CEREALS_HA*ASM_R02_COST_SEMIS_EUR_HA*IF(I$4=ASM_A04_COD_YEAR,ASM_E20_RAMP_Y1_PCT,IF(I$4=ASM_A04_COD_YEAR+1,ASM_E21_RAMP_Y2_PCT,IF(I$4&gt;ASM_A04_COD_YEAR+1,1,0)))</f>
        <v>3750</v>
      </c>
      <c r="J55" s="24" t="n">
        <f aca="false">ASM_A01_N_FARMS*ASM_E05_SURFACE_CEREALS_HA*ASM_R02_COST_SEMIS_EUR_HA*IF(J$4=ASM_A04_COD_YEAR,ASM_E20_RAMP_Y1_PCT,IF(J$4=ASM_A04_COD_YEAR+1,ASM_E21_RAMP_Y2_PCT,IF(J$4&gt;ASM_A04_COD_YEAR+1,1,0)))</f>
        <v>3750</v>
      </c>
      <c r="K55" s="24" t="n">
        <f aca="false">ASM_A01_N_FARMS*ASM_E05_SURFACE_CEREALS_HA*ASM_R02_COST_SEMIS_EUR_HA*IF(K$4=ASM_A04_COD_YEAR,ASM_E20_RAMP_Y1_PCT,IF(K$4=ASM_A04_COD_YEAR+1,ASM_E21_RAMP_Y2_PCT,IF(K$4&gt;ASM_A04_COD_YEAR+1,1,0)))</f>
        <v>3750</v>
      </c>
      <c r="L55" s="24" t="n">
        <f aca="false">ASM_A01_N_FARMS*ASM_E05_SURFACE_CEREALS_HA*ASM_R02_COST_SEMIS_EUR_HA*IF(L$4=ASM_A04_COD_YEAR,ASM_E20_RAMP_Y1_PCT,IF(L$4=ASM_A04_COD_YEAR+1,ASM_E21_RAMP_Y2_PCT,IF(L$4&gt;ASM_A04_COD_YEAR+1,1,0)))</f>
        <v>3750</v>
      </c>
    </row>
    <row r="56" customFormat="false" ht="15" hidden="false" customHeight="true" outlineLevel="0" collapsed="false">
      <c r="B56" s="53" t="s">
        <v>809</v>
      </c>
      <c r="C56" s="12" t="s">
        <v>734</v>
      </c>
      <c r="D56" s="24" t="n">
        <f aca="false">SUM(E56:L56)</f>
        <v>69525</v>
      </c>
      <c r="E56" s="24" t="n">
        <f aca="false">ASM_A01_N_FARMS*ASM_E04_SURFACE_MARAICHER_HA*ASM_E07_N_CYCLES_MARAICHER*ASM_R03_COST_RECOLTE_MARAICH_EUR_HA_CYCLE*IF(E$4=ASM_A04_COD_YEAR,ASM_E20_RAMP_Y1_PCT,IF(E$4=ASM_A04_COD_YEAR+1,ASM_E21_RAMP_Y2_PCT,IF(E$4&gt;ASM_A04_COD_YEAR+1,1,0)))</f>
        <v>0</v>
      </c>
      <c r="F56" s="24" t="n">
        <f aca="false">ASM_A01_N_FARMS*ASM_E04_SURFACE_MARAICHER_HA*ASM_E07_N_CYCLES_MARAICHER*ASM_R03_COST_RECOLTE_MARAICH_EUR_HA_CYCLE*IF(F$4=ASM_A04_COD_YEAR,ASM_E20_RAMP_Y1_PCT,IF(F$4=ASM_A04_COD_YEAR+1,ASM_E21_RAMP_Y2_PCT,IF(F$4&gt;ASM_A04_COD_YEAR+1,1,0)))</f>
        <v>0</v>
      </c>
      <c r="G56" s="24" t="n">
        <f aca="false">ASM_A01_N_FARMS*ASM_E04_SURFACE_MARAICHER_HA*ASM_E07_N_CYCLES_MARAICHER*ASM_R03_COST_RECOLTE_MARAICH_EUR_HA_CYCLE*IF(G$4=ASM_A04_COD_YEAR,ASM_E20_RAMP_Y1_PCT,IF(G$4=ASM_A04_COD_YEAR+1,ASM_E21_RAMP_Y2_PCT,IF(G$4&gt;ASM_A04_COD_YEAR+1,1,0)))</f>
        <v>5400</v>
      </c>
      <c r="H56" s="24" t="n">
        <f aca="false">ASM_A01_N_FARMS*ASM_E04_SURFACE_MARAICHER_HA*ASM_E07_N_CYCLES_MARAICHER*ASM_R03_COST_RECOLTE_MARAICH_EUR_HA_CYCLE*IF(H$4=ASM_A04_COD_YEAR,ASM_E20_RAMP_Y1_PCT,IF(H$4=ASM_A04_COD_YEAR+1,ASM_E21_RAMP_Y2_PCT,IF(H$4&gt;ASM_A04_COD_YEAR+1,1,0)))</f>
        <v>10125</v>
      </c>
      <c r="I56" s="24" t="n">
        <f aca="false">ASM_A01_N_FARMS*ASM_E04_SURFACE_MARAICHER_HA*ASM_E07_N_CYCLES_MARAICHER*ASM_R03_COST_RECOLTE_MARAICH_EUR_HA_CYCLE*IF(I$4=ASM_A04_COD_YEAR,ASM_E20_RAMP_Y1_PCT,IF(I$4=ASM_A04_COD_YEAR+1,ASM_E21_RAMP_Y2_PCT,IF(I$4&gt;ASM_A04_COD_YEAR+1,1,0)))</f>
        <v>13500</v>
      </c>
      <c r="J56" s="24" t="n">
        <f aca="false">ASM_A01_N_FARMS*ASM_E04_SURFACE_MARAICHER_HA*ASM_E07_N_CYCLES_MARAICHER*ASM_R03_COST_RECOLTE_MARAICH_EUR_HA_CYCLE*IF(J$4=ASM_A04_COD_YEAR,ASM_E20_RAMP_Y1_PCT,IF(J$4=ASM_A04_COD_YEAR+1,ASM_E21_RAMP_Y2_PCT,IF(J$4&gt;ASM_A04_COD_YEAR+1,1,0)))</f>
        <v>13500</v>
      </c>
      <c r="K56" s="24" t="n">
        <f aca="false">ASM_A01_N_FARMS*ASM_E04_SURFACE_MARAICHER_HA*ASM_E07_N_CYCLES_MARAICHER*ASM_R03_COST_RECOLTE_MARAICH_EUR_HA_CYCLE*IF(K$4=ASM_A04_COD_YEAR,ASM_E20_RAMP_Y1_PCT,IF(K$4=ASM_A04_COD_YEAR+1,ASM_E21_RAMP_Y2_PCT,IF(K$4&gt;ASM_A04_COD_YEAR+1,1,0)))</f>
        <v>13500</v>
      </c>
      <c r="L56" s="24" t="n">
        <f aca="false">ASM_A01_N_FARMS*ASM_E04_SURFACE_MARAICHER_HA*ASM_E07_N_CYCLES_MARAICHER*ASM_R03_COST_RECOLTE_MARAICH_EUR_HA_CYCLE*IF(L$4=ASM_A04_COD_YEAR,ASM_E20_RAMP_Y1_PCT,IF(L$4=ASM_A04_COD_YEAR+1,ASM_E21_RAMP_Y2_PCT,IF(L$4&gt;ASM_A04_COD_YEAR+1,1,0)))</f>
        <v>13500</v>
      </c>
    </row>
    <row r="57" customFormat="false" ht="15" hidden="false" customHeight="true" outlineLevel="0" collapsed="false">
      <c r="B57" s="53" t="s">
        <v>810</v>
      </c>
      <c r="C57" s="12" t="s">
        <v>734</v>
      </c>
      <c r="D57" s="24" t="n">
        <f aca="false">SUM(E57:L57)</f>
        <v>61800</v>
      </c>
      <c r="E57" s="24" t="n">
        <f aca="false">ASM_A01_N_FARMS*ASM_E05_SURFACE_CEREALS_HA*ASM_R04_COST_RECOLTE_CEREAL_EUR_HA*IF(E$4=ASM_A04_COD_YEAR,ASM_E20_RAMP_Y1_PCT,IF(E$4=ASM_A04_COD_YEAR+1,ASM_E21_RAMP_Y2_PCT,IF(E$4&gt;ASM_A04_COD_YEAR+1,1,0)))</f>
        <v>0</v>
      </c>
      <c r="F57" s="24" t="n">
        <f aca="false">ASM_A01_N_FARMS*ASM_E05_SURFACE_CEREALS_HA*ASM_R04_COST_RECOLTE_CEREAL_EUR_HA*IF(F$4=ASM_A04_COD_YEAR,ASM_E20_RAMP_Y1_PCT,IF(F$4=ASM_A04_COD_YEAR+1,ASM_E21_RAMP_Y2_PCT,IF(F$4&gt;ASM_A04_COD_YEAR+1,1,0)))</f>
        <v>0</v>
      </c>
      <c r="G57" s="24" t="n">
        <f aca="false">ASM_A01_N_FARMS*ASM_E05_SURFACE_CEREALS_HA*ASM_R04_COST_RECOLTE_CEREAL_EUR_HA*IF(G$4=ASM_A04_COD_YEAR,ASM_E20_RAMP_Y1_PCT,IF(G$4=ASM_A04_COD_YEAR+1,ASM_E21_RAMP_Y2_PCT,IF(G$4&gt;ASM_A04_COD_YEAR+1,1,0)))</f>
        <v>4800</v>
      </c>
      <c r="H57" s="24" t="n">
        <f aca="false">ASM_A01_N_FARMS*ASM_E05_SURFACE_CEREALS_HA*ASM_R04_COST_RECOLTE_CEREAL_EUR_HA*IF(H$4=ASM_A04_COD_YEAR,ASM_E20_RAMP_Y1_PCT,IF(H$4=ASM_A04_COD_YEAR+1,ASM_E21_RAMP_Y2_PCT,IF(H$4&gt;ASM_A04_COD_YEAR+1,1,0)))</f>
        <v>9000</v>
      </c>
      <c r="I57" s="24" t="n">
        <f aca="false">ASM_A01_N_FARMS*ASM_E05_SURFACE_CEREALS_HA*ASM_R04_COST_RECOLTE_CEREAL_EUR_HA*IF(I$4=ASM_A04_COD_YEAR,ASM_E20_RAMP_Y1_PCT,IF(I$4=ASM_A04_COD_YEAR+1,ASM_E21_RAMP_Y2_PCT,IF(I$4&gt;ASM_A04_COD_YEAR+1,1,0)))</f>
        <v>12000</v>
      </c>
      <c r="J57" s="24" t="n">
        <f aca="false">ASM_A01_N_FARMS*ASM_E05_SURFACE_CEREALS_HA*ASM_R04_COST_RECOLTE_CEREAL_EUR_HA*IF(J$4=ASM_A04_COD_YEAR,ASM_E20_RAMP_Y1_PCT,IF(J$4=ASM_A04_COD_YEAR+1,ASM_E21_RAMP_Y2_PCT,IF(J$4&gt;ASM_A04_COD_YEAR+1,1,0)))</f>
        <v>12000</v>
      </c>
      <c r="K57" s="24" t="n">
        <f aca="false">ASM_A01_N_FARMS*ASM_E05_SURFACE_CEREALS_HA*ASM_R04_COST_RECOLTE_CEREAL_EUR_HA*IF(K$4=ASM_A04_COD_YEAR,ASM_E20_RAMP_Y1_PCT,IF(K$4=ASM_A04_COD_YEAR+1,ASM_E21_RAMP_Y2_PCT,IF(K$4&gt;ASM_A04_COD_YEAR+1,1,0)))</f>
        <v>12000</v>
      </c>
      <c r="L57" s="24" t="n">
        <f aca="false">ASM_A01_N_FARMS*ASM_E05_SURFACE_CEREALS_HA*ASM_R04_COST_RECOLTE_CEREAL_EUR_HA*IF(L$4=ASM_A04_COD_YEAR,ASM_E20_RAMP_Y1_PCT,IF(L$4=ASM_A04_COD_YEAR+1,ASM_E21_RAMP_Y2_PCT,IF(L$4&gt;ASM_A04_COD_YEAR+1,1,0)))</f>
        <v>12000</v>
      </c>
    </row>
    <row r="58" customFormat="false" ht="15" hidden="false" customHeight="true" outlineLevel="0" collapsed="false">
      <c r="B58" s="50" t="s">
        <v>811</v>
      </c>
      <c r="C58" s="12" t="s">
        <v>752</v>
      </c>
      <c r="D58" s="51" t="n">
        <f aca="false">SUM(E58:L58)</f>
        <v>30600</v>
      </c>
      <c r="E58" s="51" t="n">
        <f aca="false">ASM_A01_N_FARMS*(ASM_E04_SURFACE_MARAICHER_HA*ASM_E15_YIELD_MARAICH_T_PER_HA*ASM_E07_N_CYCLES_MARAICHER+ASM_E05_SURFACE_CEREALS_HA*ASM_E14_YIELD_CEREAL_T_PER_HA)</f>
        <v>3825</v>
      </c>
      <c r="F58" s="51" t="n">
        <f aca="false">ASM_A01_N_FARMS*(ASM_E04_SURFACE_MARAICHER_HA*ASM_E15_YIELD_MARAICH_T_PER_HA*ASM_E07_N_CYCLES_MARAICHER+ASM_E05_SURFACE_CEREALS_HA*ASM_E14_YIELD_CEREAL_T_PER_HA)</f>
        <v>3825</v>
      </c>
      <c r="G58" s="51" t="n">
        <f aca="false">ASM_A01_N_FARMS*(ASM_E04_SURFACE_MARAICHER_HA*ASM_E15_YIELD_MARAICH_T_PER_HA*ASM_E07_N_CYCLES_MARAICHER+ASM_E05_SURFACE_CEREALS_HA*ASM_E14_YIELD_CEREAL_T_PER_HA)</f>
        <v>3825</v>
      </c>
      <c r="H58" s="51" t="n">
        <f aca="false">ASM_A01_N_FARMS*(ASM_E04_SURFACE_MARAICHER_HA*ASM_E15_YIELD_MARAICH_T_PER_HA*ASM_E07_N_CYCLES_MARAICHER+ASM_E05_SURFACE_CEREALS_HA*ASM_E14_YIELD_CEREAL_T_PER_HA)</f>
        <v>3825</v>
      </c>
      <c r="I58" s="51" t="n">
        <f aca="false">ASM_A01_N_FARMS*(ASM_E04_SURFACE_MARAICHER_HA*ASM_E15_YIELD_MARAICH_T_PER_HA*ASM_E07_N_CYCLES_MARAICHER+ASM_E05_SURFACE_CEREALS_HA*ASM_E14_YIELD_CEREAL_T_PER_HA)</f>
        <v>3825</v>
      </c>
      <c r="J58" s="51" t="n">
        <f aca="false">ASM_A01_N_FARMS*(ASM_E04_SURFACE_MARAICHER_HA*ASM_E15_YIELD_MARAICH_T_PER_HA*ASM_E07_N_CYCLES_MARAICHER+ASM_E05_SURFACE_CEREALS_HA*ASM_E14_YIELD_CEREAL_T_PER_HA)</f>
        <v>3825</v>
      </c>
      <c r="K58" s="51" t="n">
        <f aca="false">ASM_A01_N_FARMS*(ASM_E04_SURFACE_MARAICHER_HA*ASM_E15_YIELD_MARAICH_T_PER_HA*ASM_E07_N_CYCLES_MARAICHER+ASM_E05_SURFACE_CEREALS_HA*ASM_E14_YIELD_CEREAL_T_PER_HA)</f>
        <v>3825</v>
      </c>
      <c r="L58" s="51" t="n">
        <f aca="false">ASM_A01_N_FARMS*(ASM_E04_SURFACE_MARAICHER_HA*ASM_E15_YIELD_MARAICH_T_PER_HA*ASM_E07_N_CYCLES_MARAICHER+ASM_E05_SURFACE_CEREALS_HA*ASM_E14_YIELD_CEREAL_T_PER_HA)</f>
        <v>3825</v>
      </c>
    </row>
    <row r="59" customFormat="false" ht="15" hidden="false" customHeight="true" outlineLevel="0" collapsed="false">
      <c r="B59" s="53" t="s">
        <v>812</v>
      </c>
      <c r="C59" s="12" t="s">
        <v>734</v>
      </c>
      <c r="D59" s="24" t="n">
        <f aca="false">SUM(E59:L59)</f>
        <v>295481.25</v>
      </c>
      <c r="E59" s="24" t="n">
        <f aca="false">E58*ASM_R05_COST_TRANSPORT_EUR_T*IF(E$4=ASM_A04_COD_YEAR,ASM_E20_RAMP_Y1_PCT,IF(E$4=ASM_A04_COD_YEAR+1,ASM_E21_RAMP_Y2_PCT,IF(E$4&gt;ASM_A04_COD_YEAR+1,1,0)))</f>
        <v>0</v>
      </c>
      <c r="F59" s="24" t="n">
        <f aca="false">F58*ASM_R05_COST_TRANSPORT_EUR_T*IF(F$4=ASM_A04_COD_YEAR,ASM_E20_RAMP_Y1_PCT,IF(F$4=ASM_A04_COD_YEAR+1,ASM_E21_RAMP_Y2_PCT,IF(F$4&gt;ASM_A04_COD_YEAR+1,1,0)))</f>
        <v>0</v>
      </c>
      <c r="G59" s="24" t="n">
        <f aca="false">G58*ASM_R05_COST_TRANSPORT_EUR_T*IF(G$4=ASM_A04_COD_YEAR,ASM_E20_RAMP_Y1_PCT,IF(G$4=ASM_A04_COD_YEAR+1,ASM_E21_RAMP_Y2_PCT,IF(G$4&gt;ASM_A04_COD_YEAR+1,1,0)))</f>
        <v>22950</v>
      </c>
      <c r="H59" s="24" t="n">
        <f aca="false">H58*ASM_R05_COST_TRANSPORT_EUR_T*IF(H$4=ASM_A04_COD_YEAR,ASM_E20_RAMP_Y1_PCT,IF(H$4=ASM_A04_COD_YEAR+1,ASM_E21_RAMP_Y2_PCT,IF(H$4&gt;ASM_A04_COD_YEAR+1,1,0)))</f>
        <v>43031.25</v>
      </c>
      <c r="I59" s="24" t="n">
        <f aca="false">I58*ASM_R05_COST_TRANSPORT_EUR_T*IF(I$4=ASM_A04_COD_YEAR,ASM_E20_RAMP_Y1_PCT,IF(I$4=ASM_A04_COD_YEAR+1,ASM_E21_RAMP_Y2_PCT,IF(I$4&gt;ASM_A04_COD_YEAR+1,1,0)))</f>
        <v>57375</v>
      </c>
      <c r="J59" s="24" t="n">
        <f aca="false">J58*ASM_R05_COST_TRANSPORT_EUR_T*IF(J$4=ASM_A04_COD_YEAR,ASM_E20_RAMP_Y1_PCT,IF(J$4=ASM_A04_COD_YEAR+1,ASM_E21_RAMP_Y2_PCT,IF(J$4&gt;ASM_A04_COD_YEAR+1,1,0)))</f>
        <v>57375</v>
      </c>
      <c r="K59" s="24" t="n">
        <f aca="false">K58*ASM_R05_COST_TRANSPORT_EUR_T*IF(K$4=ASM_A04_COD_YEAR,ASM_E20_RAMP_Y1_PCT,IF(K$4=ASM_A04_COD_YEAR+1,ASM_E21_RAMP_Y2_PCT,IF(K$4&gt;ASM_A04_COD_YEAR+1,1,0)))</f>
        <v>57375</v>
      </c>
      <c r="L59" s="24" t="n">
        <f aca="false">L58*ASM_R05_COST_TRANSPORT_EUR_T*IF(L$4=ASM_A04_COD_YEAR,ASM_E20_RAMP_Y1_PCT,IF(L$4=ASM_A04_COD_YEAR+1,ASM_E21_RAMP_Y2_PCT,IF(L$4&gt;ASM_A04_COD_YEAR+1,1,0)))</f>
        <v>57375</v>
      </c>
    </row>
    <row r="60" customFormat="false" ht="15" hidden="false" customHeight="true" outlineLevel="0" collapsed="false">
      <c r="B60" s="50" t="s">
        <v>813</v>
      </c>
      <c r="C60" s="12" t="s">
        <v>814</v>
      </c>
      <c r="D60" s="51" t="n">
        <f aca="false">SUM(E60:L60)</f>
        <v>1440</v>
      </c>
      <c r="E60" s="51" t="n">
        <f aca="false">ASM_A01_N_FARMS*ASM_E22_SURFACE_FOURRAGE_HA*ASM_R07_N_COUPES_FOURRAGE_YR</f>
        <v>180</v>
      </c>
      <c r="F60" s="51" t="n">
        <f aca="false">ASM_A01_N_FARMS*ASM_E22_SURFACE_FOURRAGE_HA*ASM_R07_N_COUPES_FOURRAGE_YR</f>
        <v>180</v>
      </c>
      <c r="G60" s="51" t="n">
        <f aca="false">ASM_A01_N_FARMS*ASM_E22_SURFACE_FOURRAGE_HA*ASM_R07_N_COUPES_FOURRAGE_YR</f>
        <v>180</v>
      </c>
      <c r="H60" s="51" t="n">
        <f aca="false">ASM_A01_N_FARMS*ASM_E22_SURFACE_FOURRAGE_HA*ASM_R07_N_COUPES_FOURRAGE_YR</f>
        <v>180</v>
      </c>
      <c r="I60" s="51" t="n">
        <f aca="false">ASM_A01_N_FARMS*ASM_E22_SURFACE_FOURRAGE_HA*ASM_R07_N_COUPES_FOURRAGE_YR</f>
        <v>180</v>
      </c>
      <c r="J60" s="51" t="n">
        <f aca="false">ASM_A01_N_FARMS*ASM_E22_SURFACE_FOURRAGE_HA*ASM_R07_N_COUPES_FOURRAGE_YR</f>
        <v>180</v>
      </c>
      <c r="K60" s="51" t="n">
        <f aca="false">ASM_A01_N_FARMS*ASM_E22_SURFACE_FOURRAGE_HA*ASM_R07_N_COUPES_FOURRAGE_YR</f>
        <v>180</v>
      </c>
      <c r="L60" s="51" t="n">
        <f aca="false">ASM_A01_N_FARMS*ASM_E22_SURFACE_FOURRAGE_HA*ASM_R07_N_COUPES_FOURRAGE_YR</f>
        <v>180</v>
      </c>
    </row>
    <row r="61" customFormat="false" ht="15" hidden="false" customHeight="true" outlineLevel="0" collapsed="false">
      <c r="B61" s="53" t="s">
        <v>815</v>
      </c>
      <c r="C61" s="12" t="s">
        <v>734</v>
      </c>
      <c r="D61" s="24" t="n">
        <f aca="false">SUM(E61:L61)</f>
        <v>27810</v>
      </c>
      <c r="E61" s="24" t="n">
        <f aca="false">E60*ASM_R06_COST_COUPE_FOURRAGE_EUR_HA_COUPE*IF(E$4=ASM_A04_COD_YEAR,ASM_E20_RAMP_Y1_PCT,IF(E$4=ASM_A04_COD_YEAR+1,ASM_E21_RAMP_Y2_PCT,IF(E$4&gt;ASM_A04_COD_YEAR+1,1,0)))</f>
        <v>0</v>
      </c>
      <c r="F61" s="24" t="n">
        <f aca="false">F60*ASM_R06_COST_COUPE_FOURRAGE_EUR_HA_COUPE*IF(F$4=ASM_A04_COD_YEAR,ASM_E20_RAMP_Y1_PCT,IF(F$4=ASM_A04_COD_YEAR+1,ASM_E21_RAMP_Y2_PCT,IF(F$4&gt;ASM_A04_COD_YEAR+1,1,0)))</f>
        <v>0</v>
      </c>
      <c r="G61" s="24" t="n">
        <f aca="false">G60*ASM_R06_COST_COUPE_FOURRAGE_EUR_HA_COUPE*IF(G$4=ASM_A04_COD_YEAR,ASM_E20_RAMP_Y1_PCT,IF(G$4=ASM_A04_COD_YEAR+1,ASM_E21_RAMP_Y2_PCT,IF(G$4&gt;ASM_A04_COD_YEAR+1,1,0)))</f>
        <v>2160</v>
      </c>
      <c r="H61" s="24" t="n">
        <f aca="false">H60*ASM_R06_COST_COUPE_FOURRAGE_EUR_HA_COUPE*IF(H$4=ASM_A04_COD_YEAR,ASM_E20_RAMP_Y1_PCT,IF(H$4=ASM_A04_COD_YEAR+1,ASM_E21_RAMP_Y2_PCT,IF(H$4&gt;ASM_A04_COD_YEAR+1,1,0)))</f>
        <v>4050</v>
      </c>
      <c r="I61" s="24" t="n">
        <f aca="false">I60*ASM_R06_COST_COUPE_FOURRAGE_EUR_HA_COUPE*IF(I$4=ASM_A04_COD_YEAR,ASM_E20_RAMP_Y1_PCT,IF(I$4=ASM_A04_COD_YEAR+1,ASM_E21_RAMP_Y2_PCT,IF(I$4&gt;ASM_A04_COD_YEAR+1,1,0)))</f>
        <v>5400</v>
      </c>
      <c r="J61" s="24" t="n">
        <f aca="false">J60*ASM_R06_COST_COUPE_FOURRAGE_EUR_HA_COUPE*IF(J$4=ASM_A04_COD_YEAR,ASM_E20_RAMP_Y1_PCT,IF(J$4=ASM_A04_COD_YEAR+1,ASM_E21_RAMP_Y2_PCT,IF(J$4&gt;ASM_A04_COD_YEAR+1,1,0)))</f>
        <v>5400</v>
      </c>
      <c r="K61" s="24" t="n">
        <f aca="false">K60*ASM_R06_COST_COUPE_FOURRAGE_EUR_HA_COUPE*IF(K$4=ASM_A04_COD_YEAR,ASM_E20_RAMP_Y1_PCT,IF(K$4=ASM_A04_COD_YEAR+1,ASM_E21_RAMP_Y2_PCT,IF(K$4&gt;ASM_A04_COD_YEAR+1,1,0)))</f>
        <v>5400</v>
      </c>
      <c r="L61" s="24" t="n">
        <f aca="false">L60*ASM_R06_COST_COUPE_FOURRAGE_EUR_HA_COUPE*IF(L$4=ASM_A04_COD_YEAR,ASM_E20_RAMP_Y1_PCT,IF(L$4=ASM_A04_COD_YEAR+1,ASM_E21_RAMP_Y2_PCT,IF(L$4&gt;ASM_A04_COD_YEAR+1,1,0)))</f>
        <v>5400</v>
      </c>
    </row>
    <row r="62" customFormat="false" ht="15" hidden="false" customHeight="true" outlineLevel="0" collapsed="false">
      <c r="B62" s="53" t="s">
        <v>816</v>
      </c>
      <c r="C62" s="12" t="s">
        <v>734</v>
      </c>
      <c r="D62" s="24" t="n">
        <f aca="false">SUM(E62:L62)</f>
        <v>24001.5</v>
      </c>
      <c r="E62" s="24" t="n">
        <f aca="false">ASM_N08_DEP_BASE_EQUIPMENT_EUR*ASM_R08_PCT_ENTRETIEN_MATERIEL_YR*FLAG_POST_COD_YM1</f>
        <v>0</v>
      </c>
      <c r="F62" s="24" t="n">
        <f aca="false">ASM_N08_DEP_BASE_EQUIPMENT_EUR*ASM_R08_PCT_ENTRETIEN_MATERIEL_YR*FLAG_POST_COD_Y0</f>
        <v>0</v>
      </c>
      <c r="G62" s="24" t="n">
        <f aca="false">ASM_N08_DEP_BASE_EQUIPMENT_EUR*ASM_R08_PCT_ENTRETIEN_MATERIEL_YR*FLAG_POST_COD_Y1</f>
        <v>4000.25</v>
      </c>
      <c r="H62" s="24" t="n">
        <f aca="false">ASM_N08_DEP_BASE_EQUIPMENT_EUR*ASM_R08_PCT_ENTRETIEN_MATERIEL_YR*FLAG_POST_COD_Y2</f>
        <v>4000.25</v>
      </c>
      <c r="I62" s="24" t="n">
        <f aca="false">ASM_N08_DEP_BASE_EQUIPMENT_EUR*ASM_R08_PCT_ENTRETIEN_MATERIEL_YR*FLAG_POST_COD_Y3</f>
        <v>4000.25</v>
      </c>
      <c r="J62" s="24" t="n">
        <f aca="false">ASM_N08_DEP_BASE_EQUIPMENT_EUR*ASM_R08_PCT_ENTRETIEN_MATERIEL_YR*FLAG_POST_COD_Y4</f>
        <v>4000.25</v>
      </c>
      <c r="K62" s="24" t="n">
        <f aca="false">ASM_N08_DEP_BASE_EQUIPMENT_EUR*ASM_R08_PCT_ENTRETIEN_MATERIEL_YR*FLAG_POST_COD_Y5</f>
        <v>4000.25</v>
      </c>
      <c r="L62" s="24" t="n">
        <f aca="false">ASM_N08_DEP_BASE_EQUIPMENT_EUR*ASM_R08_PCT_ENTRETIEN_MATERIEL_YR*FLAG_POST_COD_Y6</f>
        <v>4000.25</v>
      </c>
    </row>
    <row r="63" customFormat="false" ht="15" hidden="false" customHeight="true" outlineLevel="0" collapsed="false">
      <c r="B63" s="31" t="s">
        <v>817</v>
      </c>
      <c r="C63" s="56" t="s">
        <v>734</v>
      </c>
      <c r="D63" s="32" t="n">
        <f aca="false">SUM(E63:L63)</f>
        <v>585995.25</v>
      </c>
      <c r="E63" s="32" t="n">
        <f aca="false">E53+E54+E55+E56+E57+E59+E61+E62</f>
        <v>0</v>
      </c>
      <c r="F63" s="32" t="n">
        <f aca="false">F53+F54+F55+F56+F57+F59+F61+F62</f>
        <v>0</v>
      </c>
      <c r="G63" s="32" t="n">
        <f aca="false">G53+G54+G55+G56+G57+G59+G61+G62</f>
        <v>47650.25</v>
      </c>
      <c r="H63" s="32" t="n">
        <f aca="false">H53+H54+H55+H56+H57+H59+H61+H62</f>
        <v>85844</v>
      </c>
      <c r="I63" s="32" t="n">
        <f aca="false">I53+I54+I55+I56+I57+I59+I61+I62</f>
        <v>113125.25</v>
      </c>
      <c r="J63" s="32" t="n">
        <f aca="false">J53+J54+J55+J56+J57+J59+J61+J62</f>
        <v>113125.25</v>
      </c>
      <c r="K63" s="32" t="n">
        <f aca="false">K53+K54+K55+K56+K57+K59+K61+K62</f>
        <v>113125.25</v>
      </c>
      <c r="L63" s="32" t="n">
        <f aca="false">L53+L54+L55+L56+L57+L59+L61+L62</f>
        <v>113125.25</v>
      </c>
    </row>
    <row r="64" customFormat="false" ht="15" hidden="false" customHeight="true" outlineLevel="0" collapsed="false"/>
    <row r="65" customFormat="false" ht="15" hidden="false" customHeight="true" outlineLevel="0" collapsed="false">
      <c r="B65" s="4" t="s">
        <v>818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B66" s="36" t="s">
        <v>819</v>
      </c>
      <c r="C66" s="12" t="s">
        <v>58</v>
      </c>
      <c r="D66" s="11" t="n">
        <f aca="false">SUM(E66:L66)</f>
        <v>388360</v>
      </c>
      <c r="E66" s="11" t="n">
        <f aca="false">GEN_A_OPEX_TOTAL_YM1</f>
        <v>0</v>
      </c>
      <c r="F66" s="11" t="n">
        <f aca="false">GEN_A_OPEX_TOTAL_Y0</f>
        <v>104800</v>
      </c>
      <c r="G66" s="11" t="n">
        <f aca="false">GEN_A_OPEX_TOTAL_Y1</f>
        <v>141780</v>
      </c>
      <c r="H66" s="11" t="n">
        <f aca="false">GEN_A_OPEX_TOTAL_Y2</f>
        <v>141780</v>
      </c>
      <c r="I66" s="11" t="n">
        <f aca="false">GEN_A_OPEX_TOTAL_Y3</f>
        <v>0</v>
      </c>
      <c r="J66" s="11" t="n">
        <f aca="false">GEN_A_OPEX_TOTAL_Y4</f>
        <v>0</v>
      </c>
      <c r="K66" s="11" t="n">
        <f aca="false">GEN_A_OPEX_TOTAL_Y5</f>
        <v>0</v>
      </c>
      <c r="L66" s="11" t="n">
        <f aca="false">GEN_A_OPEX_TOTAL_Y6</f>
        <v>0</v>
      </c>
    </row>
    <row r="67" customFormat="false" ht="15" hidden="false" customHeight="true" outlineLevel="0" collapsed="false">
      <c r="B67" s="36" t="s">
        <v>820</v>
      </c>
      <c r="C67" s="12" t="s">
        <v>58</v>
      </c>
      <c r="D67" s="11" t="n">
        <f aca="false">SUM(E67:L67)</f>
        <v>291000</v>
      </c>
      <c r="E67" s="11" t="n">
        <f aca="false">GEN_B_OPEX_TOTAL_YM1</f>
        <v>0</v>
      </c>
      <c r="F67" s="11" t="n">
        <f aca="false">GEN_B_OPEX_TOTAL_Y0</f>
        <v>73000</v>
      </c>
      <c r="G67" s="11" t="n">
        <f aca="false">GEN_B_OPEX_TOTAL_Y1</f>
        <v>109000</v>
      </c>
      <c r="H67" s="11" t="n">
        <f aca="false">GEN_B_OPEX_TOTAL_Y2</f>
        <v>109000</v>
      </c>
      <c r="I67" s="11" t="n">
        <f aca="false">GEN_B_OPEX_TOTAL_Y3</f>
        <v>0</v>
      </c>
      <c r="J67" s="11" t="n">
        <f aca="false">GEN_B_OPEX_TOTAL_Y4</f>
        <v>0</v>
      </c>
      <c r="K67" s="11" t="n">
        <f aca="false">GEN_B_OPEX_TOTAL_Y5</f>
        <v>0</v>
      </c>
      <c r="L67" s="11" t="n">
        <f aca="false">GEN_B_OPEX_TOTAL_Y6</f>
        <v>0</v>
      </c>
    </row>
    <row r="68" customFormat="false" ht="15" hidden="false" customHeight="true" outlineLevel="0" collapsed="false">
      <c r="B68" s="31" t="s">
        <v>675</v>
      </c>
      <c r="C68" s="56" t="s">
        <v>58</v>
      </c>
      <c r="D68" s="32" t="n">
        <f aca="false">SUM(E68:L68)</f>
        <v>679360</v>
      </c>
      <c r="E68" s="32" t="n">
        <f aca="false">E66+E67</f>
        <v>0</v>
      </c>
      <c r="F68" s="32" t="n">
        <f aca="false">F66+F67</f>
        <v>177800</v>
      </c>
      <c r="G68" s="32" t="n">
        <f aca="false">G66+G67</f>
        <v>250780</v>
      </c>
      <c r="H68" s="32" t="n">
        <f aca="false">H66+H67</f>
        <v>250780</v>
      </c>
      <c r="I68" s="32" t="n">
        <f aca="false">I66+I67</f>
        <v>0</v>
      </c>
      <c r="J68" s="32" t="n">
        <f aca="false">J66+J67</f>
        <v>0</v>
      </c>
      <c r="K68" s="32" t="n">
        <f aca="false">K66+K67</f>
        <v>0</v>
      </c>
      <c r="L68" s="32" t="n">
        <f aca="false">L66+L67</f>
        <v>0</v>
      </c>
    </row>
    <row r="69" customFormat="false" ht="15" hidden="false" customHeight="true" outlineLevel="0" collapsed="false"/>
    <row r="70" customFormat="false" ht="15" hidden="false" customHeight="true" outlineLevel="0" collapsed="false">
      <c r="B70" s="4" t="s">
        <v>821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B71" s="53" t="s">
        <v>767</v>
      </c>
      <c r="C71" s="12" t="s">
        <v>734</v>
      </c>
      <c r="D71" s="24" t="n">
        <f aca="false">SUM(E71:L71)</f>
        <v>5179951.79545455</v>
      </c>
      <c r="E71" s="24" t="n">
        <f aca="false">E13+E16+E39+E49+E63+E68</f>
        <v>0</v>
      </c>
      <c r="F71" s="24" t="n">
        <f aca="false">F13+F16+F39+F49+F63+F68</f>
        <v>177800</v>
      </c>
      <c r="G71" s="24" t="n">
        <f aca="false">G13+G16+G39+G49+G63+G68</f>
        <v>1275711.34090909</v>
      </c>
      <c r="H71" s="24" t="n">
        <f aca="false">H13+H16+H39+H49+H63+H68</f>
        <v>1411944.54545455</v>
      </c>
      <c r="I71" s="24" t="n">
        <f aca="false">I13+I16+I39+I49+I63+I68</f>
        <v>578623.977272727</v>
      </c>
      <c r="J71" s="24" t="n">
        <f aca="false">J13+J16+J39+J49+J63+J68</f>
        <v>578623.977272727</v>
      </c>
      <c r="K71" s="24" t="n">
        <f aca="false">K13+K16+K39+K49+K63+K68</f>
        <v>578623.977272727</v>
      </c>
      <c r="L71" s="24" t="n">
        <f aca="false">L13+L16+L39+L49+L63+L68</f>
        <v>578623.977272727</v>
      </c>
    </row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>
      <c r="B74" s="34" t="s">
        <v>430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</row>
    <row r="75" customFormat="false" ht="15" hidden="false" customHeight="true" outlineLevel="0" collapsed="false">
      <c r="B75" s="36" t="s">
        <v>638</v>
      </c>
      <c r="C75" s="12" t="s">
        <v>91</v>
      </c>
      <c r="D75" s="11" t="n">
        <f aca="false">SUM(E75:L75)</f>
        <v>8.8</v>
      </c>
      <c r="E75" s="11" t="n">
        <f aca="false">ASM_A08_EUR_USD</f>
        <v>1.1</v>
      </c>
      <c r="F75" s="11" t="n">
        <f aca="false">ASM_A08_EUR_USD</f>
        <v>1.1</v>
      </c>
      <c r="G75" s="11" t="n">
        <f aca="false">ASM_A08_EUR_USD</f>
        <v>1.1</v>
      </c>
      <c r="H75" s="11" t="n">
        <f aca="false">ASM_A08_EUR_USD</f>
        <v>1.1</v>
      </c>
      <c r="I75" s="11" t="n">
        <f aca="false">ASM_A08_EUR_USD</f>
        <v>1.1</v>
      </c>
      <c r="J75" s="11" t="n">
        <f aca="false">ASM_A08_EUR_USD</f>
        <v>1.1</v>
      </c>
      <c r="K75" s="11" t="n">
        <f aca="false">ASM_A08_EUR_USD</f>
        <v>1.1</v>
      </c>
      <c r="L75" s="11" t="n">
        <f aca="false">ASM_A08_EUR_USD</f>
        <v>1.1</v>
      </c>
    </row>
    <row r="76" customFormat="false" ht="15" hidden="false" customHeight="true" outlineLevel="0" collapsed="false">
      <c r="B76" s="36" t="s">
        <v>822</v>
      </c>
      <c r="C76" s="12" t="s">
        <v>74</v>
      </c>
      <c r="D76" s="11" t="n">
        <f aca="false">SUM(E76:L76)</f>
        <v>2.56</v>
      </c>
      <c r="E76" s="11" t="n">
        <f aca="false">ASM_X24_DOLLAR_PRICE_CONCENTRATE_PER_KG</f>
        <v>0.32</v>
      </c>
      <c r="F76" s="11" t="n">
        <f aca="false">ASM_X24_DOLLAR_PRICE_CONCENTRATE_PER_KG</f>
        <v>0.32</v>
      </c>
      <c r="G76" s="11" t="n">
        <f aca="false">ASM_X24_DOLLAR_PRICE_CONCENTRATE_PER_KG</f>
        <v>0.32</v>
      </c>
      <c r="H76" s="11" t="n">
        <f aca="false">ASM_X24_DOLLAR_PRICE_CONCENTRATE_PER_KG</f>
        <v>0.32</v>
      </c>
      <c r="I76" s="11" t="n">
        <f aca="false">ASM_X24_DOLLAR_PRICE_CONCENTRATE_PER_KG</f>
        <v>0.32</v>
      </c>
      <c r="J76" s="11" t="n">
        <f aca="false">ASM_X24_DOLLAR_PRICE_CONCENTRATE_PER_KG</f>
        <v>0.32</v>
      </c>
      <c r="K76" s="11" t="n">
        <f aca="false">ASM_X24_DOLLAR_PRICE_CONCENTRATE_PER_KG</f>
        <v>0.32</v>
      </c>
      <c r="L76" s="11" t="n">
        <f aca="false">ASM_X24_DOLLAR_PRICE_CONCENTRATE_PER_KG</f>
        <v>0.32</v>
      </c>
    </row>
    <row r="77" customFormat="false" ht="15" hidden="false" customHeight="true" outlineLevel="0" collapsed="false">
      <c r="B77" s="36" t="s">
        <v>823</v>
      </c>
      <c r="C77" s="12" t="s">
        <v>77</v>
      </c>
      <c r="D77" s="11" t="n">
        <f aca="false">SUM(E77:L77)</f>
        <v>8</v>
      </c>
      <c r="E77" s="11" t="n">
        <f aca="false">ASM_X25_DOLLAR_DIESEL_PER_L</f>
        <v>1</v>
      </c>
      <c r="F77" s="11" t="n">
        <f aca="false">ASM_X25_DOLLAR_DIESEL_PER_L</f>
        <v>1</v>
      </c>
      <c r="G77" s="11" t="n">
        <f aca="false">ASM_X25_DOLLAR_DIESEL_PER_L</f>
        <v>1</v>
      </c>
      <c r="H77" s="11" t="n">
        <f aca="false">ASM_X25_DOLLAR_DIESEL_PER_L</f>
        <v>1</v>
      </c>
      <c r="I77" s="11" t="n">
        <f aca="false">ASM_X25_DOLLAR_DIESEL_PER_L</f>
        <v>1</v>
      </c>
      <c r="J77" s="11" t="n">
        <f aca="false">ASM_X25_DOLLAR_DIESEL_PER_L</f>
        <v>1</v>
      </c>
      <c r="K77" s="11" t="n">
        <f aca="false">ASM_X25_DOLLAR_DIESEL_PER_L</f>
        <v>1</v>
      </c>
      <c r="L77" s="11" t="n">
        <f aca="false">ASM_X25_DOLLAR_DIESEL_PER_L</f>
        <v>1</v>
      </c>
    </row>
    <row r="78" customFormat="false" ht="15" hidden="false" customHeight="true" outlineLevel="0" collapsed="false"/>
    <row r="79" customFormat="false" ht="15" hidden="false" customHeight="true" outlineLevel="0" collapsed="false">
      <c r="B79" s="34" t="s">
        <v>479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</row>
    <row r="80" customFormat="false" ht="15" hidden="false" customHeight="true" outlineLevel="0" collapsed="false">
      <c r="B80" s="40" t="s">
        <v>824</v>
      </c>
      <c r="C80" s="12" t="s">
        <v>176</v>
      </c>
      <c r="D80" s="30" t="n">
        <f aca="false">SUM(E80:L80)</f>
        <v>2327.27272727273</v>
      </c>
      <c r="E80" s="30" t="n">
        <f aca="false">E$76*1000/E$75</f>
        <v>290.909090909091</v>
      </c>
      <c r="F80" s="30" t="n">
        <f aca="false">F$76*1000/F$75</f>
        <v>290.909090909091</v>
      </c>
      <c r="G80" s="30" t="n">
        <f aca="false">G$76*1000/G$75</f>
        <v>290.909090909091</v>
      </c>
      <c r="H80" s="30" t="n">
        <f aca="false">H$76*1000/H$75</f>
        <v>290.909090909091</v>
      </c>
      <c r="I80" s="30" t="n">
        <f aca="false">I$76*1000/I$75</f>
        <v>290.909090909091</v>
      </c>
      <c r="J80" s="30" t="n">
        <f aca="false">J$76*1000/J$75</f>
        <v>290.909090909091</v>
      </c>
      <c r="K80" s="30" t="n">
        <f aca="false">K$76*1000/K$75</f>
        <v>290.909090909091</v>
      </c>
      <c r="L80" s="30" t="n">
        <f aca="false">L$76*1000/L$75</f>
        <v>290.909090909091</v>
      </c>
    </row>
    <row r="81" customFormat="false" ht="15" hidden="false" customHeight="true" outlineLevel="0" collapsed="false">
      <c r="B81" s="40" t="s">
        <v>825</v>
      </c>
      <c r="C81" s="12" t="s">
        <v>159</v>
      </c>
      <c r="D81" s="30" t="n">
        <f aca="false">SUM(E81:L81)</f>
        <v>7.27272727272727</v>
      </c>
      <c r="E81" s="30" t="n">
        <f aca="false">E$77/E$75</f>
        <v>0.909090909090909</v>
      </c>
      <c r="F81" s="30" t="n">
        <f aca="false">F$77/F$75</f>
        <v>0.909090909090909</v>
      </c>
      <c r="G81" s="30" t="n">
        <f aca="false">G$77/G$75</f>
        <v>0.909090909090909</v>
      </c>
      <c r="H81" s="30" t="n">
        <f aca="false">H$77/H$75</f>
        <v>0.909090909090909</v>
      </c>
      <c r="I81" s="30" t="n">
        <f aca="false">I$77/I$75</f>
        <v>0.909090909090909</v>
      </c>
      <c r="J81" s="30" t="n">
        <f aca="false">J$77/J$75</f>
        <v>0.909090909090909</v>
      </c>
      <c r="K81" s="30" t="n">
        <f aca="false">K$77/K$75</f>
        <v>0.909090909090909</v>
      </c>
      <c r="L81" s="30" t="n">
        <f aca="false">L$77/L$75</f>
        <v>0.909090909090909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826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>
      <c r="B7" s="4" t="s">
        <v>827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57" t="s">
        <v>828</v>
      </c>
      <c r="C8" s="12" t="s">
        <v>136</v>
      </c>
      <c r="D8" s="58" t="n">
        <f aca="false">SUM(E8:L8)</f>
        <v>15959097.6242424</v>
      </c>
      <c r="E8" s="59" t="n">
        <f aca="false">0</f>
        <v>0</v>
      </c>
      <c r="F8" s="59" t="n">
        <f aca="false">E11</f>
        <v>0</v>
      </c>
      <c r="G8" s="59" t="n">
        <f aca="false">F11</f>
        <v>2816311.34545455</v>
      </c>
      <c r="H8" s="59" t="n">
        <f aca="false">G11</f>
        <v>2816311.34545455</v>
      </c>
      <c r="I8" s="59" t="n">
        <f aca="false">H11</f>
        <v>2816311.34545455</v>
      </c>
      <c r="J8" s="59" t="n">
        <f aca="false">I11</f>
        <v>2816311.34545455</v>
      </c>
      <c r="K8" s="59" t="n">
        <f aca="false">J11</f>
        <v>2503387.86262626</v>
      </c>
      <c r="L8" s="59" t="n">
        <f aca="false">K11</f>
        <v>2190464.37979798</v>
      </c>
    </row>
    <row r="9" customFormat="false" ht="15" hidden="false" customHeight="true" outlineLevel="0" collapsed="false">
      <c r="B9" s="40" t="s">
        <v>829</v>
      </c>
      <c r="C9" s="12" t="s">
        <v>136</v>
      </c>
      <c r="D9" s="30" t="n">
        <f aca="false">ASM_L04_DEBT_T1_AMOUNT_EUR+ASM_L04B_DEBT_T2_AMOUNT_EUR</f>
        <v>2816311.34545455</v>
      </c>
      <c r="E9" s="30" t="n">
        <f aca="false">IF(E$4=ASM_N02_DEBT_DRAW_YEAR,ASM_L04_DEBT_T1_AMOUNT_EUR+ASM_L04B_DEBT_T2_AMOUNT_EUR,0)</f>
        <v>0</v>
      </c>
      <c r="F9" s="30" t="n">
        <f aca="false">IF(F$4=ASM_N02_DEBT_DRAW_YEAR,ASM_L04_DEBT_T1_AMOUNT_EUR+ASM_L04B_DEBT_T2_AMOUNT_EUR,0)</f>
        <v>2816311.34545455</v>
      </c>
      <c r="G9" s="30" t="n">
        <f aca="false">IF(G$4=ASM_N02_DEBT_DRAW_YEAR,ASM_L04_DEBT_T1_AMOUNT_EUR+ASM_L04B_DEBT_T2_AMOUNT_EUR,0)</f>
        <v>0</v>
      </c>
      <c r="H9" s="30" t="n">
        <f aca="false">IF(H$4=ASM_N02_DEBT_DRAW_YEAR,ASM_L04_DEBT_T1_AMOUNT_EUR+ASM_L04B_DEBT_T2_AMOUNT_EUR,0)</f>
        <v>0</v>
      </c>
      <c r="I9" s="30" t="n">
        <f aca="false">IF(I$4=ASM_N02_DEBT_DRAW_YEAR,ASM_L04_DEBT_T1_AMOUNT_EUR+ASM_L04B_DEBT_T2_AMOUNT_EUR,0)</f>
        <v>0</v>
      </c>
      <c r="J9" s="30" t="n">
        <f aca="false">IF(J$4=ASM_N02_DEBT_DRAW_YEAR,ASM_L04_DEBT_T1_AMOUNT_EUR+ASM_L04B_DEBT_T2_AMOUNT_EUR,0)</f>
        <v>0</v>
      </c>
      <c r="K9" s="30" t="n">
        <f aca="false">IF(K$4=ASM_N02_DEBT_DRAW_YEAR,ASM_L04_DEBT_T1_AMOUNT_EUR+ASM_L04B_DEBT_T2_AMOUNT_EUR,0)</f>
        <v>0</v>
      </c>
      <c r="L9" s="30" t="n">
        <f aca="false">IF(L$4=ASM_N02_DEBT_DRAW_YEAR,ASM_L04_DEBT_T1_AMOUNT_EUR+ASM_L04B_DEBT_T2_AMOUNT_EUR,0)</f>
        <v>0</v>
      </c>
    </row>
    <row r="10" customFormat="false" ht="15" hidden="false" customHeight="true" outlineLevel="0" collapsed="false">
      <c r="B10" s="40" t="s">
        <v>830</v>
      </c>
      <c r="C10" s="12" t="s">
        <v>136</v>
      </c>
      <c r="D10" s="60" t="n">
        <f aca="false">SUM(E10:L10)</f>
        <v>-938770.448484849</v>
      </c>
      <c r="E10" s="30" t="n">
        <f aca="false">IF(E$4&gt;=ASM_N03_DEBT_REPAY_START_YEAR,-MIN(E8+E9,(ASM_L04_DEBT_T1_AMOUNT_EUR+ASM_L04B_DEBT_T2_AMOUNT_EUR)/(ASM_L02_DEBT_T1_TENOR_YEARS-ASM_L03_DEBT_T1_GRACE_YEARS)),0)</f>
        <v>0</v>
      </c>
      <c r="F10" s="30" t="n">
        <f aca="false">IF(F$4&gt;=ASM_N03_DEBT_REPAY_START_YEAR,-MIN(F8+F9,(ASM_L04_DEBT_T1_AMOUNT_EUR+ASM_L04B_DEBT_T2_AMOUNT_EUR)/(ASM_L02_DEBT_T1_TENOR_YEARS-ASM_L03_DEBT_T1_GRACE_YEARS)),0)</f>
        <v>0</v>
      </c>
      <c r="G10" s="30" t="n">
        <f aca="false">IF(G$4&gt;=ASM_N03_DEBT_REPAY_START_YEAR,-MIN(G8+G9,(ASM_L04_DEBT_T1_AMOUNT_EUR+ASM_L04B_DEBT_T2_AMOUNT_EUR)/(ASM_L02_DEBT_T1_TENOR_YEARS-ASM_L03_DEBT_T1_GRACE_YEARS)),0)</f>
        <v>0</v>
      </c>
      <c r="H10" s="30" t="n">
        <f aca="false">IF(H$4&gt;=ASM_N03_DEBT_REPAY_START_YEAR,-MIN(H8+H9,(ASM_L04_DEBT_T1_AMOUNT_EUR+ASM_L04B_DEBT_T2_AMOUNT_EUR)/(ASM_L02_DEBT_T1_TENOR_YEARS-ASM_L03_DEBT_T1_GRACE_YEARS)),0)</f>
        <v>0</v>
      </c>
      <c r="I10" s="30" t="n">
        <f aca="false">IF(I$4&gt;=ASM_N03_DEBT_REPAY_START_YEAR,-MIN(I8+I9,(ASM_L04_DEBT_T1_AMOUNT_EUR+ASM_L04B_DEBT_T2_AMOUNT_EUR)/(ASM_L02_DEBT_T1_TENOR_YEARS-ASM_L03_DEBT_T1_GRACE_YEARS)),0)</f>
        <v>0</v>
      </c>
      <c r="J10" s="30" t="n">
        <f aca="false">IF(J$4&gt;=ASM_N03_DEBT_REPAY_START_YEAR,-MIN(J8+J9,(ASM_L04_DEBT_T1_AMOUNT_EUR+ASM_L04B_DEBT_T2_AMOUNT_EUR)/(ASM_L02_DEBT_T1_TENOR_YEARS-ASM_L03_DEBT_T1_GRACE_YEARS)),0)</f>
        <v>-312923.482828283</v>
      </c>
      <c r="K10" s="30" t="n">
        <f aca="false">IF(K$4&gt;=ASM_N03_DEBT_REPAY_START_YEAR,-MIN(K8+K9,(ASM_L04_DEBT_T1_AMOUNT_EUR+ASM_L04B_DEBT_T2_AMOUNT_EUR)/(ASM_L02_DEBT_T1_TENOR_YEARS-ASM_L03_DEBT_T1_GRACE_YEARS)),0)</f>
        <v>-312923.482828283</v>
      </c>
      <c r="L10" s="30" t="n">
        <f aca="false">IF(L$4&gt;=ASM_N03_DEBT_REPAY_START_YEAR,-MIN(L8+L9,(ASM_L04_DEBT_T1_AMOUNT_EUR+ASM_L04B_DEBT_T2_AMOUNT_EUR)/(ASM_L02_DEBT_T1_TENOR_YEARS-ASM_L03_DEBT_T1_GRACE_YEARS)),0)</f>
        <v>-312923.482828283</v>
      </c>
    </row>
    <row r="11" customFormat="false" ht="15" hidden="false" customHeight="true" outlineLevel="0" collapsed="false">
      <c r="B11" s="31" t="s">
        <v>831</v>
      </c>
      <c r="C11" s="12" t="s">
        <v>136</v>
      </c>
      <c r="D11" s="61" t="n">
        <f aca="false">SUM(E11:L11)</f>
        <v>17836638.5212121</v>
      </c>
      <c r="E11" s="32" t="n">
        <f aca="false">E8+E9+E10</f>
        <v>0</v>
      </c>
      <c r="F11" s="32" t="n">
        <f aca="false">F8+F9+F10</f>
        <v>2816311.34545455</v>
      </c>
      <c r="G11" s="32" t="n">
        <f aca="false">G8+G9+G10</f>
        <v>2816311.34545455</v>
      </c>
      <c r="H11" s="32" t="n">
        <f aca="false">H8+H9+H10</f>
        <v>2816311.34545455</v>
      </c>
      <c r="I11" s="32" t="n">
        <f aca="false">I8+I9+I10</f>
        <v>2816311.34545455</v>
      </c>
      <c r="J11" s="32" t="n">
        <f aca="false">J8+J9+J10</f>
        <v>2503387.86262626</v>
      </c>
      <c r="K11" s="32" t="n">
        <f aca="false">K8+K9+K10</f>
        <v>2190464.37979798</v>
      </c>
      <c r="L11" s="32" t="n">
        <f aca="false">L8+L9+L10</f>
        <v>1877540.8969697</v>
      </c>
    </row>
    <row r="12" customFormat="false" ht="15" hidden="false" customHeight="true" outlineLevel="0" collapsed="false"/>
    <row r="13" customFormat="false" ht="15" hidden="false" customHeight="true" outlineLevel="0" collapsed="false">
      <c r="B13" s="18" t="s">
        <v>832</v>
      </c>
      <c r="C13" s="12" t="s">
        <v>136</v>
      </c>
      <c r="D13" s="30" t="n">
        <f aca="false">(ASM_L04_DEBT_T1_AMOUNT_EUR+ASM_L04B_DEBT_T2_AMOUNT_EUR)*ASM_L01_DEBT_T1_RATE</f>
        <v>140815.567272727</v>
      </c>
      <c r="E13" s="30" t="n">
        <f aca="false">IF(E$4&gt;=ASM_N02_DEBT_DRAW_YEAR,(E8+E9)*ASM_L01_DEBT_T1_RATE,0)</f>
        <v>0</v>
      </c>
      <c r="F13" s="30" t="n">
        <f aca="false">IF(F$4&gt;=ASM_N02_DEBT_DRAW_YEAR,(F8+F9)*ASM_L01_DEBT_T1_RATE,0)</f>
        <v>140815.567272727</v>
      </c>
      <c r="G13" s="30" t="n">
        <f aca="false">IF(G$4&gt;=ASM_N02_DEBT_DRAW_YEAR,(G8+G9)*ASM_L01_DEBT_T1_RATE,0)</f>
        <v>140815.567272727</v>
      </c>
      <c r="H13" s="30" t="n">
        <f aca="false">IF(H$4&gt;=ASM_N02_DEBT_DRAW_YEAR,(H8+H9)*ASM_L01_DEBT_T1_RATE,0)</f>
        <v>140815.567272727</v>
      </c>
      <c r="I13" s="30" t="n">
        <f aca="false">IF(I$4&gt;=ASM_N02_DEBT_DRAW_YEAR,(I8+I9)*ASM_L01_DEBT_T1_RATE,0)</f>
        <v>140815.567272727</v>
      </c>
      <c r="J13" s="30" t="n">
        <f aca="false">IF(J$4&gt;=ASM_N02_DEBT_DRAW_YEAR,(J8+J9)*ASM_L01_DEBT_T1_RATE,0)</f>
        <v>140815.567272727</v>
      </c>
      <c r="K13" s="30" t="n">
        <f aca="false">IF(K$4&gt;=ASM_N02_DEBT_DRAW_YEAR,(K8+K9)*ASM_L01_DEBT_T1_RATE,0)</f>
        <v>125169.393131313</v>
      </c>
      <c r="L13" s="30" t="n">
        <f aca="false">IF(L$4&gt;=ASM_N02_DEBT_DRAW_YEAR,(L8+L9)*ASM_L01_DEBT_T1_RATE,0)</f>
        <v>109523.218989899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4" t="s">
        <v>833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B16" s="62" t="s">
        <v>834</v>
      </c>
      <c r="C16" s="12" t="s">
        <v>136</v>
      </c>
      <c r="D16" s="63"/>
      <c r="E16" s="63"/>
      <c r="F16" s="63"/>
      <c r="G16" s="63"/>
      <c r="H16" s="63"/>
      <c r="I16" s="63"/>
      <c r="J16" s="63"/>
      <c r="K16" s="63"/>
      <c r="L16" s="63"/>
    </row>
    <row r="17" customFormat="false" ht="15" hidden="false" customHeight="true" outlineLevel="0" collapsed="false"/>
    <row r="18" customFormat="false" ht="15" hidden="false" customHeight="true" outlineLevel="0" collapsed="false">
      <c r="B18" s="47" t="s">
        <v>835</v>
      </c>
      <c r="C18" s="12" t="s">
        <v>136</v>
      </c>
      <c r="D18" s="48" t="n">
        <f aca="false">SUM(E18:L18)</f>
        <v>0</v>
      </c>
      <c r="E18" s="49" t="n">
        <f aca="false">IF(E11&lt;-1,1,0)</f>
        <v>0</v>
      </c>
      <c r="F18" s="49" t="n">
        <f aca="false">IF(F11&lt;-1,1,0)</f>
        <v>0</v>
      </c>
      <c r="G18" s="49" t="n">
        <f aca="false">IF(G11&lt;-1,1,0)</f>
        <v>0</v>
      </c>
      <c r="H18" s="49" t="n">
        <f aca="false">IF(H11&lt;-1,1,0)</f>
        <v>0</v>
      </c>
      <c r="I18" s="49" t="n">
        <f aca="false">IF(I11&lt;-1,1,0)</f>
        <v>0</v>
      </c>
      <c r="J18" s="49" t="n">
        <f aca="false">IF(J11&lt;-1,1,0)</f>
        <v>0</v>
      </c>
      <c r="K18" s="49" t="n">
        <f aca="false">IF(K11&lt;-1,1,0)</f>
        <v>0</v>
      </c>
      <c r="L18" s="49" t="n">
        <f aca="false">IF(L11&lt;-1,1,0)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836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837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57" t="s">
        <v>838</v>
      </c>
      <c r="C7" s="12" t="s">
        <v>136</v>
      </c>
      <c r="D7" s="58" t="n">
        <f aca="false">SUM(E7:L7)</f>
        <v>5632881.81818182</v>
      </c>
      <c r="E7" s="59" t="n">
        <f aca="false">0</f>
        <v>0</v>
      </c>
      <c r="F7" s="59" t="n">
        <f aca="false">E12</f>
        <v>628000</v>
      </c>
      <c r="G7" s="59" t="n">
        <f aca="false">F12</f>
        <v>5004881.81818182</v>
      </c>
      <c r="H7" s="59" t="n">
        <f aca="false">G12</f>
        <v>0</v>
      </c>
      <c r="I7" s="59" t="n">
        <f aca="false">H12</f>
        <v>0</v>
      </c>
      <c r="J7" s="59" t="n">
        <f aca="false">I12</f>
        <v>0</v>
      </c>
      <c r="K7" s="59" t="n">
        <f aca="false">J12</f>
        <v>0</v>
      </c>
      <c r="L7" s="59" t="n">
        <f aca="false">K12</f>
        <v>0</v>
      </c>
    </row>
    <row r="8" customFormat="false" ht="15" hidden="false" customHeight="true" outlineLevel="0" collapsed="false"/>
    <row r="9" customFormat="false" ht="15" hidden="false" customHeight="true" outlineLevel="0" collapsed="false">
      <c r="B9" s="40" t="s">
        <v>839</v>
      </c>
      <c r="C9" s="12" t="s">
        <v>136</v>
      </c>
      <c r="D9" s="60" t="n">
        <f aca="false">SUM(E9:L9)</f>
        <v>628000</v>
      </c>
      <c r="E9" s="30" t="n">
        <f aca="false">FLAG_PREPROG_YM1*(ASM_G01_COST_CURRICULUM_SETUP_EUR+ASM_D03_N_TRAINERS_TOTAL*ASM_D08_DURATION_TOT_YEARS*ASM_D09_COST_TOT_PER_TRAINER_YEAR+ASM_D10_COST_INTL_SPECIALISTS_EUR)</f>
        <v>628000</v>
      </c>
      <c r="F9" s="30" t="n">
        <f aca="false">FLAG_PREPROG_Y0*(ASM_G01_COST_CURRICULUM_SETUP_EUR+ASM_D03_N_TRAINERS_TOTAL*ASM_D08_DURATION_TOT_YEARS*ASM_D09_COST_TOT_PER_TRAINER_YEAR+ASM_D10_COST_INTL_SPECIALISTS_EUR)</f>
        <v>0</v>
      </c>
      <c r="G9" s="30" t="n">
        <f aca="false">FLAG_PREPROG_Y1*(ASM_G01_COST_CURRICULUM_SETUP_EUR+ASM_D03_N_TRAINERS_TOTAL*ASM_D08_DURATION_TOT_YEARS*ASM_D09_COST_TOT_PER_TRAINER_YEAR+ASM_D10_COST_INTL_SPECIALISTS_EUR)</f>
        <v>0</v>
      </c>
      <c r="H9" s="30" t="n">
        <f aca="false">FLAG_PREPROG_Y2*(ASM_G01_COST_CURRICULUM_SETUP_EUR+ASM_D03_N_TRAINERS_TOTAL*ASM_D08_DURATION_TOT_YEARS*ASM_D09_COST_TOT_PER_TRAINER_YEAR+ASM_D10_COST_INTL_SPECIALISTS_EUR)</f>
        <v>0</v>
      </c>
      <c r="I9" s="30" t="n">
        <f aca="false">FLAG_PREPROG_Y3*(ASM_G01_COST_CURRICULUM_SETUP_EUR+ASM_D03_N_TRAINERS_TOTAL*ASM_D08_DURATION_TOT_YEARS*ASM_D09_COST_TOT_PER_TRAINER_YEAR+ASM_D10_COST_INTL_SPECIALISTS_EUR)</f>
        <v>0</v>
      </c>
      <c r="J9" s="30" t="n">
        <f aca="false">FLAG_PREPROG_Y4*(ASM_G01_COST_CURRICULUM_SETUP_EUR+ASM_D03_N_TRAINERS_TOTAL*ASM_D08_DURATION_TOT_YEARS*ASM_D09_COST_TOT_PER_TRAINER_YEAR+ASM_D10_COST_INTL_SPECIALISTS_EUR)</f>
        <v>0</v>
      </c>
      <c r="K9" s="30" t="n">
        <f aca="false">FLAG_PREPROG_Y5*(ASM_G01_COST_CURRICULUM_SETUP_EUR+ASM_D03_N_TRAINERS_TOTAL*ASM_D08_DURATION_TOT_YEARS*ASM_D09_COST_TOT_PER_TRAINER_YEAR+ASM_D10_COST_INTL_SPECIALISTS_EUR)</f>
        <v>0</v>
      </c>
      <c r="L9" s="30" t="n">
        <f aca="false">FLAG_PREPROG_Y6*(ASM_G01_COST_CURRICULUM_SETUP_EUR+ASM_D03_N_TRAINERS_TOTAL*ASM_D08_DURATION_TOT_YEARS*ASM_D09_COST_TOT_PER_TRAINER_YEAR+ASM_D10_COST_INTL_SPECIALISTS_EUR)</f>
        <v>0</v>
      </c>
    </row>
    <row r="10" customFormat="false" ht="15" hidden="false" customHeight="true" outlineLevel="0" collapsed="false">
      <c r="B10" s="40" t="s">
        <v>840</v>
      </c>
      <c r="C10" s="12" t="s">
        <v>136</v>
      </c>
      <c r="D10" s="60" t="n">
        <f aca="false">SUM(E10:L10)</f>
        <v>4376881.81818182</v>
      </c>
      <c r="E10" s="30" t="n">
        <f aca="false">FLAG_CONSTRUCT_YM1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M1+GEN_B_CAP_TOTAL_YM1</f>
        <v>0</v>
      </c>
      <c r="F10" s="30" t="n">
        <f aca="false">FLAG_CONSTRUCT_Y0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0+GEN_B_CAP_TOTAL_Y0</f>
        <v>4376881.81818182</v>
      </c>
      <c r="G10" s="30" t="n">
        <f aca="false">FLAG_CONSTRUCT_Y1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1+GEN_B_CAP_TOTAL_Y1</f>
        <v>0</v>
      </c>
      <c r="H10" s="30" t="n">
        <f aca="false">FLAG_CONSTRUCT_Y2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2+GEN_B_CAP_TOTAL_Y2</f>
        <v>0</v>
      </c>
      <c r="I10" s="30" t="n">
        <f aca="false">FLAG_CONSTRUCT_Y3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3+GEN_B_CAP_TOTAL_Y3</f>
        <v>0</v>
      </c>
      <c r="J10" s="30" t="n">
        <f aca="false">FLAG_CONSTRUCT_Y4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4+GEN_B_CAP_TOTAL_Y4</f>
        <v>0</v>
      </c>
      <c r="K10" s="30" t="n">
        <f aca="false">FLAG_CONSTRUCT_Y5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5+GEN_B_CAP_TOTAL_Y5</f>
        <v>0</v>
      </c>
      <c r="L10" s="30" t="n">
        <f aca="false">FLAG_CONSTRUCT_Y6*(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+(ASM_A01_N_FARMS*ASM_G02_COST_PEDAGOGICAL_EQUIP_PER_FARM_EUR+ASM_G02A_PLATEAU_EAU_EUR+ASM_G02B_PLATEAU_PV_EUR+ASM_G02C_ATELIER_MECA_EUR+ASM_G02D_CLASSROOM_IT_EUR+ASM_G03_N_FILIERE_CURRICULA*ASM_G04_COST_CURRICULUM_PER_FILIERE_EUR+ASM_F02_ADDITIONAL_BEDS_PER_FARM*ASM_A01_N_FARMS*ASM_F03_COST_PER_TRAINEE_BED_EUR+ASM_A01_N_FARMS*ASM_F04_COST_REFECTOIRE_PER_FARM_EUR+ASM_F06_N_FAMILY_UNITS*ASM_F07_COST_PER_FAMILY_UNIT_EUR+ASM_H01_COST_CERTIFICATION_SETUP_EUR+ASM_H02_COST_MONITORING_EQUIP_EUR+ASM_H05_COST_COMMS_MATERIALS_EUR)+(ASM_J01_COST_STUDIES_EUR+(ASM_A01_N_FARMS*(ASM_I01_UOF_LAND_PER_FARM_EUR+ASM_I02_UOF_BUILDINGS_PER_FARM_EUR+ASM_I03_UOF_DAIRY_PER_FARM_EUR+ASM_I04_UOF_FEEDLOT_PER_FARM_EUR+ASM_I07_UOF_WATER_PER_FARM_EUR+ASM_I08_UOF_ENERGY_PER_FARM_EUR)+ASM_I09_UOF_MECHANIZATION_PROGRAMME_EUR+ASM_A01_N_FARMS*ASM_I05_TREES_PER_FARM*ASM_I06_COST_PER_TREE_EUR+ASM_H08_N_PIEZOMETERS_PER_FARM*ASM_A01_N_FARMS*ASM_H09_COST_PER_PIEZOMETER_EUR+ASM_H10_COST_TELEMETRY_LUMP_EUR)*ASM_J02_PCT_SUPERVISION_CONSTRUCTION+ASM_J03_COST_LEGAL_EUR))+GEN_A_CAP_TOTAL_Y6+GEN_B_CAP_TOTAL_Y6</f>
        <v>0</v>
      </c>
    </row>
    <row r="11" customFormat="false" ht="15" hidden="false" customHeight="true" outlineLevel="0" collapsed="false">
      <c r="B11" s="40" t="s">
        <v>841</v>
      </c>
      <c r="C11" s="12" t="s">
        <v>136</v>
      </c>
      <c r="D11" s="60" t="n">
        <f aca="false">SUM(E11:L11)</f>
        <v>-5004881.81818182</v>
      </c>
      <c r="E11" s="30" t="n">
        <f aca="false">0</f>
        <v>0</v>
      </c>
      <c r="F11" s="30" t="n">
        <f aca="false">IF(F$4=ASM_A04_COD_YEAR,-E12,0)</f>
        <v>0</v>
      </c>
      <c r="G11" s="30" t="n">
        <f aca="false">IF(G$4=ASM_A04_COD_YEAR,-F12,0)</f>
        <v>-5004881.81818182</v>
      </c>
      <c r="H11" s="30" t="n">
        <f aca="false">IF(H$4=ASM_A04_COD_YEAR,-G12,0)</f>
        <v>0</v>
      </c>
      <c r="I11" s="30" t="n">
        <f aca="false">IF(I$4=ASM_A04_COD_YEAR,-H12,0)</f>
        <v>0</v>
      </c>
      <c r="J11" s="30" t="n">
        <f aca="false">IF(J$4=ASM_A04_COD_YEAR,-I12,0)</f>
        <v>0</v>
      </c>
      <c r="K11" s="30" t="n">
        <f aca="false">IF(K$4=ASM_A04_COD_YEAR,-J12,0)</f>
        <v>0</v>
      </c>
      <c r="L11" s="30" t="n">
        <f aca="false">IF(L$4=ASM_A04_COD_YEAR,-K12,0)</f>
        <v>0</v>
      </c>
    </row>
    <row r="12" customFormat="false" ht="15" hidden="false" customHeight="true" outlineLevel="0" collapsed="false">
      <c r="B12" s="31" t="s">
        <v>842</v>
      </c>
      <c r="C12" s="12" t="s">
        <v>136</v>
      </c>
      <c r="D12" s="32" t="n">
        <f aca="false">SUM(E9:L9)+SUM(E10:L10)</f>
        <v>5004881.81818182</v>
      </c>
      <c r="E12" s="32" t="n">
        <f aca="false">E7+E9+E10+E11</f>
        <v>628000</v>
      </c>
      <c r="F12" s="32" t="n">
        <f aca="false">F7+F9+F10+F11</f>
        <v>5004881.81818182</v>
      </c>
      <c r="G12" s="32" t="n">
        <f aca="false">G7+G9+G10+G11</f>
        <v>0</v>
      </c>
      <c r="H12" s="32" t="n">
        <f aca="false">H7+H9+H10+H11</f>
        <v>0</v>
      </c>
      <c r="I12" s="32" t="n">
        <f aca="false">I7+I9+I10+I11</f>
        <v>0</v>
      </c>
      <c r="J12" s="32" t="n">
        <f aca="false">J7+J9+J10+J11</f>
        <v>0</v>
      </c>
      <c r="K12" s="32" t="n">
        <f aca="false">K7+K9+K10+K11</f>
        <v>0</v>
      </c>
      <c r="L12" s="32" t="n">
        <f aca="false">L7+L9+L10+L11</f>
        <v>0</v>
      </c>
    </row>
    <row r="13" customFormat="false" ht="15" hidden="false" customHeight="true" outlineLevel="0" collapsed="false">
      <c r="B13" s="62" t="s">
        <v>843</v>
      </c>
      <c r="C13" s="12" t="s">
        <v>136</v>
      </c>
      <c r="D13" s="60" t="n">
        <f aca="false">SUM(E13:L13)</f>
        <v>5004881.81818182</v>
      </c>
      <c r="E13" s="63" t="n">
        <f aca="false">E9+E10</f>
        <v>628000</v>
      </c>
      <c r="F13" s="63" t="n">
        <f aca="false">F9+F10</f>
        <v>4376881.81818182</v>
      </c>
      <c r="G13" s="63" t="n">
        <f aca="false">G9+G10</f>
        <v>0</v>
      </c>
      <c r="H13" s="63" t="n">
        <f aca="false">H9+H10</f>
        <v>0</v>
      </c>
      <c r="I13" s="63" t="n">
        <f aca="false">I9+I10</f>
        <v>0</v>
      </c>
      <c r="J13" s="63" t="n">
        <f aca="false">J9+J10</f>
        <v>0</v>
      </c>
      <c r="K13" s="63" t="n">
        <f aca="false">K9+K10</f>
        <v>0</v>
      </c>
      <c r="L13" s="63" t="n">
        <f aca="false">L9+L10</f>
        <v>0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47" t="s">
        <v>844</v>
      </c>
      <c r="C15" s="12" t="s">
        <v>136</v>
      </c>
      <c r="D15" s="48" t="n">
        <f aca="false">SUM(E15:L15)</f>
        <v>0</v>
      </c>
      <c r="E15" s="49"/>
      <c r="F15" s="49"/>
      <c r="G15" s="49" t="n">
        <f aca="false">IF(ABS(G12)&lt;1,0,1)</f>
        <v>0</v>
      </c>
      <c r="H15" s="49"/>
      <c r="I15" s="49"/>
      <c r="J15" s="49"/>
      <c r="K15" s="49"/>
      <c r="L15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845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>
      <c r="B7" s="4" t="s">
        <v>846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57" t="s">
        <v>847</v>
      </c>
      <c r="C8" s="12" t="s">
        <v>136</v>
      </c>
      <c r="D8" s="58" t="n">
        <f aca="false">SUM(E8:L8)</f>
        <v>21270747.7272727</v>
      </c>
      <c r="E8" s="59" t="n">
        <f aca="false">0</f>
        <v>0</v>
      </c>
      <c r="F8" s="59" t="n">
        <f aca="false">0</f>
        <v>0</v>
      </c>
      <c r="G8" s="59" t="n">
        <f aca="false">0</f>
        <v>0</v>
      </c>
      <c r="H8" s="59" t="n">
        <f aca="false">G11</f>
        <v>4754637.72727273</v>
      </c>
      <c r="I8" s="59" t="n">
        <f aca="false">H11</f>
        <v>4504393.63636364</v>
      </c>
      <c r="J8" s="59" t="n">
        <f aca="false">I11</f>
        <v>4254149.54545455</v>
      </c>
      <c r="K8" s="59" t="n">
        <f aca="false">J11</f>
        <v>4003905.45454545</v>
      </c>
      <c r="L8" s="59" t="n">
        <f aca="false">K11</f>
        <v>3753661.36363636</v>
      </c>
    </row>
    <row r="9" customFormat="false" ht="15" hidden="false" customHeight="true" outlineLevel="0" collapsed="false">
      <c r="B9" s="40" t="s">
        <v>848</v>
      </c>
      <c r="C9" s="12" t="s">
        <v>136</v>
      </c>
      <c r="D9" s="30" t="n">
        <f aca="false">CWIP_CLOSE_Y0</f>
        <v>5004881.81818182</v>
      </c>
      <c r="E9" s="30" t="n">
        <f aca="false">IF(E$4=ASM_A04_COD_YEAR,CWIP_CLOSE_Y0,0)</f>
        <v>0</v>
      </c>
      <c r="F9" s="30" t="n">
        <f aca="false">IF(F$4=ASM_A04_COD_YEAR,CWIP_CLOSE_Y0,0)</f>
        <v>0</v>
      </c>
      <c r="G9" s="30" t="n">
        <f aca="false">IF(G$4=ASM_A04_COD_YEAR,CWIP_CLOSE_Y0,0)</f>
        <v>5004881.81818182</v>
      </c>
      <c r="H9" s="30" t="n">
        <f aca="false">IF(H$4=ASM_A04_COD_YEAR,CWIP_CLOSE_Y0,0)</f>
        <v>0</v>
      </c>
      <c r="I9" s="30" t="n">
        <f aca="false">IF(I$4=ASM_A04_COD_YEAR,CWIP_CLOSE_Y0,0)</f>
        <v>0</v>
      </c>
      <c r="J9" s="30" t="n">
        <f aca="false">IF(J$4=ASM_A04_COD_YEAR,CWIP_CLOSE_Y0,0)</f>
        <v>0</v>
      </c>
      <c r="K9" s="30" t="n">
        <f aca="false">IF(K$4=ASM_A04_COD_YEAR,CWIP_CLOSE_Y0,0)</f>
        <v>0</v>
      </c>
      <c r="L9" s="30" t="n">
        <f aca="false">IF(L$4=ASM_A04_COD_YEAR,CWIP_CLOSE_Y0,0)</f>
        <v>0</v>
      </c>
    </row>
    <row r="10" customFormat="false" ht="15" hidden="false" customHeight="true" outlineLevel="0" collapsed="false">
      <c r="B10" s="40" t="s">
        <v>849</v>
      </c>
      <c r="C10" s="12" t="s">
        <v>136</v>
      </c>
      <c r="D10" s="60" t="n">
        <f aca="false">SUM(E10:L10)</f>
        <v>-1501464.54545455</v>
      </c>
      <c r="E10" s="30" t="n">
        <f aca="false">FLAG_POST_COD_YM1*(-MIN(CWIP_CLOSE_Y0/ASM_M04_DEPR_LIFE_BOOK_YEARS,CWIP_CLOSE_Y0))</f>
        <v>-0</v>
      </c>
      <c r="F10" s="30" t="n">
        <f aca="false">FLAG_POST_COD_Y0*(-MIN(CWIP_CLOSE_Y0/ASM_M04_DEPR_LIFE_BOOK_YEARS,CWIP_CLOSE_Y0))</f>
        <v>-0</v>
      </c>
      <c r="G10" s="30" t="n">
        <f aca="false">FLAG_POST_COD_Y1*(-MIN(CWIP_CLOSE_Y0/ASM_M04_DEPR_LIFE_BOOK_YEARS,CWIP_CLOSE_Y0))</f>
        <v>-250244.090909091</v>
      </c>
      <c r="H10" s="30" t="n">
        <f aca="false">FLAG_POST_COD_Y2*(-MIN(CWIP_CLOSE_Y0/ASM_M04_DEPR_LIFE_BOOK_YEARS,CWIP_CLOSE_Y0))</f>
        <v>-250244.090909091</v>
      </c>
      <c r="I10" s="30" t="n">
        <f aca="false">FLAG_POST_COD_Y3*(-MIN(CWIP_CLOSE_Y0/ASM_M04_DEPR_LIFE_BOOK_YEARS,CWIP_CLOSE_Y0))</f>
        <v>-250244.090909091</v>
      </c>
      <c r="J10" s="30" t="n">
        <f aca="false">FLAG_POST_COD_Y4*(-MIN(CWIP_CLOSE_Y0/ASM_M04_DEPR_LIFE_BOOK_YEARS,CWIP_CLOSE_Y0))</f>
        <v>-250244.090909091</v>
      </c>
      <c r="K10" s="30" t="n">
        <f aca="false">FLAG_POST_COD_Y5*(-MIN(CWIP_CLOSE_Y0/ASM_M04_DEPR_LIFE_BOOK_YEARS,CWIP_CLOSE_Y0))</f>
        <v>-250244.090909091</v>
      </c>
      <c r="L10" s="30" t="n">
        <f aca="false">FLAG_POST_COD_Y6*(-MIN(CWIP_CLOSE_Y0/ASM_M04_DEPR_LIFE_BOOK_YEARS,CWIP_CLOSE_Y0))</f>
        <v>-250244.090909091</v>
      </c>
    </row>
    <row r="11" customFormat="false" ht="15" hidden="false" customHeight="true" outlineLevel="0" collapsed="false">
      <c r="B11" s="31" t="s">
        <v>850</v>
      </c>
      <c r="C11" s="12" t="s">
        <v>136</v>
      </c>
      <c r="D11" s="61" t="n">
        <f aca="false">SUM(E11:L11)</f>
        <v>24774165</v>
      </c>
      <c r="E11" s="32" t="n">
        <f aca="false">E8+E9+E10</f>
        <v>0</v>
      </c>
      <c r="F11" s="32" t="n">
        <f aca="false">F8+F9+F10</f>
        <v>0</v>
      </c>
      <c r="G11" s="32" t="n">
        <f aca="false">G8+G9+G10</f>
        <v>4754637.72727273</v>
      </c>
      <c r="H11" s="32" t="n">
        <f aca="false">H8+H9+H10</f>
        <v>4504393.63636364</v>
      </c>
      <c r="I11" s="32" t="n">
        <f aca="false">I8+I9+I10</f>
        <v>4254149.54545455</v>
      </c>
      <c r="J11" s="32" t="n">
        <f aca="false">J8+J9+J10</f>
        <v>4003905.45454545</v>
      </c>
      <c r="K11" s="32" t="n">
        <f aca="false">K8+K9+K10</f>
        <v>3753661.36363636</v>
      </c>
      <c r="L11" s="32" t="n">
        <f aca="false">L8+L9+L10</f>
        <v>3503417.27272727</v>
      </c>
    </row>
    <row r="12" customFormat="false" ht="15" hidden="false" customHeight="true" outlineLevel="0" collapsed="false"/>
    <row r="13" customFormat="false" ht="15" hidden="false" customHeight="true" outlineLevel="0" collapsed="false">
      <c r="B13" s="4" t="s">
        <v>851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B14" s="57" t="s">
        <v>852</v>
      </c>
      <c r="C14" s="12" t="s">
        <v>136</v>
      </c>
      <c r="D14" s="58" t="n">
        <f aca="false">SUM(E14:L14)</f>
        <v>17517086.3636364</v>
      </c>
      <c r="E14" s="59" t="n">
        <f aca="false">0</f>
        <v>0</v>
      </c>
      <c r="F14" s="59" t="n">
        <f aca="false">0</f>
        <v>0</v>
      </c>
      <c r="G14" s="59" t="n">
        <f aca="false">0</f>
        <v>0</v>
      </c>
      <c r="H14" s="59" t="n">
        <f aca="false">G17</f>
        <v>4504393.63636364</v>
      </c>
      <c r="I14" s="59" t="n">
        <f aca="false">H17</f>
        <v>4003905.45454545</v>
      </c>
      <c r="J14" s="59" t="n">
        <f aca="false">I17</f>
        <v>3503417.27272727</v>
      </c>
      <c r="K14" s="59" t="n">
        <f aca="false">J17</f>
        <v>3002929.09090909</v>
      </c>
      <c r="L14" s="59" t="n">
        <f aca="false">K17</f>
        <v>2502440.90909091</v>
      </c>
    </row>
    <row r="15" customFormat="false" ht="15" hidden="false" customHeight="true" outlineLevel="0" collapsed="false">
      <c r="B15" s="40" t="s">
        <v>848</v>
      </c>
      <c r="C15" s="12" t="s">
        <v>136</v>
      </c>
      <c r="D15" s="60" t="n">
        <f aca="false">SUM(E15:L15)</f>
        <v>5004881.81818182</v>
      </c>
      <c r="E15" s="30" t="n">
        <f aca="false">IF(E$4=ASM_A04_COD_YEAR,CWIP_CLOSE_Y0,0)</f>
        <v>0</v>
      </c>
      <c r="F15" s="30" t="n">
        <f aca="false">IF(F$4=ASM_A04_COD_YEAR,CWIP_CLOSE_Y0,0)</f>
        <v>0</v>
      </c>
      <c r="G15" s="30" t="n">
        <f aca="false">IF(G$4=ASM_A04_COD_YEAR,CWIP_CLOSE_Y0,0)</f>
        <v>5004881.81818182</v>
      </c>
      <c r="H15" s="30" t="n">
        <f aca="false">IF(H$4=ASM_A04_COD_YEAR,CWIP_CLOSE_Y0,0)</f>
        <v>0</v>
      </c>
      <c r="I15" s="30" t="n">
        <f aca="false">IF(I$4=ASM_A04_COD_YEAR,CWIP_CLOSE_Y0,0)</f>
        <v>0</v>
      </c>
      <c r="J15" s="30" t="n">
        <f aca="false">IF(J$4=ASM_A04_COD_YEAR,CWIP_CLOSE_Y0,0)</f>
        <v>0</v>
      </c>
      <c r="K15" s="30" t="n">
        <f aca="false">IF(K$4=ASM_A04_COD_YEAR,CWIP_CLOSE_Y0,0)</f>
        <v>0</v>
      </c>
      <c r="L15" s="30" t="n">
        <f aca="false">IF(L$4=ASM_A04_COD_YEAR,CWIP_CLOSE_Y0,0)</f>
        <v>0</v>
      </c>
    </row>
    <row r="16" customFormat="false" ht="15" hidden="false" customHeight="true" outlineLevel="0" collapsed="false">
      <c r="B16" s="40" t="s">
        <v>853</v>
      </c>
      <c r="C16" s="12" t="s">
        <v>136</v>
      </c>
      <c r="D16" s="60" t="n">
        <f aca="false">SUM(E16:L16)</f>
        <v>-3002929.09090909</v>
      </c>
      <c r="E16" s="30" t="n">
        <f aca="false">FLAG_POST_COD_YM1*(-MIN(CWIP_CLOSE_Y0/ASM_M05_DEPR_LIFE_TAX_YEARS,CWIP_CLOSE_Y0))</f>
        <v>-0</v>
      </c>
      <c r="F16" s="30" t="n">
        <f aca="false">FLAG_POST_COD_Y0*(-MIN(CWIP_CLOSE_Y0/ASM_M05_DEPR_LIFE_TAX_YEARS,CWIP_CLOSE_Y0))</f>
        <v>-0</v>
      </c>
      <c r="G16" s="30" t="n">
        <f aca="false">FLAG_POST_COD_Y1*(-MIN(CWIP_CLOSE_Y0/ASM_M05_DEPR_LIFE_TAX_YEARS,CWIP_CLOSE_Y0))</f>
        <v>-500488.181818182</v>
      </c>
      <c r="H16" s="30" t="n">
        <f aca="false">FLAG_POST_COD_Y2*(-MIN(CWIP_CLOSE_Y0/ASM_M05_DEPR_LIFE_TAX_YEARS,CWIP_CLOSE_Y0))</f>
        <v>-500488.181818182</v>
      </c>
      <c r="I16" s="30" t="n">
        <f aca="false">FLAG_POST_COD_Y3*(-MIN(CWIP_CLOSE_Y0/ASM_M05_DEPR_LIFE_TAX_YEARS,CWIP_CLOSE_Y0))</f>
        <v>-500488.181818182</v>
      </c>
      <c r="J16" s="30" t="n">
        <f aca="false">FLAG_POST_COD_Y4*(-MIN(CWIP_CLOSE_Y0/ASM_M05_DEPR_LIFE_TAX_YEARS,CWIP_CLOSE_Y0))</f>
        <v>-500488.181818182</v>
      </c>
      <c r="K16" s="30" t="n">
        <f aca="false">FLAG_POST_COD_Y5*(-MIN(CWIP_CLOSE_Y0/ASM_M05_DEPR_LIFE_TAX_YEARS,CWIP_CLOSE_Y0))</f>
        <v>-500488.181818182</v>
      </c>
      <c r="L16" s="30" t="n">
        <f aca="false">FLAG_POST_COD_Y6*(-MIN(CWIP_CLOSE_Y0/ASM_M05_DEPR_LIFE_TAX_YEARS,CWIP_CLOSE_Y0))</f>
        <v>-500488.181818182</v>
      </c>
    </row>
    <row r="17" customFormat="false" ht="15" hidden="false" customHeight="true" outlineLevel="0" collapsed="false">
      <c r="B17" s="31" t="s">
        <v>854</v>
      </c>
      <c r="C17" s="12" t="s">
        <v>136</v>
      </c>
      <c r="D17" s="61" t="n">
        <f aca="false">SUM(E17:L17)</f>
        <v>19519039.0909091</v>
      </c>
      <c r="E17" s="32" t="n">
        <f aca="false">E14+E15+E16</f>
        <v>0</v>
      </c>
      <c r="F17" s="32" t="n">
        <f aca="false">F14+F15+F16</f>
        <v>0</v>
      </c>
      <c r="G17" s="32" t="n">
        <f aca="false">G14+G15+G16</f>
        <v>4504393.63636364</v>
      </c>
      <c r="H17" s="32" t="n">
        <f aca="false">H14+H15+H16</f>
        <v>4003905.45454545</v>
      </c>
      <c r="I17" s="32" t="n">
        <f aca="false">I14+I15+I16</f>
        <v>3503417.27272727</v>
      </c>
      <c r="J17" s="32" t="n">
        <f aca="false">J14+J15+J16</f>
        <v>3002929.09090909</v>
      </c>
      <c r="K17" s="32" t="n">
        <f aca="false">K14+K15+K16</f>
        <v>2502440.90909091</v>
      </c>
      <c r="L17" s="32" t="n">
        <f aca="false">L14+L15+L16</f>
        <v>2001952.72727273</v>
      </c>
    </row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>
      <c r="B20" s="4" t="s">
        <v>855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B21" s="31" t="s">
        <v>856</v>
      </c>
      <c r="C21" s="12" t="s">
        <v>136</v>
      </c>
      <c r="D21" s="61" t="n">
        <f aca="false">SUM(E21:L21)</f>
        <v>1839294.06818182</v>
      </c>
      <c r="E21" s="32" t="n">
        <f aca="false">(E11-E17)*ASM_M01_TAX_RATE</f>
        <v>0</v>
      </c>
      <c r="F21" s="32" t="n">
        <f aca="false">(F11-F17)*ASM_M01_TAX_RATE</f>
        <v>0</v>
      </c>
      <c r="G21" s="32" t="n">
        <f aca="false">(G11-G17)*ASM_M01_TAX_RATE</f>
        <v>87585.4318181818</v>
      </c>
      <c r="H21" s="32" t="n">
        <f aca="false">(H11-H17)*ASM_M01_TAX_RATE</f>
        <v>175170.863636364</v>
      </c>
      <c r="I21" s="32" t="n">
        <f aca="false">(I11-I17)*ASM_M01_TAX_RATE</f>
        <v>262756.295454545</v>
      </c>
      <c r="J21" s="32" t="n">
        <f aca="false">(J11-J17)*ASM_M01_TAX_RATE</f>
        <v>350341.727272727</v>
      </c>
      <c r="K21" s="32" t="n">
        <f aca="false">(K11-K17)*ASM_M01_TAX_RATE</f>
        <v>437927.159090909</v>
      </c>
      <c r="L21" s="32" t="n">
        <f aca="false">(L11-L17)*ASM_M01_TAX_RATE</f>
        <v>525512.590909091</v>
      </c>
    </row>
    <row r="22" customFormat="false" ht="15" hidden="false" customHeight="true" outlineLevel="0" collapsed="false"/>
    <row r="23" customFormat="false" ht="15" hidden="false" customHeight="true" outlineLevel="0" collapsed="false">
      <c r="B23" s="47" t="s">
        <v>857</v>
      </c>
      <c r="C23" s="12" t="s">
        <v>136</v>
      </c>
      <c r="D23" s="48" t="n">
        <f aca="false">SUM(E23:L23)</f>
        <v>0</v>
      </c>
      <c r="E23" s="49" t="n">
        <f aca="false">IF(E11&lt;-1,1,0)+IF(E17&lt;-1,1,0)</f>
        <v>0</v>
      </c>
      <c r="F23" s="49" t="n">
        <f aca="false">IF(F11&lt;-1,1,0)+IF(F17&lt;-1,1,0)</f>
        <v>0</v>
      </c>
      <c r="G23" s="49" t="n">
        <f aca="false">IF(G11&lt;-1,1,0)+IF(G17&lt;-1,1,0)</f>
        <v>0</v>
      </c>
      <c r="H23" s="49" t="n">
        <f aca="false">IF(H11&lt;-1,1,0)+IF(H17&lt;-1,1,0)</f>
        <v>0</v>
      </c>
      <c r="I23" s="49" t="n">
        <f aca="false">IF(I11&lt;-1,1,0)+IF(I17&lt;-1,1,0)</f>
        <v>0</v>
      </c>
      <c r="J23" s="49" t="n">
        <f aca="false">IF(J11&lt;-1,1,0)+IF(J17&lt;-1,1,0)</f>
        <v>0</v>
      </c>
      <c r="K23" s="49" t="n">
        <f aca="false">IF(K11&lt;-1,1,0)+IF(K17&lt;-1,1,0)</f>
        <v>0</v>
      </c>
      <c r="L23" s="49" t="n">
        <f aca="false">IF(L11&lt;-1,1,0)+IF(L17&lt;-1,1,0)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858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>
      <c r="B7" s="4" t="s">
        <v>859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18" t="s">
        <v>860</v>
      </c>
      <c r="C8" s="12" t="s">
        <v>136</v>
      </c>
      <c r="D8" s="60" t="n">
        <f aca="false">SUM(E8:L8)</f>
        <v>663504.694520548</v>
      </c>
      <c r="E8" s="30" t="n">
        <f aca="false">REV_TOTAL_YM1*ASM_M06_DSO_DAYS/365</f>
        <v>0</v>
      </c>
      <c r="F8" s="30" t="n">
        <f aca="false">REV_TOTAL_Y0*ASM_M06_DSO_DAYS/365</f>
        <v>0</v>
      </c>
      <c r="G8" s="30" t="n">
        <f aca="false">REV_TOTAL_Y1*ASM_M06_DSO_DAYS/365</f>
        <v>51534.3452054795</v>
      </c>
      <c r="H8" s="30" t="n">
        <f aca="false">REV_TOTAL_Y2*ASM_M06_DSO_DAYS/365</f>
        <v>96626.897260274</v>
      </c>
      <c r="I8" s="30" t="n">
        <f aca="false">REV_TOTAL_Y3*ASM_M06_DSO_DAYS/365</f>
        <v>128835.863013699</v>
      </c>
      <c r="J8" s="30" t="n">
        <f aca="false">REV_TOTAL_Y4*ASM_M06_DSO_DAYS/365</f>
        <v>128835.863013699</v>
      </c>
      <c r="K8" s="30" t="n">
        <f aca="false">REV_TOTAL_Y5*ASM_M06_DSO_DAYS/365</f>
        <v>128835.863013699</v>
      </c>
      <c r="L8" s="30" t="n">
        <f aca="false">REV_TOTAL_Y6*ASM_M06_DSO_DAYS/365</f>
        <v>128835.863013699</v>
      </c>
    </row>
    <row r="9" customFormat="false" ht="15" hidden="false" customHeight="true" outlineLevel="0" collapsed="false">
      <c r="B9" s="18" t="s">
        <v>861</v>
      </c>
      <c r="C9" s="12" t="s">
        <v>136</v>
      </c>
      <c r="D9" s="60" t="n">
        <f aca="false">SUM(E9:L9)</f>
        <v>638624.193960149</v>
      </c>
      <c r="E9" s="30" t="n">
        <f aca="false">OPEX_TOTAL_YM1*ASM_M07_DPO_DAYS/365</f>
        <v>0</v>
      </c>
      <c r="F9" s="30" t="n">
        <f aca="false">OPEX_TOTAL_Y0*ASM_M07_DPO_DAYS/365</f>
        <v>21920.5479452055</v>
      </c>
      <c r="G9" s="30" t="n">
        <f aca="false">OPEX_TOTAL_Y1*ASM_M07_DPO_DAYS/365</f>
        <v>157279.480386052</v>
      </c>
      <c r="H9" s="30" t="n">
        <f aca="false">OPEX_TOTAL_Y2*ASM_M07_DPO_DAYS/365</f>
        <v>174075.354919054</v>
      </c>
      <c r="I9" s="30" t="n">
        <f aca="false">OPEX_TOTAL_Y3*ASM_M07_DPO_DAYS/365</f>
        <v>71337.2026774595</v>
      </c>
      <c r="J9" s="30" t="n">
        <f aca="false">OPEX_TOTAL_Y4*ASM_M07_DPO_DAYS/365</f>
        <v>71337.2026774595</v>
      </c>
      <c r="K9" s="30" t="n">
        <f aca="false">OPEX_TOTAL_Y5*ASM_M07_DPO_DAYS/365</f>
        <v>71337.2026774595</v>
      </c>
      <c r="L9" s="30" t="n">
        <f aca="false">OPEX_TOTAL_Y6*ASM_M07_DPO_DAYS/365</f>
        <v>71337.2026774595</v>
      </c>
    </row>
    <row r="10" customFormat="false" ht="15" hidden="false" customHeight="true" outlineLevel="0" collapsed="false"/>
    <row r="11" customFormat="false" ht="15" hidden="false" customHeight="true" outlineLevel="0" collapsed="false">
      <c r="B11" s="4" t="s">
        <v>862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B12" s="18" t="s">
        <v>863</v>
      </c>
      <c r="C12" s="12" t="s">
        <v>136</v>
      </c>
      <c r="D12" s="60" t="n">
        <f aca="false">SUM(E12:L12)</f>
        <v>128835.863013699</v>
      </c>
      <c r="E12" s="30" t="n">
        <f aca="false">E8</f>
        <v>0</v>
      </c>
      <c r="F12" s="30" t="n">
        <f aca="false">F8-E8</f>
        <v>0</v>
      </c>
      <c r="G12" s="30" t="n">
        <f aca="false">G8-F8</f>
        <v>51534.3452054795</v>
      </c>
      <c r="H12" s="30" t="n">
        <f aca="false">H8-G8</f>
        <v>45092.5520547945</v>
      </c>
      <c r="I12" s="30" t="n">
        <f aca="false">I8-H8</f>
        <v>32208.9657534247</v>
      </c>
      <c r="J12" s="30" t="n">
        <f aca="false">J8-I8</f>
        <v>0</v>
      </c>
      <c r="K12" s="30" t="n">
        <f aca="false">K8-J8</f>
        <v>0</v>
      </c>
      <c r="L12" s="30" t="n">
        <f aca="false">L8-K8</f>
        <v>0</v>
      </c>
    </row>
    <row r="13" customFormat="false" ht="15" hidden="false" customHeight="true" outlineLevel="0" collapsed="false">
      <c r="B13" s="18" t="s">
        <v>864</v>
      </c>
      <c r="C13" s="12" t="s">
        <v>136</v>
      </c>
      <c r="D13" s="60" t="n">
        <f aca="false">SUM(E13:L13)</f>
        <v>71337.2026774595</v>
      </c>
      <c r="E13" s="30" t="n">
        <f aca="false">E9</f>
        <v>0</v>
      </c>
      <c r="F13" s="30" t="n">
        <f aca="false">F9-E9</f>
        <v>21920.5479452055</v>
      </c>
      <c r="G13" s="30" t="n">
        <f aca="false">G9-F9</f>
        <v>135358.932440847</v>
      </c>
      <c r="H13" s="30" t="n">
        <f aca="false">H9-G9</f>
        <v>16795.8745330013</v>
      </c>
      <c r="I13" s="30" t="n">
        <f aca="false">I9-H9</f>
        <v>-102738.152241594</v>
      </c>
      <c r="J13" s="30" t="n">
        <f aca="false">J9-I9</f>
        <v>0</v>
      </c>
      <c r="K13" s="30" t="n">
        <f aca="false">K9-J9</f>
        <v>0</v>
      </c>
      <c r="L13" s="30" t="n">
        <f aca="false">L9-K9</f>
        <v>0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18" t="s">
        <v>865</v>
      </c>
      <c r="C15" s="12" t="s">
        <v>136</v>
      </c>
      <c r="D15" s="60" t="n">
        <f aca="false">SUM(E15:L15)</f>
        <v>-57498.6603362391</v>
      </c>
      <c r="E15" s="30" t="n">
        <f aca="false">-E12+E13</f>
        <v>0</v>
      </c>
      <c r="F15" s="30" t="n">
        <f aca="false">-F12+F13</f>
        <v>21920.5479452055</v>
      </c>
      <c r="G15" s="30" t="n">
        <f aca="false">-G12+G13</f>
        <v>83824.5872353674</v>
      </c>
      <c r="H15" s="30" t="n">
        <f aca="false">-H12+H13</f>
        <v>-28296.6775217932</v>
      </c>
      <c r="I15" s="30" t="n">
        <f aca="false">-I12+I13</f>
        <v>-134947.117995019</v>
      </c>
      <c r="J15" s="30" t="n">
        <f aca="false">-J12+J13</f>
        <v>0</v>
      </c>
      <c r="K15" s="30" t="n">
        <f aca="false">-K12+K13</f>
        <v>0</v>
      </c>
      <c r="L15" s="30" t="n">
        <f aca="false">-L12+L13</f>
        <v>0</v>
      </c>
    </row>
    <row r="16" customFormat="false" ht="15" hidden="false" customHeight="true" outlineLevel="0" collapsed="false"/>
    <row r="17" customFormat="false" ht="15" hidden="false" customHeight="true" outlineLevel="0" collapsed="false">
      <c r="B17" s="62" t="s">
        <v>866</v>
      </c>
      <c r="C17" s="12" t="s">
        <v>136</v>
      </c>
      <c r="D17" s="63"/>
      <c r="E17" s="63"/>
      <c r="F17" s="63"/>
      <c r="G17" s="63"/>
      <c r="H17" s="63"/>
      <c r="I17" s="63"/>
      <c r="J17" s="63"/>
      <c r="K17" s="63"/>
      <c r="L17" s="6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867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>
      <c r="B7" s="4" t="s">
        <v>868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18" t="s">
        <v>869</v>
      </c>
      <c r="C8" s="12" t="s">
        <v>136</v>
      </c>
      <c r="D8" s="60" t="n">
        <f aca="false">SUM(E8:L8)</f>
        <v>8072640.45</v>
      </c>
      <c r="E8" s="30" t="n">
        <f aca="false">REV_TOTAL_YM1</f>
        <v>0</v>
      </c>
      <c r="F8" s="30" t="n">
        <f aca="false">REV_TOTAL_Y0</f>
        <v>0</v>
      </c>
      <c r="G8" s="30" t="n">
        <f aca="false">REV_TOTAL_Y1</f>
        <v>627001.2</v>
      </c>
      <c r="H8" s="30" t="n">
        <f aca="false">REV_TOTAL_Y2</f>
        <v>1175627.25</v>
      </c>
      <c r="I8" s="30" t="n">
        <f aca="false">REV_TOTAL_Y3</f>
        <v>1567503</v>
      </c>
      <c r="J8" s="30" t="n">
        <f aca="false">REV_TOTAL_Y4</f>
        <v>1567503</v>
      </c>
      <c r="K8" s="30" t="n">
        <f aca="false">REV_TOTAL_Y5</f>
        <v>1567503</v>
      </c>
      <c r="L8" s="30" t="n">
        <f aca="false">REV_TOTAL_Y6</f>
        <v>1567503</v>
      </c>
    </row>
    <row r="9" customFormat="false" ht="15" hidden="false" customHeight="true" outlineLevel="0" collapsed="false">
      <c r="B9" s="18" t="s">
        <v>870</v>
      </c>
      <c r="C9" s="12" t="s">
        <v>136</v>
      </c>
      <c r="D9" s="60" t="n">
        <f aca="false">SUM(E9:L9)</f>
        <v>-5179951.79545455</v>
      </c>
      <c r="E9" s="30" t="n">
        <f aca="false">-OPEX_TOTAL_YM1</f>
        <v>-0</v>
      </c>
      <c r="F9" s="30" t="n">
        <f aca="false">-OPEX_TOTAL_Y0</f>
        <v>-177800</v>
      </c>
      <c r="G9" s="30" t="n">
        <f aca="false">-OPEX_TOTAL_Y1</f>
        <v>-1275711.34090909</v>
      </c>
      <c r="H9" s="30" t="n">
        <f aca="false">-OPEX_TOTAL_Y2</f>
        <v>-1411944.54545455</v>
      </c>
      <c r="I9" s="30" t="n">
        <f aca="false">-OPEX_TOTAL_Y3</f>
        <v>-578623.977272727</v>
      </c>
      <c r="J9" s="30" t="n">
        <f aca="false">-OPEX_TOTAL_Y4</f>
        <v>-578623.977272727</v>
      </c>
      <c r="K9" s="30" t="n">
        <f aca="false">-OPEX_TOTAL_Y5</f>
        <v>-578623.977272727</v>
      </c>
      <c r="L9" s="30" t="n">
        <f aca="false">-OPEX_TOTAL_Y6</f>
        <v>-578623.977272727</v>
      </c>
    </row>
    <row r="10" customFormat="false" ht="15" hidden="false" customHeight="true" outlineLevel="0" collapsed="false">
      <c r="B10" s="18" t="s">
        <v>871</v>
      </c>
      <c r="C10" s="12" t="s">
        <v>136</v>
      </c>
      <c r="D10" s="60" t="n">
        <f aca="false">SUM(E10:L10)</f>
        <v>-1501464.54545455</v>
      </c>
      <c r="E10" s="30" t="n">
        <f aca="false">FA_BOOK_DEP_YM1</f>
        <v>-0</v>
      </c>
      <c r="F10" s="30" t="n">
        <f aca="false">FA_BOOK_DEP_Y0</f>
        <v>-0</v>
      </c>
      <c r="G10" s="30" t="n">
        <f aca="false">FA_BOOK_DEP_Y1</f>
        <v>-250244.090909091</v>
      </c>
      <c r="H10" s="30" t="n">
        <f aca="false">FA_BOOK_DEP_Y2</f>
        <v>-250244.090909091</v>
      </c>
      <c r="I10" s="30" t="n">
        <f aca="false">FA_BOOK_DEP_Y3</f>
        <v>-250244.090909091</v>
      </c>
      <c r="J10" s="30" t="n">
        <f aca="false">FA_BOOK_DEP_Y4</f>
        <v>-250244.090909091</v>
      </c>
      <c r="K10" s="30" t="n">
        <f aca="false">FA_BOOK_DEP_Y5</f>
        <v>-250244.090909091</v>
      </c>
      <c r="L10" s="30" t="n">
        <f aca="false">FA_BOOK_DEP_Y6</f>
        <v>-250244.090909091</v>
      </c>
    </row>
    <row r="11" customFormat="false" ht="15" hidden="false" customHeight="true" outlineLevel="0" collapsed="false">
      <c r="B11" s="18" t="s">
        <v>872</v>
      </c>
      <c r="C11" s="12" t="s">
        <v>136</v>
      </c>
      <c r="D11" s="60" t="n">
        <f aca="false">SUM(E11:L11)</f>
        <v>-938770.448484849</v>
      </c>
      <c r="E11" s="30" t="n">
        <f aca="false">-DEBT_INT_YM1</f>
        <v>-0</v>
      </c>
      <c r="F11" s="30" t="n">
        <f aca="false">-DEBT_INT_Y0</f>
        <v>-140815.567272727</v>
      </c>
      <c r="G11" s="30" t="n">
        <f aca="false">-DEBT_INT_Y1</f>
        <v>-140815.567272727</v>
      </c>
      <c r="H11" s="30" t="n">
        <f aca="false">-DEBT_INT_Y2</f>
        <v>-140815.567272727</v>
      </c>
      <c r="I11" s="30" t="n">
        <f aca="false">-DEBT_INT_Y3</f>
        <v>-140815.567272727</v>
      </c>
      <c r="J11" s="30" t="n">
        <f aca="false">-DEBT_INT_Y4</f>
        <v>-140815.567272727</v>
      </c>
      <c r="K11" s="30" t="n">
        <f aca="false">-DEBT_INT_Y5</f>
        <v>-125169.393131313</v>
      </c>
      <c r="L11" s="30" t="n">
        <f aca="false">-DEBT_INT_Y6</f>
        <v>-109523.218989899</v>
      </c>
    </row>
    <row r="12" customFormat="false" ht="15" hidden="false" customHeight="true" outlineLevel="0" collapsed="false">
      <c r="B12" s="18" t="s">
        <v>873</v>
      </c>
      <c r="C12" s="12" t="s">
        <v>136</v>
      </c>
      <c r="D12" s="60" t="n">
        <f aca="false">SUM(E12:L12)</f>
        <v>452453.660606061</v>
      </c>
      <c r="E12" s="30" t="n">
        <f aca="false">E8+E9+E10+E11</f>
        <v>0</v>
      </c>
      <c r="F12" s="30" t="n">
        <f aca="false">F8+F9+F10+F11</f>
        <v>-318615.567272727</v>
      </c>
      <c r="G12" s="30" t="n">
        <f aca="false">G8+G9+G10+G11</f>
        <v>-1039769.79909091</v>
      </c>
      <c r="H12" s="30" t="n">
        <f aca="false">H8+H9+H10+H11</f>
        <v>-627376.953636364</v>
      </c>
      <c r="I12" s="30" t="n">
        <f aca="false">I8+I9+I10+I11</f>
        <v>597819.364545455</v>
      </c>
      <c r="J12" s="30" t="n">
        <f aca="false">J8+J9+J10+J11</f>
        <v>597819.364545455</v>
      </c>
      <c r="K12" s="30" t="n">
        <f aca="false">K8+K9+K10+K11</f>
        <v>613465.538686869</v>
      </c>
      <c r="L12" s="30" t="n">
        <f aca="false">L8+L9+L10+L11</f>
        <v>629111.712828283</v>
      </c>
    </row>
    <row r="13" customFormat="false" ht="15" hidden="false" customHeight="true" outlineLevel="0" collapsed="false">
      <c r="B13" s="4" t="s">
        <v>874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B14" s="18" t="s">
        <v>875</v>
      </c>
      <c r="C14" s="12" t="s">
        <v>365</v>
      </c>
      <c r="D14" s="48" t="n">
        <f aca="false">SUM(E14:L14)</f>
        <v>5</v>
      </c>
      <c r="E14" s="64" t="n">
        <f aca="false">IF(AND(E$4&gt;=ASM_A04_COD_YEAR,E$4&lt;ASM_A04_COD_YEAR+ASM_M02_TAX_HOLIDAY_YEARS),1,0)</f>
        <v>0</v>
      </c>
      <c r="F14" s="64" t="n">
        <f aca="false">IF(AND(F$4&gt;=ASM_A04_COD_YEAR,F$4&lt;ASM_A04_COD_YEAR+ASM_M02_TAX_HOLIDAY_YEARS),1,0)</f>
        <v>0</v>
      </c>
      <c r="G14" s="64" t="n">
        <f aca="false">IF(AND(G$4&gt;=ASM_A04_COD_YEAR,G$4&lt;ASM_A04_COD_YEAR+ASM_M02_TAX_HOLIDAY_YEARS),1,0)</f>
        <v>1</v>
      </c>
      <c r="H14" s="64" t="n">
        <f aca="false">IF(AND(H$4&gt;=ASM_A04_COD_YEAR,H$4&lt;ASM_A04_COD_YEAR+ASM_M02_TAX_HOLIDAY_YEARS),1,0)</f>
        <v>1</v>
      </c>
      <c r="I14" s="64" t="n">
        <f aca="false">IF(AND(I$4&gt;=ASM_A04_COD_YEAR,I$4&lt;ASM_A04_COD_YEAR+ASM_M02_TAX_HOLIDAY_YEARS),1,0)</f>
        <v>1</v>
      </c>
      <c r="J14" s="64" t="n">
        <f aca="false">IF(AND(J$4&gt;=ASM_A04_COD_YEAR,J$4&lt;ASM_A04_COD_YEAR+ASM_M02_TAX_HOLIDAY_YEARS),1,0)</f>
        <v>1</v>
      </c>
      <c r="K14" s="64" t="n">
        <f aca="false">IF(AND(K$4&gt;=ASM_A04_COD_YEAR,K$4&lt;ASM_A04_COD_YEAR+ASM_M02_TAX_HOLIDAY_YEARS),1,0)</f>
        <v>1</v>
      </c>
      <c r="L14" s="64" t="n">
        <f aca="false">IF(AND(L$4&gt;=ASM_A04_COD_YEAR,L$4&lt;ASM_A04_COD_YEAR+ASM_M02_TAX_HOLIDAY_YEARS),1,0)</f>
        <v>0</v>
      </c>
    </row>
    <row r="15" customFormat="false" ht="15" hidden="false" customHeight="true" outlineLevel="0" collapsed="false">
      <c r="B15" s="4" t="s">
        <v>876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B16" s="18" t="s">
        <v>877</v>
      </c>
      <c r="C16" s="12" t="s">
        <v>136</v>
      </c>
      <c r="D16" s="60" t="n">
        <f aca="false">SUM(E16:L16)</f>
        <v>9620050.21363636</v>
      </c>
      <c r="E16" s="30" t="n">
        <f aca="false">0</f>
        <v>0</v>
      </c>
      <c r="F16" s="30" t="n">
        <f aca="false">E19</f>
        <v>0</v>
      </c>
      <c r="G16" s="30" t="n">
        <f aca="false">F19</f>
        <v>318615.567272727</v>
      </c>
      <c r="H16" s="30" t="n">
        <f aca="false">G19</f>
        <v>1358385.36636364</v>
      </c>
      <c r="I16" s="30" t="n">
        <f aca="false">H19</f>
        <v>1985762.32</v>
      </c>
      <c r="J16" s="30" t="n">
        <f aca="false">I19</f>
        <v>1985762.32</v>
      </c>
      <c r="K16" s="30" t="n">
        <f aca="false">J19</f>
        <v>1985762.32</v>
      </c>
      <c r="L16" s="30" t="n">
        <f aca="false">K19</f>
        <v>1985762.32</v>
      </c>
    </row>
    <row r="17" customFormat="false" ht="15" hidden="false" customHeight="true" outlineLevel="0" collapsed="false">
      <c r="B17" s="18" t="s">
        <v>878</v>
      </c>
      <c r="C17" s="12" t="s">
        <v>136</v>
      </c>
      <c r="D17" s="60" t="n">
        <f aca="false">SUM(E17:L17)</f>
        <v>1985762.32</v>
      </c>
      <c r="E17" s="30" t="n">
        <f aca="false">MAX(0,-E12)</f>
        <v>-0</v>
      </c>
      <c r="F17" s="30" t="n">
        <f aca="false">MAX(0,-F12)</f>
        <v>318615.567272727</v>
      </c>
      <c r="G17" s="30" t="n">
        <f aca="false">MAX(0,-G12)</f>
        <v>1039769.79909091</v>
      </c>
      <c r="H17" s="30" t="n">
        <f aca="false">MAX(0,-H12)</f>
        <v>627376.953636364</v>
      </c>
      <c r="I17" s="30" t="n">
        <f aca="false">MAX(0,-I12)</f>
        <v>0</v>
      </c>
      <c r="J17" s="30" t="n">
        <f aca="false">MAX(0,-J12)</f>
        <v>0</v>
      </c>
      <c r="K17" s="30" t="n">
        <f aca="false">MAX(0,-K12)</f>
        <v>0</v>
      </c>
      <c r="L17" s="30" t="n">
        <f aca="false">MAX(0,-L12)</f>
        <v>0</v>
      </c>
    </row>
    <row r="18" customFormat="false" ht="15" hidden="false" customHeight="true" outlineLevel="0" collapsed="false">
      <c r="B18" s="18" t="s">
        <v>879</v>
      </c>
      <c r="C18" s="12" t="s">
        <v>136</v>
      </c>
      <c r="D18" s="60" t="n">
        <f aca="false">SUM(E18:L18)</f>
        <v>629111.712828283</v>
      </c>
      <c r="E18" s="30" t="n">
        <f aca="false">IF(E14=1,0,MIN(E16,MAX(0,E12)))</f>
        <v>0</v>
      </c>
      <c r="F18" s="30" t="n">
        <f aca="false">IF(F14=1,0,MIN(F16,MAX(0,F12)))</f>
        <v>0</v>
      </c>
      <c r="G18" s="30" t="n">
        <f aca="false">IF(G14=1,0,MIN(G16,MAX(0,G12)))</f>
        <v>0</v>
      </c>
      <c r="H18" s="30" t="n">
        <f aca="false">IF(H14=1,0,MIN(H16,MAX(0,H12)))</f>
        <v>0</v>
      </c>
      <c r="I18" s="30" t="n">
        <f aca="false">IF(I14=1,0,MIN(I16,MAX(0,I12)))</f>
        <v>0</v>
      </c>
      <c r="J18" s="30" t="n">
        <f aca="false">IF(J14=1,0,MIN(J16,MAX(0,J12)))</f>
        <v>0</v>
      </c>
      <c r="K18" s="30" t="n">
        <f aca="false">IF(K14=1,0,MIN(K16,MAX(0,K12)))</f>
        <v>0</v>
      </c>
      <c r="L18" s="30" t="n">
        <f aca="false">IF(L14=1,0,MIN(L16,MAX(0,L12)))</f>
        <v>629111.712828283</v>
      </c>
    </row>
    <row r="19" customFormat="false" ht="15" hidden="false" customHeight="true" outlineLevel="0" collapsed="false">
      <c r="B19" s="18" t="s">
        <v>880</v>
      </c>
      <c r="C19" s="12" t="s">
        <v>136</v>
      </c>
      <c r="D19" s="60" t="n">
        <f aca="false">SUM(E19:L19)</f>
        <v>10976700.8208081</v>
      </c>
      <c r="E19" s="30" t="n">
        <f aca="false">E16+E17-E18</f>
        <v>0</v>
      </c>
      <c r="F19" s="30" t="n">
        <f aca="false">F16+F17-F18</f>
        <v>318615.567272727</v>
      </c>
      <c r="G19" s="30" t="n">
        <f aca="false">G16+G17-G18</f>
        <v>1358385.36636364</v>
      </c>
      <c r="H19" s="30" t="n">
        <f aca="false">H16+H17-H18</f>
        <v>1985762.32</v>
      </c>
      <c r="I19" s="30" t="n">
        <f aca="false">I16+I17-I18</f>
        <v>1985762.32</v>
      </c>
      <c r="J19" s="30" t="n">
        <f aca="false">J16+J17-J18</f>
        <v>1985762.32</v>
      </c>
      <c r="K19" s="30" t="n">
        <f aca="false">K16+K17-K18</f>
        <v>1985762.32</v>
      </c>
      <c r="L19" s="30" t="n">
        <f aca="false">L16+L17-L18</f>
        <v>1356650.60717172</v>
      </c>
    </row>
    <row r="20" customFormat="false" ht="15" hidden="false" customHeight="true" outlineLevel="0" collapsed="false">
      <c r="B20" s="4" t="s">
        <v>881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B21" s="18" t="s">
        <v>882</v>
      </c>
      <c r="C21" s="12" t="s">
        <v>136</v>
      </c>
      <c r="D21" s="60" t="n">
        <f aca="false">SUM(E21:L21)</f>
        <v>0</v>
      </c>
      <c r="E21" s="30" t="n">
        <f aca="false">IF(E14=1,0,MAX(0,E12-E18))</f>
        <v>0</v>
      </c>
      <c r="F21" s="30" t="n">
        <f aca="false">IF(F14=1,0,MAX(0,F12-F18))</f>
        <v>0</v>
      </c>
      <c r="G21" s="30" t="n">
        <f aca="false">IF(G14=1,0,MAX(0,G12-G18))</f>
        <v>0</v>
      </c>
      <c r="H21" s="30" t="n">
        <f aca="false">IF(H14=1,0,MAX(0,H12-H18))</f>
        <v>0</v>
      </c>
      <c r="I21" s="30" t="n">
        <f aca="false">IF(I14=1,0,MAX(0,I12-I18))</f>
        <v>0</v>
      </c>
      <c r="J21" s="30" t="n">
        <f aca="false">IF(J14=1,0,MAX(0,J12-J18))</f>
        <v>0</v>
      </c>
      <c r="K21" s="30" t="n">
        <f aca="false">IF(K14=1,0,MAX(0,K12-K18))</f>
        <v>0</v>
      </c>
      <c r="L21" s="30" t="n">
        <f aca="false">IF(L14=1,0,MAX(0,L12-L18))</f>
        <v>0</v>
      </c>
    </row>
    <row r="22" customFormat="false" ht="15" hidden="false" customHeight="true" outlineLevel="0" collapsed="false">
      <c r="B22" s="18" t="s">
        <v>883</v>
      </c>
      <c r="C22" s="12" t="s">
        <v>136</v>
      </c>
      <c r="D22" s="60" t="n">
        <f aca="false">SUM(E22:L22)</f>
        <v>0</v>
      </c>
      <c r="E22" s="30" t="n">
        <f aca="false">IF(E14=1,0,E21*ASM_M01_TAX_RATE)</f>
        <v>0</v>
      </c>
      <c r="F22" s="30" t="n">
        <f aca="false">IF(F14=1,0,F21*ASM_M01_TAX_RATE)</f>
        <v>0</v>
      </c>
      <c r="G22" s="30" t="n">
        <f aca="false">IF(G14=1,0,G21*ASM_M01_TAX_RATE)</f>
        <v>0</v>
      </c>
      <c r="H22" s="30" t="n">
        <f aca="false">IF(H14=1,0,H21*ASM_M01_TAX_RATE)</f>
        <v>0</v>
      </c>
      <c r="I22" s="30" t="n">
        <f aca="false">IF(I14=1,0,I21*ASM_M01_TAX_RATE)</f>
        <v>0</v>
      </c>
      <c r="J22" s="30" t="n">
        <f aca="false">IF(J14=1,0,J21*ASM_M01_TAX_RATE)</f>
        <v>0</v>
      </c>
      <c r="K22" s="30" t="n">
        <f aca="false">IF(K14=1,0,K21*ASM_M01_TAX_RATE)</f>
        <v>0</v>
      </c>
      <c r="L22" s="30" t="n">
        <f aca="false">IF(L14=1,0,L21*ASM_M01_TAX_RATE)</f>
        <v>0</v>
      </c>
    </row>
    <row r="23" customFormat="false" ht="15" hidden="false" customHeight="true" outlineLevel="0" collapsed="false">
      <c r="B23" s="4" t="s">
        <v>884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B24" s="18" t="s">
        <v>856</v>
      </c>
      <c r="C24" s="12" t="s">
        <v>136</v>
      </c>
      <c r="D24" s="60" t="n">
        <f aca="false">SUM(E24:L24)</f>
        <v>1839294.06818182</v>
      </c>
      <c r="E24" s="30" t="n">
        <f aca="false">FA_DTL_YM1</f>
        <v>0</v>
      </c>
      <c r="F24" s="30" t="n">
        <f aca="false">FA_DTL_Y0</f>
        <v>0</v>
      </c>
      <c r="G24" s="30" t="n">
        <f aca="false">FA_DTL_Y1</f>
        <v>87585.4318181818</v>
      </c>
      <c r="H24" s="30" t="n">
        <f aca="false">FA_DTL_Y2</f>
        <v>175170.863636364</v>
      </c>
      <c r="I24" s="30" t="n">
        <f aca="false">FA_DTL_Y3</f>
        <v>262756.295454545</v>
      </c>
      <c r="J24" s="30" t="n">
        <f aca="false">FA_DTL_Y4</f>
        <v>350341.727272727</v>
      </c>
      <c r="K24" s="30" t="n">
        <f aca="false">FA_DTL_Y5</f>
        <v>437927.159090909</v>
      </c>
      <c r="L24" s="30" t="n">
        <f aca="false">FA_DTL_Y6</f>
        <v>525512.590909091</v>
      </c>
    </row>
    <row r="25" customFormat="false" ht="15" hidden="false" customHeight="true" outlineLevel="0" collapsed="false">
      <c r="B25" s="18" t="s">
        <v>885</v>
      </c>
      <c r="C25" s="12" t="s">
        <v>136</v>
      </c>
      <c r="D25" s="60" t="n">
        <f aca="false">SUM(E25:L25)</f>
        <v>525512.590909091</v>
      </c>
      <c r="E25" s="30" t="n">
        <f aca="false">FA_DTL_YM1</f>
        <v>0</v>
      </c>
      <c r="F25" s="30" t="n">
        <f aca="false">FA_DTL_Y0-FA_DTL_YM1</f>
        <v>0</v>
      </c>
      <c r="G25" s="30" t="n">
        <f aca="false">FA_DTL_Y1-FA_DTL_Y0</f>
        <v>87585.4318181818</v>
      </c>
      <c r="H25" s="30" t="n">
        <f aca="false">FA_DTL_Y2-FA_DTL_Y1</f>
        <v>87585.4318181818</v>
      </c>
      <c r="I25" s="30" t="n">
        <f aca="false">FA_DTL_Y3-FA_DTL_Y2</f>
        <v>87585.4318181818</v>
      </c>
      <c r="J25" s="30" t="n">
        <f aca="false">FA_DTL_Y4-FA_DTL_Y3</f>
        <v>87585.4318181818</v>
      </c>
      <c r="K25" s="30" t="n">
        <f aca="false">FA_DTL_Y5-FA_DTL_Y4</f>
        <v>87585.4318181818</v>
      </c>
      <c r="L25" s="30" t="n">
        <f aca="false">FA_DTL_Y6-FA_DTL_Y5</f>
        <v>87585.4318181818</v>
      </c>
    </row>
    <row r="26" customFormat="false" ht="15" hidden="false" customHeight="true" outlineLevel="0" collapsed="false">
      <c r="B26" s="18" t="s">
        <v>886</v>
      </c>
      <c r="C26" s="12" t="s">
        <v>136</v>
      </c>
      <c r="D26" s="60" t="n">
        <f aca="false">SUM(E26:L26)</f>
        <v>525512.590909091</v>
      </c>
      <c r="E26" s="30" t="n">
        <f aca="false">E22+E25</f>
        <v>0</v>
      </c>
      <c r="F26" s="30" t="n">
        <f aca="false">F22+F25</f>
        <v>0</v>
      </c>
      <c r="G26" s="30" t="n">
        <f aca="false">G22+G25</f>
        <v>87585.4318181818</v>
      </c>
      <c r="H26" s="30" t="n">
        <f aca="false">H22+H25</f>
        <v>87585.4318181818</v>
      </c>
      <c r="I26" s="30" t="n">
        <f aca="false">I22+I25</f>
        <v>87585.4318181818</v>
      </c>
      <c r="J26" s="30" t="n">
        <f aca="false">J22+J25</f>
        <v>87585.4318181818</v>
      </c>
      <c r="K26" s="30" t="n">
        <f aca="false">K22+K25</f>
        <v>87585.4318181818</v>
      </c>
      <c r="L26" s="30" t="n">
        <f aca="false">L22+L25</f>
        <v>87585.4318181818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887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888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B7" s="18" t="s">
        <v>869</v>
      </c>
      <c r="C7" s="12" t="s">
        <v>58</v>
      </c>
      <c r="D7" s="60" t="n">
        <f aca="false">SUM(E7:L7)</f>
        <v>8072640.45</v>
      </c>
      <c r="E7" s="30" t="n">
        <f aca="false">REV_TOTAL_YM1</f>
        <v>0</v>
      </c>
      <c r="F7" s="30" t="n">
        <f aca="false">REV_TOTAL_Y0</f>
        <v>0</v>
      </c>
      <c r="G7" s="30" t="n">
        <f aca="false">REV_TOTAL_Y1</f>
        <v>627001.2</v>
      </c>
      <c r="H7" s="30" t="n">
        <f aca="false">REV_TOTAL_Y2</f>
        <v>1175627.25</v>
      </c>
      <c r="I7" s="30" t="n">
        <f aca="false">REV_TOTAL_Y3</f>
        <v>1567503</v>
      </c>
      <c r="J7" s="30" t="n">
        <f aca="false">REV_TOTAL_Y4</f>
        <v>1567503</v>
      </c>
      <c r="K7" s="30" t="n">
        <f aca="false">REV_TOTAL_Y5</f>
        <v>1567503</v>
      </c>
      <c r="L7" s="30" t="n">
        <f aca="false">REV_TOTAL_Y6</f>
        <v>1567503</v>
      </c>
    </row>
    <row r="8" customFormat="false" ht="15" hidden="false" customHeight="true" outlineLevel="0" collapsed="false">
      <c r="B8" s="18" t="s">
        <v>889</v>
      </c>
      <c r="C8" s="12" t="s">
        <v>58</v>
      </c>
      <c r="D8" s="60" t="n">
        <f aca="false">SUM(E8:L8)</f>
        <v>-3140891.79545455</v>
      </c>
      <c r="E8" s="30" t="n">
        <f aca="false">-(OPEX_TOTAL_YM1-TRAIN_REC_TOTAL_YM1-GEN_A_OPEX_TOTAL_YM1-GEN_B_OPEX_TOTAL_YM1)</f>
        <v>-0</v>
      </c>
      <c r="F8" s="30" t="n">
        <f aca="false">-(OPEX_TOTAL_Y0-TRAIN_REC_TOTAL_Y0-GEN_A_OPEX_TOTAL_Y0-GEN_B_OPEX_TOTAL_Y0)</f>
        <v>-0</v>
      </c>
      <c r="G8" s="30" t="n">
        <f aca="false">-(OPEX_TOTAL_Y1-TRAIN_REC_TOTAL_Y1-GEN_A_OPEX_TOTAL_Y1-GEN_B_OPEX_TOTAL_Y1)</f>
        <v>-345081.340909091</v>
      </c>
      <c r="H8" s="30" t="n">
        <f aca="false">-(OPEX_TOTAL_Y2-TRAIN_REC_TOTAL_Y2-GEN_A_OPEX_TOTAL_Y2-GEN_B_OPEX_TOTAL_Y2)</f>
        <v>-481314.545454545</v>
      </c>
      <c r="I8" s="30" t="n">
        <f aca="false">-(OPEX_TOTAL_Y3-TRAIN_REC_TOTAL_Y3-GEN_A_OPEX_TOTAL_Y3-GEN_B_OPEX_TOTAL_Y3)</f>
        <v>-578623.977272727</v>
      </c>
      <c r="J8" s="30" t="n">
        <f aca="false">-(OPEX_TOTAL_Y4-TRAIN_REC_TOTAL_Y4-GEN_A_OPEX_TOTAL_Y4-GEN_B_OPEX_TOTAL_Y4)</f>
        <v>-578623.977272727</v>
      </c>
      <c r="K8" s="30" t="n">
        <f aca="false">-(OPEX_TOTAL_Y5-TRAIN_REC_TOTAL_Y5-GEN_A_OPEX_TOTAL_Y5-GEN_B_OPEX_TOTAL_Y5)</f>
        <v>-578623.977272727</v>
      </c>
      <c r="L8" s="30" t="n">
        <f aca="false">-(OPEX_TOTAL_Y6-TRAIN_REC_TOTAL_Y6-GEN_A_OPEX_TOTAL_Y6-GEN_B_OPEX_TOTAL_Y6)</f>
        <v>-578623.977272727</v>
      </c>
    </row>
    <row r="9" customFormat="false" ht="15" hidden="false" customHeight="true" outlineLevel="0" collapsed="false">
      <c r="B9" s="18" t="s">
        <v>890</v>
      </c>
      <c r="C9" s="12" t="s">
        <v>58</v>
      </c>
      <c r="D9" s="60" t="n">
        <f aca="false">SUM(E9:L9)</f>
        <v>4931748.65454545</v>
      </c>
      <c r="E9" s="30" t="n">
        <f aca="false">E7+E8</f>
        <v>0</v>
      </c>
      <c r="F9" s="30" t="n">
        <f aca="false">F7+F8</f>
        <v>0</v>
      </c>
      <c r="G9" s="30" t="n">
        <f aca="false">G7+G8</f>
        <v>281919.859090909</v>
      </c>
      <c r="H9" s="30" t="n">
        <f aca="false">H7+H8</f>
        <v>694312.704545455</v>
      </c>
      <c r="I9" s="30" t="n">
        <f aca="false">I7+I8</f>
        <v>988879.022727273</v>
      </c>
      <c r="J9" s="30" t="n">
        <f aca="false">J7+J8</f>
        <v>988879.022727273</v>
      </c>
      <c r="K9" s="30" t="n">
        <f aca="false">K7+K8</f>
        <v>988879.022727273</v>
      </c>
      <c r="L9" s="30" t="n">
        <f aca="false">L7+L8</f>
        <v>988879.022727273</v>
      </c>
    </row>
    <row r="10" customFormat="false" ht="15" hidden="false" customHeight="true" outlineLevel="0" collapsed="false"/>
    <row r="11" customFormat="false" ht="15" hidden="false" customHeight="true" outlineLevel="0" collapsed="false">
      <c r="B11" s="4" t="s">
        <v>891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B12" s="18" t="s">
        <v>892</v>
      </c>
      <c r="C12" s="12" t="s">
        <v>58</v>
      </c>
      <c r="D12" s="60" t="n">
        <f aca="false">SUM(E12:L12)</f>
        <v>-1501464.54545455</v>
      </c>
      <c r="E12" s="30" t="n">
        <f aca="false">FA_BOOK_DEP_YM1</f>
        <v>-0</v>
      </c>
      <c r="F12" s="30" t="n">
        <f aca="false">FA_BOOK_DEP_Y0</f>
        <v>-0</v>
      </c>
      <c r="G12" s="30" t="n">
        <f aca="false">FA_BOOK_DEP_Y1</f>
        <v>-250244.090909091</v>
      </c>
      <c r="H12" s="30" t="n">
        <f aca="false">FA_BOOK_DEP_Y2</f>
        <v>-250244.090909091</v>
      </c>
      <c r="I12" s="30" t="n">
        <f aca="false">FA_BOOK_DEP_Y3</f>
        <v>-250244.090909091</v>
      </c>
      <c r="J12" s="30" t="n">
        <f aca="false">FA_BOOK_DEP_Y4</f>
        <v>-250244.090909091</v>
      </c>
      <c r="K12" s="30" t="n">
        <f aca="false">FA_BOOK_DEP_Y5</f>
        <v>-250244.090909091</v>
      </c>
      <c r="L12" s="30" t="n">
        <f aca="false">FA_BOOK_DEP_Y6</f>
        <v>-250244.090909091</v>
      </c>
    </row>
    <row r="13" customFormat="false" ht="15" hidden="false" customHeight="true" outlineLevel="0" collapsed="false">
      <c r="B13" s="18" t="s">
        <v>893</v>
      </c>
      <c r="C13" s="12" t="s">
        <v>58</v>
      </c>
      <c r="D13" s="60" t="n">
        <f aca="false">SUM(E13:L13)</f>
        <v>3430284.10909091</v>
      </c>
      <c r="E13" s="30" t="n">
        <f aca="false">E9+E12</f>
        <v>0</v>
      </c>
      <c r="F13" s="30" t="n">
        <f aca="false">F9+F12</f>
        <v>0</v>
      </c>
      <c r="G13" s="30" t="n">
        <f aca="false">G9+G12</f>
        <v>31675.7681818182</v>
      </c>
      <c r="H13" s="30" t="n">
        <f aca="false">H9+H12</f>
        <v>444068.613636364</v>
      </c>
      <c r="I13" s="30" t="n">
        <f aca="false">I9+I12</f>
        <v>738634.931818182</v>
      </c>
      <c r="J13" s="30" t="n">
        <f aca="false">J9+J12</f>
        <v>738634.931818182</v>
      </c>
      <c r="K13" s="30" t="n">
        <f aca="false">K9+K12</f>
        <v>738634.931818182</v>
      </c>
      <c r="L13" s="30" t="n">
        <f aca="false">L9+L12</f>
        <v>738634.931818182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4" t="s">
        <v>894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B16" s="18" t="s">
        <v>895</v>
      </c>
      <c r="C16" s="12" t="s">
        <v>58</v>
      </c>
      <c r="D16" s="60" t="n">
        <f aca="false">SUM(E16:L16)</f>
        <v>-1359700</v>
      </c>
      <c r="E16" s="30" t="n">
        <f aca="false">-TRAIN_REC_TOTAL_YM1</f>
        <v>-0</v>
      </c>
      <c r="F16" s="30" t="n">
        <f aca="false">-TRAIN_REC_TOTAL_Y0</f>
        <v>-0</v>
      </c>
      <c r="G16" s="30" t="n">
        <f aca="false">-TRAIN_REC_TOTAL_Y1</f>
        <v>-679850</v>
      </c>
      <c r="H16" s="30" t="n">
        <f aca="false">-TRAIN_REC_TOTAL_Y2</f>
        <v>-679850</v>
      </c>
      <c r="I16" s="30" t="n">
        <f aca="false">-TRAIN_REC_TOTAL_Y3</f>
        <v>-0</v>
      </c>
      <c r="J16" s="30" t="n">
        <f aca="false">-TRAIN_REC_TOTAL_Y4</f>
        <v>-0</v>
      </c>
      <c r="K16" s="30" t="n">
        <f aca="false">-TRAIN_REC_TOTAL_Y5</f>
        <v>-0</v>
      </c>
      <c r="L16" s="30" t="n">
        <f aca="false">-TRAIN_REC_TOTAL_Y6</f>
        <v>-0</v>
      </c>
    </row>
    <row r="17" customFormat="false" ht="15" hidden="false" customHeight="true" outlineLevel="0" collapsed="false">
      <c r="B17" s="18" t="s">
        <v>896</v>
      </c>
      <c r="C17" s="12" t="s">
        <v>58</v>
      </c>
      <c r="D17" s="60" t="n">
        <f aca="false">SUM(E17:L17)</f>
        <v>-679360</v>
      </c>
      <c r="E17" s="30" t="n">
        <f aca="false">-(GEN_A_OPEX_TOTAL_YM1+GEN_B_OPEX_TOTAL_YM1)</f>
        <v>-0</v>
      </c>
      <c r="F17" s="30" t="n">
        <f aca="false">-(GEN_A_OPEX_TOTAL_Y0+GEN_B_OPEX_TOTAL_Y0)</f>
        <v>-177800</v>
      </c>
      <c r="G17" s="30" t="n">
        <f aca="false">-(GEN_A_OPEX_TOTAL_Y1+GEN_B_OPEX_TOTAL_Y1)</f>
        <v>-250780</v>
      </c>
      <c r="H17" s="30" t="n">
        <f aca="false">-(GEN_A_OPEX_TOTAL_Y2+GEN_B_OPEX_TOTAL_Y2)</f>
        <v>-250780</v>
      </c>
      <c r="I17" s="30" t="n">
        <f aca="false">-(GEN_A_OPEX_TOTAL_Y3+GEN_B_OPEX_TOTAL_Y3)</f>
        <v>-0</v>
      </c>
      <c r="J17" s="30" t="n">
        <f aca="false">-(GEN_A_OPEX_TOTAL_Y4+GEN_B_OPEX_TOTAL_Y4)</f>
        <v>-0</v>
      </c>
      <c r="K17" s="30" t="n">
        <f aca="false">-(GEN_A_OPEX_TOTAL_Y5+GEN_B_OPEX_TOTAL_Y5)</f>
        <v>-0</v>
      </c>
      <c r="L17" s="30" t="n">
        <f aca="false">-(GEN_A_OPEX_TOTAL_Y6+GEN_B_OPEX_TOTAL_Y6)</f>
        <v>-0</v>
      </c>
    </row>
    <row r="18" customFormat="false" ht="15" hidden="false" customHeight="true" outlineLevel="0" collapsed="false">
      <c r="B18" s="18" t="s">
        <v>897</v>
      </c>
      <c r="C18" s="12" t="s">
        <v>58</v>
      </c>
      <c r="D18" s="60" t="n">
        <f aca="false">SUM(E18:L18)</f>
        <v>1391224.10909091</v>
      </c>
      <c r="E18" s="30" t="n">
        <f aca="false">E13+E16+E17</f>
        <v>0</v>
      </c>
      <c r="F18" s="30" t="n">
        <f aca="false">F13+F16+F17</f>
        <v>-177800</v>
      </c>
      <c r="G18" s="30" t="n">
        <f aca="false">G13+G16+G17</f>
        <v>-898954.231818182</v>
      </c>
      <c r="H18" s="30" t="n">
        <f aca="false">H13+H16+H17</f>
        <v>-486561.386363636</v>
      </c>
      <c r="I18" s="30" t="n">
        <f aca="false">I13+I16+I17</f>
        <v>738634.931818182</v>
      </c>
      <c r="J18" s="30" t="n">
        <f aca="false">J13+J16+J17</f>
        <v>738634.931818182</v>
      </c>
      <c r="K18" s="30" t="n">
        <f aca="false">K13+K16+K17</f>
        <v>738634.931818182</v>
      </c>
      <c r="L18" s="30" t="n">
        <f aca="false">L13+L16+L17</f>
        <v>738634.931818182</v>
      </c>
    </row>
    <row r="19" customFormat="false" ht="15" hidden="false" customHeight="true" outlineLevel="0" collapsed="false"/>
    <row r="20" customFormat="false" ht="15" hidden="false" customHeight="true" outlineLevel="0" collapsed="false">
      <c r="B20" s="4" t="s">
        <v>898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B21" s="18" t="s">
        <v>872</v>
      </c>
      <c r="C21" s="12" t="s">
        <v>58</v>
      </c>
      <c r="D21" s="60" t="n">
        <f aca="false">SUM(E21:L21)</f>
        <v>-938770.448484849</v>
      </c>
      <c r="E21" s="30" t="n">
        <f aca="false">-DEBT_INT_YM1</f>
        <v>-0</v>
      </c>
      <c r="F21" s="30" t="n">
        <f aca="false">-DEBT_INT_Y0</f>
        <v>-140815.567272727</v>
      </c>
      <c r="G21" s="30" t="n">
        <f aca="false">-DEBT_INT_Y1</f>
        <v>-140815.567272727</v>
      </c>
      <c r="H21" s="30" t="n">
        <f aca="false">-DEBT_INT_Y2</f>
        <v>-140815.567272727</v>
      </c>
      <c r="I21" s="30" t="n">
        <f aca="false">-DEBT_INT_Y3</f>
        <v>-140815.567272727</v>
      </c>
      <c r="J21" s="30" t="n">
        <f aca="false">-DEBT_INT_Y4</f>
        <v>-140815.567272727</v>
      </c>
      <c r="K21" s="30" t="n">
        <f aca="false">-DEBT_INT_Y5</f>
        <v>-125169.393131313</v>
      </c>
      <c r="L21" s="30" t="n">
        <f aca="false">-DEBT_INT_Y6</f>
        <v>-109523.218989899</v>
      </c>
    </row>
    <row r="22" customFormat="false" ht="15" hidden="false" customHeight="true" outlineLevel="0" collapsed="false">
      <c r="B22" s="18" t="s">
        <v>873</v>
      </c>
      <c r="C22" s="12" t="s">
        <v>58</v>
      </c>
      <c r="D22" s="60" t="n">
        <f aca="false">SUM(E22:L22)</f>
        <v>452453.660606061</v>
      </c>
      <c r="E22" s="30" t="n">
        <f aca="false">E18+E21</f>
        <v>0</v>
      </c>
      <c r="F22" s="30" t="n">
        <f aca="false">F18+F21</f>
        <v>-318615.567272727</v>
      </c>
      <c r="G22" s="30" t="n">
        <f aca="false">G18+G21</f>
        <v>-1039769.79909091</v>
      </c>
      <c r="H22" s="30" t="n">
        <f aca="false">H18+H21</f>
        <v>-627376.953636364</v>
      </c>
      <c r="I22" s="30" t="n">
        <f aca="false">I18+I21</f>
        <v>597819.364545455</v>
      </c>
      <c r="J22" s="30" t="n">
        <f aca="false">J18+J21</f>
        <v>597819.364545455</v>
      </c>
      <c r="K22" s="30" t="n">
        <f aca="false">K18+K21</f>
        <v>613465.538686869</v>
      </c>
      <c r="L22" s="30" t="n">
        <f aca="false">L18+L21</f>
        <v>629111.712828283</v>
      </c>
    </row>
    <row r="23" customFormat="false" ht="15" hidden="false" customHeight="true" outlineLevel="0" collapsed="false"/>
    <row r="24" customFormat="false" ht="15" hidden="false" customHeight="true" outlineLevel="0" collapsed="false">
      <c r="B24" s="4" t="s">
        <v>899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B25" s="18" t="s">
        <v>900</v>
      </c>
      <c r="C25" s="12" t="s">
        <v>58</v>
      </c>
      <c r="D25" s="60" t="n">
        <f aca="false">SUM(E25:L25)</f>
        <v>-525512.590909091</v>
      </c>
      <c r="E25" s="30" t="n">
        <f aca="false">-TAX_TOTAL_YM1</f>
        <v>-0</v>
      </c>
      <c r="F25" s="30" t="n">
        <f aca="false">-TAX_TOTAL_Y0</f>
        <v>-0</v>
      </c>
      <c r="G25" s="30" t="n">
        <f aca="false">-TAX_TOTAL_Y1</f>
        <v>-87585.4318181818</v>
      </c>
      <c r="H25" s="30" t="n">
        <f aca="false">-TAX_TOTAL_Y2</f>
        <v>-87585.4318181818</v>
      </c>
      <c r="I25" s="30" t="n">
        <f aca="false">-TAX_TOTAL_Y3</f>
        <v>-87585.4318181818</v>
      </c>
      <c r="J25" s="30" t="n">
        <f aca="false">-TAX_TOTAL_Y4</f>
        <v>-87585.4318181818</v>
      </c>
      <c r="K25" s="30" t="n">
        <f aca="false">-TAX_TOTAL_Y5</f>
        <v>-87585.4318181818</v>
      </c>
      <c r="L25" s="30" t="n">
        <f aca="false">-TAX_TOTAL_Y6</f>
        <v>-87585.4318181818</v>
      </c>
    </row>
    <row r="26" customFormat="false" ht="15" hidden="false" customHeight="true" outlineLevel="0" collapsed="false">
      <c r="B26" s="18" t="s">
        <v>901</v>
      </c>
      <c r="C26" s="12" t="s">
        <v>58</v>
      </c>
      <c r="D26" s="60" t="n">
        <f aca="false">SUM(E26:L26)</f>
        <v>2634980.3</v>
      </c>
      <c r="E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M1+TRAIN_REC_TOTAL_YM1+GEN_A_OPEX_TOTAL_YM1+GEN_B_OPEX_TOTAL_YM1</f>
        <v>0</v>
      </c>
      <c r="F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0+TRAIN_REC_TOTAL_Y0+GEN_A_OPEX_TOTAL_Y0+GEN_B_OPEX_TOTAL_Y0</f>
        <v>177800</v>
      </c>
      <c r="G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1+TRAIN_REC_TOTAL_Y1+GEN_A_OPEX_TOTAL_Y1+GEN_B_OPEX_TOTAL_Y1</f>
        <v>1029950.05</v>
      </c>
      <c r="H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2+TRAIN_REC_TOTAL_Y2+GEN_A_OPEX_TOTAL_Y2+GEN_B_OPEX_TOTAL_Y2</f>
        <v>1029950.05</v>
      </c>
      <c r="I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3+TRAIN_REC_TOTAL_Y3+GEN_A_OPEX_TOTAL_Y3+GEN_B_OPEX_TOTAL_Y3</f>
        <v>99320.05</v>
      </c>
      <c r="J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4+TRAIN_REC_TOTAL_Y4+GEN_A_OPEX_TOTAL_Y4+GEN_B_OPEX_TOTAL_Y4</f>
        <v>99320.05</v>
      </c>
      <c r="K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5+TRAIN_REC_TOTAL_Y5+GEN_A_OPEX_TOTAL_Y5+GEN_B_OPEX_TOTAL_Y5</f>
        <v>99320.05</v>
      </c>
      <c r="L26" s="30" t="n">
        <f aca="false">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6+TRAIN_REC_TOTAL_Y6+GEN_A_OPEX_TOTAL_Y6+GEN_B_OPEX_TOTAL_Y6</f>
        <v>99320.05</v>
      </c>
    </row>
    <row r="27" customFormat="false" ht="15" hidden="false" customHeight="true" outlineLevel="0" collapsed="false">
      <c r="B27" s="18" t="s">
        <v>902</v>
      </c>
      <c r="C27" s="12" t="s">
        <v>58</v>
      </c>
      <c r="D27" s="60" t="n">
        <f aca="false">SUM(E27:L27)</f>
        <v>2561921.36969697</v>
      </c>
      <c r="E27" s="30" t="n">
        <f aca="false">E22+E25+E26</f>
        <v>0</v>
      </c>
      <c r="F27" s="30" t="n">
        <f aca="false">F22+F25+F26</f>
        <v>-140815.567272727</v>
      </c>
      <c r="G27" s="30" t="n">
        <f aca="false">G22+G25+G26</f>
        <v>-97405.1809090907</v>
      </c>
      <c r="H27" s="30" t="n">
        <f aca="false">H22+H25+H26</f>
        <v>314987.664545455</v>
      </c>
      <c r="I27" s="30" t="n">
        <f aca="false">I22+I25+I26</f>
        <v>609553.982727273</v>
      </c>
      <c r="J27" s="30" t="n">
        <f aca="false">J22+J25+J26</f>
        <v>609553.982727273</v>
      </c>
      <c r="K27" s="30" t="n">
        <f aca="false">K22+K25+K26</f>
        <v>625200.156868687</v>
      </c>
      <c r="L27" s="30" t="n">
        <f aca="false">L22+L25+L26</f>
        <v>640846.331010101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903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7" customFormat="false" ht="15" hidden="false" customHeight="true" outlineLevel="0" collapsed="false">
      <c r="B7" s="4" t="s">
        <v>904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18" t="s">
        <v>905</v>
      </c>
      <c r="C8" s="12" t="s">
        <v>136</v>
      </c>
      <c r="D8" s="60" t="n">
        <f aca="false">SUM(E8:L8)</f>
        <v>12782558.8653992</v>
      </c>
      <c r="E8" s="30" t="n">
        <f aca="false">E27-E9-E10-E11-E12</f>
        <v>0</v>
      </c>
      <c r="F8" s="30" t="n">
        <f aca="false">F27-F9-F10-F11-F12</f>
        <v>383013.344308842</v>
      </c>
      <c r="G8" s="30" t="n">
        <f aca="false">G27-G9-G10-G11-G12</f>
        <v>607942.223362391</v>
      </c>
      <c r="H8" s="30" t="n">
        <f aca="false">H27-H9-H10-H11-H12</f>
        <v>1133142.68311333</v>
      </c>
      <c r="I8" s="30" t="n">
        <f aca="false">I27-I9-I10-I11-I12</f>
        <v>1846259.02057285</v>
      </c>
      <c r="J8" s="30" t="n">
        <f aca="false">J27-J9-J10-J11-J12</f>
        <v>2381398.99319911</v>
      </c>
      <c r="K8" s="30" t="n">
        <f aca="false">K27-K9-K10-K11-K12</f>
        <v>2932185.13996679</v>
      </c>
      <c r="L8" s="30" t="n">
        <f aca="false">L27-L9-L10-L11-L12</f>
        <v>3498617.46087588</v>
      </c>
    </row>
    <row r="9" customFormat="false" ht="15" hidden="false" customHeight="true" outlineLevel="0" collapsed="false">
      <c r="B9" s="18" t="s">
        <v>860</v>
      </c>
      <c r="C9" s="12" t="s">
        <v>136</v>
      </c>
      <c r="D9" s="60" t="n">
        <f aca="false">SUM(E9:L9)</f>
        <v>663504.694520548</v>
      </c>
      <c r="E9" s="30" t="n">
        <f aca="false">WC_AR_YM1</f>
        <v>0</v>
      </c>
      <c r="F9" s="30" t="n">
        <f aca="false">WC_AR_Y0</f>
        <v>0</v>
      </c>
      <c r="G9" s="30" t="n">
        <f aca="false">WC_AR_Y1</f>
        <v>51534.3452054795</v>
      </c>
      <c r="H9" s="30" t="n">
        <f aca="false">WC_AR_Y2</f>
        <v>96626.897260274</v>
      </c>
      <c r="I9" s="30" t="n">
        <f aca="false">WC_AR_Y3</f>
        <v>128835.863013699</v>
      </c>
      <c r="J9" s="30" t="n">
        <f aca="false">WC_AR_Y4</f>
        <v>128835.863013699</v>
      </c>
      <c r="K9" s="30" t="n">
        <f aca="false">WC_AR_Y5</f>
        <v>128835.863013699</v>
      </c>
      <c r="L9" s="30" t="n">
        <f aca="false">WC_AR_Y6</f>
        <v>128835.863013699</v>
      </c>
    </row>
    <row r="10" customFormat="false" ht="15" hidden="false" customHeight="true" outlineLevel="0" collapsed="false">
      <c r="B10" s="18" t="s">
        <v>906</v>
      </c>
      <c r="C10" s="12" t="s">
        <v>136</v>
      </c>
      <c r="D10" s="60" t="n">
        <f aca="false">SUM(E10:L10)</f>
        <v>5632881.81818182</v>
      </c>
      <c r="E10" s="30" t="n">
        <f aca="false">CWIP_CLOSE_YM1</f>
        <v>628000</v>
      </c>
      <c r="F10" s="30" t="n">
        <f aca="false">CWIP_CLOSE_Y0</f>
        <v>5004881.81818182</v>
      </c>
      <c r="G10" s="30" t="n">
        <f aca="false">CWIP_CLOSE_Y1</f>
        <v>0</v>
      </c>
      <c r="H10" s="30" t="n">
        <f aca="false">CWIP_CLOSE_Y2</f>
        <v>0</v>
      </c>
      <c r="I10" s="30" t="n">
        <f aca="false">CWIP_CLOSE_Y3</f>
        <v>0</v>
      </c>
      <c r="J10" s="30" t="n">
        <f aca="false">CWIP_CLOSE_Y4</f>
        <v>0</v>
      </c>
      <c r="K10" s="30" t="n">
        <f aca="false">CWIP_CLOSE_Y5</f>
        <v>0</v>
      </c>
      <c r="L10" s="30" t="n">
        <f aca="false">CWIP_CLOSE_Y6</f>
        <v>0</v>
      </c>
    </row>
    <row r="11" customFormat="false" ht="15" hidden="false" customHeight="true" outlineLevel="0" collapsed="false">
      <c r="B11" s="18" t="s">
        <v>907</v>
      </c>
      <c r="C11" s="12" t="s">
        <v>136</v>
      </c>
      <c r="D11" s="60" t="n">
        <f aca="false">SUM(E11:L11)</f>
        <v>24774165</v>
      </c>
      <c r="E11" s="30" t="n">
        <f aca="false">FA_BOOK_CLOSE_YM1</f>
        <v>0</v>
      </c>
      <c r="F11" s="30" t="n">
        <f aca="false">FA_BOOK_CLOSE_Y0</f>
        <v>0</v>
      </c>
      <c r="G11" s="30" t="n">
        <f aca="false">FA_BOOK_CLOSE_Y1</f>
        <v>4754637.72727273</v>
      </c>
      <c r="H11" s="30" t="n">
        <f aca="false">FA_BOOK_CLOSE_Y2</f>
        <v>4504393.63636364</v>
      </c>
      <c r="I11" s="30" t="n">
        <f aca="false">FA_BOOK_CLOSE_Y3</f>
        <v>4254149.54545455</v>
      </c>
      <c r="J11" s="30" t="n">
        <f aca="false">FA_BOOK_CLOSE_Y4</f>
        <v>4003905.45454545</v>
      </c>
      <c r="K11" s="30" t="n">
        <f aca="false">FA_BOOK_CLOSE_Y5</f>
        <v>3753661.36363636</v>
      </c>
      <c r="L11" s="30" t="n">
        <f aca="false">FA_BOOK_CLOSE_Y6</f>
        <v>3503417.27272727</v>
      </c>
    </row>
    <row r="12" customFormat="false" ht="15" hidden="false" customHeight="true" outlineLevel="0" collapsed="false">
      <c r="B12" s="18" t="s">
        <v>908</v>
      </c>
      <c r="C12" s="12" t="s">
        <v>136</v>
      </c>
      <c r="D12" s="60" t="n">
        <f aca="false">SUM(E12:L12)</f>
        <v>315000</v>
      </c>
      <c r="E12" s="30" t="n">
        <f aca="false">IF(E$4&gt;=0,ASM_A01_N_FARMS*ASM_E10_N_BEEF_STOCK_PER_FARM*ASM_P14_COST_CALF_PURCHASE_EUR_HEAD,0)</f>
        <v>0</v>
      </c>
      <c r="F12" s="30" t="n">
        <f aca="false">IF(F$4&gt;=0,ASM_A01_N_FARMS*ASM_E10_N_BEEF_STOCK_PER_FARM*ASM_P14_COST_CALF_PURCHASE_EUR_HEAD,0)</f>
        <v>45000</v>
      </c>
      <c r="G12" s="30" t="n">
        <f aca="false">IF(G$4&gt;=0,ASM_A01_N_FARMS*ASM_E10_N_BEEF_STOCK_PER_FARM*ASM_P14_COST_CALF_PURCHASE_EUR_HEAD,0)</f>
        <v>45000</v>
      </c>
      <c r="H12" s="30" t="n">
        <f aca="false">IF(H$4&gt;=0,ASM_A01_N_FARMS*ASM_E10_N_BEEF_STOCK_PER_FARM*ASM_P14_COST_CALF_PURCHASE_EUR_HEAD,0)</f>
        <v>45000</v>
      </c>
      <c r="I12" s="30" t="n">
        <f aca="false">IF(I$4&gt;=0,ASM_A01_N_FARMS*ASM_E10_N_BEEF_STOCK_PER_FARM*ASM_P14_COST_CALF_PURCHASE_EUR_HEAD,0)</f>
        <v>45000</v>
      </c>
      <c r="J12" s="30" t="n">
        <f aca="false">IF(J$4&gt;=0,ASM_A01_N_FARMS*ASM_E10_N_BEEF_STOCK_PER_FARM*ASM_P14_COST_CALF_PURCHASE_EUR_HEAD,0)</f>
        <v>45000</v>
      </c>
      <c r="K12" s="30" t="n">
        <f aca="false">IF(K$4&gt;=0,ASM_A01_N_FARMS*ASM_E10_N_BEEF_STOCK_PER_FARM*ASM_P14_COST_CALF_PURCHASE_EUR_HEAD,0)</f>
        <v>45000</v>
      </c>
      <c r="L12" s="30" t="n">
        <f aca="false">IF(L$4&gt;=0,ASM_A01_N_FARMS*ASM_E10_N_BEEF_STOCK_PER_FARM*ASM_P14_COST_CALF_PURCHASE_EUR_HEAD,0)</f>
        <v>45000</v>
      </c>
    </row>
    <row r="13" customFormat="false" ht="15" hidden="false" customHeight="true" outlineLevel="0" collapsed="false">
      <c r="B13" s="18" t="s">
        <v>909</v>
      </c>
      <c r="C13" s="12" t="s">
        <v>136</v>
      </c>
      <c r="D13" s="60" t="n">
        <f aca="false">SUM(E13:L13)</f>
        <v>44168110.3781016</v>
      </c>
      <c r="E13" s="30" t="n">
        <f aca="false">E8+E9+E10+E11+E12</f>
        <v>628000</v>
      </c>
      <c r="F13" s="30" t="n">
        <f aca="false">F8+F9+F10+F11+F12</f>
        <v>5432895.16249066</v>
      </c>
      <c r="G13" s="30" t="n">
        <f aca="false">G8+G9+G10+G11+G12</f>
        <v>5459114.2958406</v>
      </c>
      <c r="H13" s="30" t="n">
        <f aca="false">H8+H9+H10+H11+H12</f>
        <v>5779163.21673724</v>
      </c>
      <c r="I13" s="30" t="n">
        <f aca="false">I8+I9+I10+I11+I12</f>
        <v>6274244.4290411</v>
      </c>
      <c r="J13" s="30" t="n">
        <f aca="false">J8+J9+J10+J11+J12</f>
        <v>6559140.31075827</v>
      </c>
      <c r="K13" s="30" t="n">
        <f aca="false">K8+K9+K10+K11+K12</f>
        <v>6859682.36661685</v>
      </c>
      <c r="L13" s="30" t="n">
        <f aca="false">L8+L9+L10+L11+L12</f>
        <v>7175870.59661685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4" t="s">
        <v>910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B16" s="18" t="s">
        <v>861</v>
      </c>
      <c r="C16" s="12" t="s">
        <v>136</v>
      </c>
      <c r="D16" s="60" t="n">
        <f aca="false">SUM(E16:L16)</f>
        <v>638624.193960149</v>
      </c>
      <c r="E16" s="30" t="n">
        <f aca="false">WC_AP_YM1</f>
        <v>0</v>
      </c>
      <c r="F16" s="30" t="n">
        <f aca="false">WC_AP_Y0</f>
        <v>21920.5479452055</v>
      </c>
      <c r="G16" s="30" t="n">
        <f aca="false">WC_AP_Y1</f>
        <v>157279.480386052</v>
      </c>
      <c r="H16" s="30" t="n">
        <f aca="false">WC_AP_Y2</f>
        <v>174075.354919054</v>
      </c>
      <c r="I16" s="30" t="n">
        <f aca="false">WC_AP_Y3</f>
        <v>71337.2026774595</v>
      </c>
      <c r="J16" s="30" t="n">
        <f aca="false">WC_AP_Y4</f>
        <v>71337.2026774595</v>
      </c>
      <c r="K16" s="30" t="n">
        <f aca="false">WC_AP_Y5</f>
        <v>71337.2026774595</v>
      </c>
      <c r="L16" s="30" t="n">
        <f aca="false">WC_AP_Y6</f>
        <v>71337.2026774595</v>
      </c>
    </row>
    <row r="17" customFormat="false" ht="15" hidden="false" customHeight="true" outlineLevel="0" collapsed="false">
      <c r="B17" s="18" t="s">
        <v>855</v>
      </c>
      <c r="C17" s="12" t="s">
        <v>136</v>
      </c>
      <c r="D17" s="60" t="n">
        <f aca="false">SUM(E17:L17)</f>
        <v>1839294.06818182</v>
      </c>
      <c r="E17" s="30" t="n">
        <f aca="false">FA_DTL_YM1</f>
        <v>0</v>
      </c>
      <c r="F17" s="30" t="n">
        <f aca="false">FA_DTL_Y0</f>
        <v>0</v>
      </c>
      <c r="G17" s="30" t="n">
        <f aca="false">FA_DTL_Y1</f>
        <v>87585.4318181818</v>
      </c>
      <c r="H17" s="30" t="n">
        <f aca="false">FA_DTL_Y2</f>
        <v>175170.863636364</v>
      </c>
      <c r="I17" s="30" t="n">
        <f aca="false">FA_DTL_Y3</f>
        <v>262756.295454545</v>
      </c>
      <c r="J17" s="30" t="n">
        <f aca="false">FA_DTL_Y4</f>
        <v>350341.727272727</v>
      </c>
      <c r="K17" s="30" t="n">
        <f aca="false">FA_DTL_Y5</f>
        <v>437927.159090909</v>
      </c>
      <c r="L17" s="30" t="n">
        <f aca="false">FA_DTL_Y6</f>
        <v>525512.590909091</v>
      </c>
    </row>
    <row r="18" customFormat="false" ht="15" hidden="false" customHeight="true" outlineLevel="0" collapsed="false">
      <c r="B18" s="18" t="s">
        <v>911</v>
      </c>
      <c r="C18" s="12" t="s">
        <v>136</v>
      </c>
      <c r="D18" s="60" t="n">
        <f aca="false">SUM(E18:L18)</f>
        <v>17836638.5212121</v>
      </c>
      <c r="E18" s="30" t="n">
        <f aca="false">DEBT_CLOSE_YM1</f>
        <v>0</v>
      </c>
      <c r="F18" s="30" t="n">
        <f aca="false">DEBT_CLOSE_Y0</f>
        <v>2816311.34545455</v>
      </c>
      <c r="G18" s="30" t="n">
        <f aca="false">DEBT_CLOSE_Y1</f>
        <v>2816311.34545455</v>
      </c>
      <c r="H18" s="30" t="n">
        <f aca="false">DEBT_CLOSE_Y2</f>
        <v>2816311.34545455</v>
      </c>
      <c r="I18" s="30" t="n">
        <f aca="false">DEBT_CLOSE_Y3</f>
        <v>2816311.34545455</v>
      </c>
      <c r="J18" s="30" t="n">
        <f aca="false">DEBT_CLOSE_Y4</f>
        <v>2503387.86262626</v>
      </c>
      <c r="K18" s="30" t="n">
        <f aca="false">DEBT_CLOSE_Y5</f>
        <v>2190464.37979798</v>
      </c>
      <c r="L18" s="30" t="n">
        <f aca="false">DEBT_CLOSE_Y6</f>
        <v>1877540.8969697</v>
      </c>
    </row>
    <row r="19" customFormat="false" ht="15" hidden="false" customHeight="true" outlineLevel="0" collapsed="false">
      <c r="B19" s="18" t="s">
        <v>912</v>
      </c>
      <c r="C19" s="12" t="s">
        <v>136</v>
      </c>
      <c r="D19" s="60" t="n">
        <f aca="false">SUM(E19:L19)</f>
        <v>12447085.95</v>
      </c>
      <c r="E19" s="30" t="n">
        <f aca="false">TRAIN_CAP_TOTAL_YM1+GEN_A_CAP_TOTAL_YM1+GEN_B_CAP_TOTAL_YM1-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M1</f>
        <v>628000</v>
      </c>
      <c r="F19" s="30" t="n">
        <f aca="false">E19+TRAIN_CAP_TOTAL_Y0+GEN_A_CAP_TOTAL_Y0+GEN_B_CAP_TOTAL_Y0-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0</f>
        <v>1986401</v>
      </c>
      <c r="G19" s="30" t="n">
        <f aca="false">F19+TRAIN_CAP_TOTAL_Y1+GEN_A_CAP_TOTAL_Y1+GEN_B_CAP_TOTAL_Y1-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1</f>
        <v>1887080.95</v>
      </c>
      <c r="H19" s="30" t="n">
        <f aca="false">G19+TRAIN_CAP_TOTAL_Y2+GEN_A_CAP_TOTAL_Y2+GEN_B_CAP_TOTAL_Y2-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2</f>
        <v>1787760.9</v>
      </c>
      <c r="I19" s="30" t="n">
        <f aca="false">H19+TRAIN_CAP_TOTAL_Y3+GEN_A_CAP_TOTAL_Y3+GEN_B_CAP_TOTAL_Y3-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3</f>
        <v>1688440.85</v>
      </c>
      <c r="J19" s="30" t="n">
        <f aca="false">I19+TRAIN_CAP_TOTAL_Y4+GEN_A_CAP_TOTAL_Y4+GEN_B_CAP_TOTAL_Y4-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4</f>
        <v>1589120.8</v>
      </c>
      <c r="K19" s="30" t="n">
        <f aca="false">J19+TRAIN_CAP_TOTAL_Y5+GEN_A_CAP_TOTAL_Y5+GEN_B_CAP_TOTAL_Y5-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5</f>
        <v>1489800.75</v>
      </c>
      <c r="L19" s="30" t="n">
        <f aca="false">K19+TRAIN_CAP_TOTAL_Y6+GEN_A_CAP_TOTAL_Y6+GEN_B_CAP_TOTAL_Y6-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6</f>
        <v>1390480.7</v>
      </c>
    </row>
    <row r="20" customFormat="false" ht="15" hidden="false" customHeight="true" outlineLevel="0" collapsed="false">
      <c r="B20" s="18" t="s">
        <v>913</v>
      </c>
      <c r="C20" s="12" t="s">
        <v>136</v>
      </c>
      <c r="D20" s="60" t="n">
        <f aca="false">SUM(E20:L20)</f>
        <v>32761642.7333541</v>
      </c>
      <c r="E20" s="30" t="n">
        <f aca="false">E16+E17+E18+E19</f>
        <v>628000</v>
      </c>
      <c r="F20" s="30" t="n">
        <f aca="false">F16+F17+F18+F19</f>
        <v>4824632.89339975</v>
      </c>
      <c r="G20" s="30" t="n">
        <f aca="false">G16+G17+G18+G19</f>
        <v>4948257.20765878</v>
      </c>
      <c r="H20" s="30" t="n">
        <f aca="false">H16+H17+H18+H19</f>
        <v>4953318.46400996</v>
      </c>
      <c r="I20" s="30" t="n">
        <f aca="false">I16+I17+I18+I19</f>
        <v>4838845.69358655</v>
      </c>
      <c r="J20" s="30" t="n">
        <f aca="false">J16+J17+J18+J19</f>
        <v>4514187.59257645</v>
      </c>
      <c r="K20" s="30" t="n">
        <f aca="false">K16+K17+K18+K19</f>
        <v>4189529.49156635</v>
      </c>
      <c r="L20" s="30" t="n">
        <f aca="false">L16+L17+L18+L19</f>
        <v>3864871.39055625</v>
      </c>
    </row>
    <row r="21" customFormat="false" ht="15" hidden="false" customHeight="true" outlineLevel="0" collapsed="false"/>
    <row r="22" customFormat="false" ht="15" hidden="false" customHeight="true" outlineLevel="0" collapsed="false">
      <c r="B22" s="4" t="s">
        <v>914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B23" s="18" t="s">
        <v>915</v>
      </c>
      <c r="C23" s="12" t="s">
        <v>136</v>
      </c>
      <c r="D23" s="60" t="n">
        <f aca="false">SUM(E23:L23)</f>
        <v>5243544.85454545</v>
      </c>
      <c r="E23" s="30" t="n">
        <f aca="false">IF(E$4=0,ASM_L06_EQUITY_EQ1_CASH_EUR+ASM_L07_EQUITY_EQ2_INKIND_TERRAIN_EUR+ASM_L08_EQUITY_EQ2_INKIND_HERD_EUR+ASM_A01_N_FARMS*ASM_E10_N_BEEF_STOCK_PER_FARM*ASM_P14_COST_CALF_PURCHASE_EUR_HEAD,0)+SU_GAP_YM1</f>
        <v>0</v>
      </c>
      <c r="F23" s="30" t="n">
        <f aca="false">E23+IF(F$4=0,ASM_L06_EQUITY_EQ1_CASH_EUR+ASM_L07_EQUITY_EQ2_INKIND_TERRAIN_EUR+ASM_L08_EQUITY_EQ2_INKIND_HERD_EUR+ASM_A01_N_FARMS*ASM_E10_N_BEEF_STOCK_PER_FARM*ASM_P14_COST_CALF_PURCHASE_EUR_HEAD,0)+SU_GAP_Y0</f>
        <v>749077.836363636</v>
      </c>
      <c r="G23" s="30" t="n">
        <f aca="false">F23+IF(G$4=0,ASM_L06_EQUITY_EQ1_CASH_EUR+ASM_L07_EQUITY_EQ2_INKIND_TERRAIN_EUR+ASM_L08_EQUITY_EQ2_INKIND_HERD_EUR+ASM_A01_N_FARMS*ASM_E10_N_BEEF_STOCK_PER_FARM*ASM_P14_COST_CALF_PURCHASE_EUR_HEAD,0)+SU_GAP_Y1</f>
        <v>749077.836363636</v>
      </c>
      <c r="H23" s="30" t="n">
        <f aca="false">G23+IF(H$4=0,ASM_L06_EQUITY_EQ1_CASH_EUR+ASM_L07_EQUITY_EQ2_INKIND_TERRAIN_EUR+ASM_L08_EQUITY_EQ2_INKIND_HERD_EUR+ASM_A01_N_FARMS*ASM_E10_N_BEEF_STOCK_PER_FARM*ASM_P14_COST_CALF_PURCHASE_EUR_HEAD,0)+SU_GAP_Y2</f>
        <v>749077.836363636</v>
      </c>
      <c r="I23" s="30" t="n">
        <f aca="false">H23+IF(I$4=0,ASM_L06_EQUITY_EQ1_CASH_EUR+ASM_L07_EQUITY_EQ2_INKIND_TERRAIN_EUR+ASM_L08_EQUITY_EQ2_INKIND_HERD_EUR+ASM_A01_N_FARMS*ASM_E10_N_BEEF_STOCK_PER_FARM*ASM_P14_COST_CALF_PURCHASE_EUR_HEAD,0)+SU_GAP_Y3</f>
        <v>749077.836363636</v>
      </c>
      <c r="J23" s="30" t="n">
        <f aca="false">I23+IF(J$4=0,ASM_L06_EQUITY_EQ1_CASH_EUR+ASM_L07_EQUITY_EQ2_INKIND_TERRAIN_EUR+ASM_L08_EQUITY_EQ2_INKIND_HERD_EUR+ASM_A01_N_FARMS*ASM_E10_N_BEEF_STOCK_PER_FARM*ASM_P14_COST_CALF_PURCHASE_EUR_HEAD,0)+SU_GAP_Y4</f>
        <v>749077.836363636</v>
      </c>
      <c r="K23" s="30" t="n">
        <f aca="false">J23+IF(K$4=0,ASM_L06_EQUITY_EQ1_CASH_EUR+ASM_L07_EQUITY_EQ2_INKIND_TERRAIN_EUR+ASM_L08_EQUITY_EQ2_INKIND_HERD_EUR+ASM_A01_N_FARMS*ASM_E10_N_BEEF_STOCK_PER_FARM*ASM_P14_COST_CALF_PURCHASE_EUR_HEAD,0)+SU_GAP_Y5</f>
        <v>749077.836363636</v>
      </c>
      <c r="L23" s="30" t="n">
        <f aca="false">K23+IF(L$4=0,ASM_L06_EQUITY_EQ1_CASH_EUR+ASM_L07_EQUITY_EQ2_INKIND_TERRAIN_EUR+ASM_L08_EQUITY_EQ2_INKIND_HERD_EUR+ASM_A01_N_FARMS*ASM_E10_N_BEEF_STOCK_PER_FARM*ASM_P14_COST_CALF_PURCHASE_EUR_HEAD,0)+SU_GAP_Y6</f>
        <v>749077.836363636</v>
      </c>
    </row>
    <row r="24" customFormat="false" ht="15" hidden="false" customHeight="true" outlineLevel="0" collapsed="false">
      <c r="B24" s="18" t="s">
        <v>916</v>
      </c>
      <c r="C24" s="12" t="s">
        <v>136</v>
      </c>
      <c r="D24" s="60" t="n">
        <f aca="false">SUM(E24:L24)</f>
        <v>6162922.79020202</v>
      </c>
      <c r="E24" s="30" t="n">
        <f aca="false">IS_NETINC_YM1</f>
        <v>0</v>
      </c>
      <c r="F24" s="30" t="n">
        <f aca="false">E24+IS_NETINC_Y0</f>
        <v>-140815.567272727</v>
      </c>
      <c r="G24" s="30" t="n">
        <f aca="false">F24+IS_NETINC_Y1</f>
        <v>-238220.748181818</v>
      </c>
      <c r="H24" s="30" t="n">
        <f aca="false">G24+IS_NETINC_Y2</f>
        <v>76766.9163636367</v>
      </c>
      <c r="I24" s="30" t="n">
        <f aca="false">H24+IS_NETINC_Y3</f>
        <v>686320.89909091</v>
      </c>
      <c r="J24" s="30" t="n">
        <f aca="false">I24+IS_NETINC_Y4</f>
        <v>1295874.88181818</v>
      </c>
      <c r="K24" s="30" t="n">
        <f aca="false">J24+IS_NETINC_Y5</f>
        <v>1921075.03868687</v>
      </c>
      <c r="L24" s="30" t="n">
        <f aca="false">K24+IS_NETINC_Y6</f>
        <v>2561921.36969697</v>
      </c>
    </row>
    <row r="25" customFormat="false" ht="15" hidden="false" customHeight="true" outlineLevel="0" collapsed="false"/>
    <row r="26" customFormat="false" ht="15" hidden="false" customHeight="true" outlineLevel="0" collapsed="false">
      <c r="B26" s="18" t="s">
        <v>917</v>
      </c>
      <c r="C26" s="12" t="s">
        <v>136</v>
      </c>
      <c r="D26" s="60" t="n">
        <f aca="false">SUM(E26:L26)</f>
        <v>11406467.6447475</v>
      </c>
      <c r="E26" s="30" t="n">
        <f aca="false">E23+E24</f>
        <v>0</v>
      </c>
      <c r="F26" s="30" t="n">
        <f aca="false">F23+F24</f>
        <v>608262.269090909</v>
      </c>
      <c r="G26" s="30" t="n">
        <f aca="false">G23+G24</f>
        <v>510857.088181818</v>
      </c>
      <c r="H26" s="30" t="n">
        <f aca="false">H23+H24</f>
        <v>825844.752727273</v>
      </c>
      <c r="I26" s="30" t="n">
        <f aca="false">I23+I24</f>
        <v>1435398.73545455</v>
      </c>
      <c r="J26" s="30" t="n">
        <f aca="false">J23+J24</f>
        <v>2044952.71818182</v>
      </c>
      <c r="K26" s="30" t="n">
        <f aca="false">K23+K24</f>
        <v>2670152.87505051</v>
      </c>
      <c r="L26" s="30" t="n">
        <f aca="false">L23+L24</f>
        <v>3310999.20606061</v>
      </c>
    </row>
    <row r="27" customFormat="false" ht="15" hidden="false" customHeight="true" outlineLevel="0" collapsed="false">
      <c r="B27" s="18" t="s">
        <v>918</v>
      </c>
      <c r="C27" s="12" t="s">
        <v>136</v>
      </c>
      <c r="D27" s="60" t="n">
        <f aca="false">SUM(E27:L27)</f>
        <v>44168110.3781016</v>
      </c>
      <c r="E27" s="30" t="n">
        <f aca="false">E20+E26</f>
        <v>628000</v>
      </c>
      <c r="F27" s="30" t="n">
        <f aca="false">F20+F26</f>
        <v>5432895.16249066</v>
      </c>
      <c r="G27" s="30" t="n">
        <f aca="false">G20+G26</f>
        <v>5459114.2958406</v>
      </c>
      <c r="H27" s="30" t="n">
        <f aca="false">H20+H26</f>
        <v>5779163.21673724</v>
      </c>
      <c r="I27" s="30" t="n">
        <f aca="false">I20+I26</f>
        <v>6274244.4290411</v>
      </c>
      <c r="J27" s="30" t="n">
        <f aca="false">J20+J26</f>
        <v>6559140.31075827</v>
      </c>
      <c r="K27" s="30" t="n">
        <f aca="false">K20+K26</f>
        <v>6859682.36661685</v>
      </c>
      <c r="L27" s="30" t="n">
        <f aca="false">L20+L26</f>
        <v>7175870.59661685</v>
      </c>
    </row>
    <row r="28" customFormat="false" ht="15" hidden="false" customHeight="true" outlineLevel="0" collapsed="false"/>
    <row r="29" customFormat="false" ht="15" hidden="false" customHeight="true" outlineLevel="0" collapsed="false">
      <c r="B29" s="47" t="s">
        <v>919</v>
      </c>
      <c r="C29" s="12" t="s">
        <v>136</v>
      </c>
      <c r="D29" s="48" t="n">
        <f aca="false">SUM(E29:L29)</f>
        <v>0</v>
      </c>
      <c r="E29" s="49" t="n">
        <f aca="false">IF(ABS(E13-E27)&lt;1,0,1)</f>
        <v>0</v>
      </c>
      <c r="F29" s="49" t="n">
        <f aca="false">IF(ABS(F13-F27)&lt;1,0,1)</f>
        <v>0</v>
      </c>
      <c r="G29" s="49" t="n">
        <f aca="false">IF(ABS(G13-G27)&lt;1,0,1)</f>
        <v>0</v>
      </c>
      <c r="H29" s="49" t="n">
        <f aca="false">IF(ABS(H13-H27)&lt;1,0,1)</f>
        <v>0</v>
      </c>
      <c r="I29" s="49" t="n">
        <f aca="false">IF(ABS(I13-I27)&lt;1,0,1)</f>
        <v>0</v>
      </c>
      <c r="J29" s="49" t="n">
        <f aca="false">IF(ABS(J13-J27)&lt;1,0,1)</f>
        <v>0</v>
      </c>
      <c r="K29" s="49" t="n">
        <f aca="false">IF(ABS(K13-K27)&lt;1,0,1)</f>
        <v>0</v>
      </c>
      <c r="L29" s="49" t="n">
        <f aca="false">IF(ABS(L13-L27)&lt;1,0,1)</f>
        <v>0</v>
      </c>
    </row>
    <row r="30" customFormat="false" ht="15" hidden="false" customHeight="true" outlineLevel="0" collapsed="false">
      <c r="B30" s="47" t="s">
        <v>920</v>
      </c>
      <c r="C30" s="12" t="s">
        <v>136</v>
      </c>
      <c r="D30" s="48" t="n">
        <f aca="false">SUM(E30:L30)</f>
        <v>0</v>
      </c>
      <c r="E30" s="49" t="n">
        <f aca="false">IF(E8&lt;-1,1,0)</f>
        <v>0</v>
      </c>
      <c r="F30" s="49" t="n">
        <f aca="false">IF(F8&lt;-1,1,0)</f>
        <v>0</v>
      </c>
      <c r="G30" s="49" t="n">
        <f aca="false">IF(G8&lt;-1,1,0)</f>
        <v>0</v>
      </c>
      <c r="H30" s="49" t="n">
        <f aca="false">IF(H8&lt;-1,1,0)</f>
        <v>0</v>
      </c>
      <c r="I30" s="49" t="n">
        <f aca="false">IF(I8&lt;-1,1,0)</f>
        <v>0</v>
      </c>
      <c r="J30" s="49" t="n">
        <f aca="false">IF(J8&lt;-1,1,0)</f>
        <v>0</v>
      </c>
      <c r="K30" s="49" t="n">
        <f aca="false">IF(K8&lt;-1,1,0)</f>
        <v>0</v>
      </c>
      <c r="L30" s="49" t="n">
        <f aca="false">IF(L8&lt;-1,1,0)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921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7" customFormat="false" ht="15" hidden="false" customHeight="true" outlineLevel="0" collapsed="false">
      <c r="B7" s="4" t="s">
        <v>922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18" t="s">
        <v>923</v>
      </c>
      <c r="C8" s="12" t="s">
        <v>136</v>
      </c>
      <c r="D8" s="60" t="n">
        <f aca="false">SUM(E8:L8)</f>
        <v>2561921.36969697</v>
      </c>
      <c r="E8" s="30" t="n">
        <f aca="false">IS_NETINC_YM1</f>
        <v>0</v>
      </c>
      <c r="F8" s="30" t="n">
        <f aca="false">IS_NETINC_Y0</f>
        <v>-140815.567272727</v>
      </c>
      <c r="G8" s="30" t="n">
        <f aca="false">IS_NETINC_Y1</f>
        <v>-97405.1809090907</v>
      </c>
      <c r="H8" s="30" t="n">
        <f aca="false">IS_NETINC_Y2</f>
        <v>314987.664545455</v>
      </c>
      <c r="I8" s="30" t="n">
        <f aca="false">IS_NETINC_Y3</f>
        <v>609553.982727273</v>
      </c>
      <c r="J8" s="30" t="n">
        <f aca="false">IS_NETINC_Y4</f>
        <v>609553.982727273</v>
      </c>
      <c r="K8" s="30" t="n">
        <f aca="false">IS_NETINC_Y5</f>
        <v>625200.156868687</v>
      </c>
      <c r="L8" s="30" t="n">
        <f aca="false">IS_NETINC_Y6</f>
        <v>640846.331010101</v>
      </c>
    </row>
    <row r="9" customFormat="false" ht="15" hidden="false" customHeight="true" outlineLevel="0" collapsed="false">
      <c r="B9" s="18" t="s">
        <v>924</v>
      </c>
      <c r="C9" s="12" t="s">
        <v>136</v>
      </c>
      <c r="D9" s="60" t="n">
        <f aca="false">SUM(E9:L9)</f>
        <v>1501464.54545455</v>
      </c>
      <c r="E9" s="30" t="n">
        <f aca="false">-FA_BOOK_DEP_YM1</f>
        <v>0</v>
      </c>
      <c r="F9" s="30" t="n">
        <f aca="false">-FA_BOOK_DEP_Y0</f>
        <v>0</v>
      </c>
      <c r="G9" s="30" t="n">
        <f aca="false">-FA_BOOK_DEP_Y1</f>
        <v>250244.090909091</v>
      </c>
      <c r="H9" s="30" t="n">
        <f aca="false">-FA_BOOK_DEP_Y2</f>
        <v>250244.090909091</v>
      </c>
      <c r="I9" s="30" t="n">
        <f aca="false">-FA_BOOK_DEP_Y3</f>
        <v>250244.090909091</v>
      </c>
      <c r="J9" s="30" t="n">
        <f aca="false">-FA_BOOK_DEP_Y4</f>
        <v>250244.090909091</v>
      </c>
      <c r="K9" s="30" t="n">
        <f aca="false">-FA_BOOK_DEP_Y5</f>
        <v>250244.090909091</v>
      </c>
      <c r="L9" s="30" t="n">
        <f aca="false">-FA_BOOK_DEP_Y6</f>
        <v>250244.090909091</v>
      </c>
    </row>
    <row r="10" customFormat="false" ht="15" hidden="false" customHeight="true" outlineLevel="0" collapsed="false">
      <c r="B10" s="18" t="s">
        <v>925</v>
      </c>
      <c r="C10" s="12" t="s">
        <v>136</v>
      </c>
      <c r="D10" s="60" t="n">
        <f aca="false">SUM(E10:L10)</f>
        <v>-595920.3</v>
      </c>
      <c r="E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M1</f>
        <v>-0</v>
      </c>
      <c r="F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0</f>
        <v>-0</v>
      </c>
      <c r="G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1</f>
        <v>-99320.05</v>
      </c>
      <c r="H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2</f>
        <v>-99320.05</v>
      </c>
      <c r="I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3</f>
        <v>-99320.05</v>
      </c>
      <c r="J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4</f>
        <v>-99320.05</v>
      </c>
      <c r="K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5</f>
        <v>-99320.05</v>
      </c>
      <c r="L10" s="30" t="n">
        <f aca="false">-(TRAIN_CAP_TOTAL_YM1+TRAIN_CAP_TOTAL_Y0+TRAIN_CAP_TOTAL_Y1+TRAIN_CAP_TOTAL_Y2+TRAIN_CAP_TOTAL_Y3+TRAIN_CAP_TOTAL_Y4+TRAIN_CAP_TOTAL_Y5+TRAIN_CAP_TOTAL_Y6+GEN_A_CAP_TOTAL_YM1+GEN_A_CAP_TOTAL_Y0+GEN_A_CAP_TOTAL_Y1+GEN_A_CAP_TOTAL_Y2+GEN_A_CAP_TOTAL_Y3+GEN_A_CAP_TOTAL_Y4+GEN_A_CAP_TOTAL_Y5+GEN_A_CAP_TOTAL_Y6+GEN_B_CAP_TOTAL_YM1+GEN_B_CAP_TOTAL_Y0+GEN_B_CAP_TOTAL_Y1+GEN_B_CAP_TOTAL_Y2+GEN_B_CAP_TOTAL_Y3+GEN_B_CAP_TOTAL_Y4+GEN_B_CAP_TOTAL_Y5+GEN_B_CAP_TOTAL_Y6)/ASM_M04_DEPR_LIFE_BOOK_YEARS*FLAG_POST_COD_Y6</f>
        <v>-99320.05</v>
      </c>
    </row>
    <row r="11" customFormat="false" ht="15" hidden="false" customHeight="true" outlineLevel="0" collapsed="false">
      <c r="B11" s="18" t="s">
        <v>926</v>
      </c>
      <c r="C11" s="12" t="s">
        <v>136</v>
      </c>
      <c r="D11" s="60" t="n">
        <f aca="false">SUM(E11:L11)</f>
        <v>-57498.6603362391</v>
      </c>
      <c r="E11" s="30" t="n">
        <f aca="false">WC_IMPACT_YM1</f>
        <v>0</v>
      </c>
      <c r="F11" s="30" t="n">
        <f aca="false">WC_IMPACT_Y0</f>
        <v>21920.5479452055</v>
      </c>
      <c r="G11" s="30" t="n">
        <f aca="false">WC_IMPACT_Y1</f>
        <v>83824.5872353674</v>
      </c>
      <c r="H11" s="30" t="n">
        <f aca="false">WC_IMPACT_Y2</f>
        <v>-28296.6775217932</v>
      </c>
      <c r="I11" s="30" t="n">
        <f aca="false">WC_IMPACT_Y3</f>
        <v>-134947.117995019</v>
      </c>
      <c r="J11" s="30" t="n">
        <f aca="false">WC_IMPACT_Y4</f>
        <v>0</v>
      </c>
      <c r="K11" s="30" t="n">
        <f aca="false">WC_IMPACT_Y5</f>
        <v>0</v>
      </c>
      <c r="L11" s="30" t="n">
        <f aca="false">WC_IMPACT_Y6</f>
        <v>0</v>
      </c>
    </row>
    <row r="12" customFormat="false" ht="15" hidden="false" customHeight="true" outlineLevel="0" collapsed="false">
      <c r="B12" s="18" t="s">
        <v>927</v>
      </c>
      <c r="C12" s="12" t="s">
        <v>136</v>
      </c>
      <c r="D12" s="60" t="n">
        <f aca="false">SUM(E12:L12)</f>
        <v>525512.590909091</v>
      </c>
      <c r="E12" s="30" t="n">
        <f aca="false">TAX_DTL_MV_YM1</f>
        <v>0</v>
      </c>
      <c r="F12" s="30" t="n">
        <f aca="false">TAX_DTL_MV_Y0</f>
        <v>0</v>
      </c>
      <c r="G12" s="30" t="n">
        <f aca="false">TAX_DTL_MV_Y1</f>
        <v>87585.4318181818</v>
      </c>
      <c r="H12" s="30" t="n">
        <f aca="false">TAX_DTL_MV_Y2</f>
        <v>87585.4318181818</v>
      </c>
      <c r="I12" s="30" t="n">
        <f aca="false">TAX_DTL_MV_Y3</f>
        <v>87585.4318181818</v>
      </c>
      <c r="J12" s="30" t="n">
        <f aca="false">TAX_DTL_MV_Y4</f>
        <v>87585.4318181818</v>
      </c>
      <c r="K12" s="30" t="n">
        <f aca="false">TAX_DTL_MV_Y5</f>
        <v>87585.4318181818</v>
      </c>
      <c r="L12" s="30" t="n">
        <f aca="false">TAX_DTL_MV_Y6</f>
        <v>87585.4318181818</v>
      </c>
    </row>
    <row r="13" customFormat="false" ht="15" hidden="false" customHeight="true" outlineLevel="0" collapsed="false">
      <c r="B13" s="18" t="s">
        <v>928</v>
      </c>
      <c r="C13" s="12" t="s">
        <v>136</v>
      </c>
      <c r="D13" s="60" t="n">
        <f aca="false">SUM(E13:L13)</f>
        <v>3935479.54572437</v>
      </c>
      <c r="E13" s="30" t="n">
        <f aca="false">E8+E9+E10+E11+E12</f>
        <v>0</v>
      </c>
      <c r="F13" s="30" t="n">
        <f aca="false">F8+F9+F10+F11+F12</f>
        <v>-118895.019327522</v>
      </c>
      <c r="G13" s="30" t="n">
        <f aca="false">G8+G9+G10+G11+G12</f>
        <v>224928.879053549</v>
      </c>
      <c r="H13" s="30" t="n">
        <f aca="false">H8+H9+H10+H11+H12</f>
        <v>525200.459750934</v>
      </c>
      <c r="I13" s="30" t="n">
        <f aca="false">I8+I9+I10+I11+I12</f>
        <v>713116.337459527</v>
      </c>
      <c r="J13" s="30" t="n">
        <f aca="false">J8+J9+J10+J11+J12</f>
        <v>848063.455454545</v>
      </c>
      <c r="K13" s="30" t="n">
        <f aca="false">K8+K9+K10+K11+K12</f>
        <v>863709.62959596</v>
      </c>
      <c r="L13" s="30" t="n">
        <f aca="false">L8+L9+L10+L11+L12</f>
        <v>879355.803737374</v>
      </c>
    </row>
    <row r="14" customFormat="false" ht="15" hidden="false" customHeight="true" outlineLevel="0" collapsed="false"/>
    <row r="15" customFormat="false" ht="15" hidden="false" customHeight="true" outlineLevel="0" collapsed="false">
      <c r="B15" s="4" t="s">
        <v>929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B16" s="18" t="s">
        <v>930</v>
      </c>
      <c r="C16" s="12" t="s">
        <v>136</v>
      </c>
      <c r="D16" s="60" t="n">
        <f aca="false">SUM(E16:L16)</f>
        <v>-5004881.81818182</v>
      </c>
      <c r="E16" s="30" t="n">
        <f aca="false">-CWIP_ADD_TOTAL_YM1</f>
        <v>-628000</v>
      </c>
      <c r="F16" s="30" t="n">
        <f aca="false">-CWIP_ADD_TOTAL_Y0</f>
        <v>-4376881.81818182</v>
      </c>
      <c r="G16" s="30" t="n">
        <f aca="false">-CWIP_ADD_TOTAL_Y1</f>
        <v>-0</v>
      </c>
      <c r="H16" s="30" t="n">
        <f aca="false">-CWIP_ADD_TOTAL_Y2</f>
        <v>-0</v>
      </c>
      <c r="I16" s="30" t="n">
        <f aca="false">-CWIP_ADD_TOTAL_Y3</f>
        <v>-0</v>
      </c>
      <c r="J16" s="30" t="n">
        <f aca="false">-CWIP_ADD_TOTAL_Y4</f>
        <v>-0</v>
      </c>
      <c r="K16" s="30" t="n">
        <f aca="false">-CWIP_ADD_TOTAL_Y5</f>
        <v>-0</v>
      </c>
      <c r="L16" s="30" t="n">
        <f aca="false">-CWIP_ADD_TOTAL_Y6</f>
        <v>-0</v>
      </c>
    </row>
    <row r="17" customFormat="false" ht="15" hidden="false" customHeight="true" outlineLevel="0" collapsed="false">
      <c r="B17" s="18" t="s">
        <v>931</v>
      </c>
      <c r="C17" s="12" t="s">
        <v>136</v>
      </c>
      <c r="D17" s="60" t="n">
        <f aca="false">SUM(E17:L17)</f>
        <v>1986401</v>
      </c>
      <c r="E17" s="30" t="n">
        <f aca="false">TRAIN_CAP_TOTAL_YM1+GEN_A_CAP_TOTAL_YM1+GEN_B_CAP_TOTAL_YM1</f>
        <v>628000</v>
      </c>
      <c r="F17" s="30" t="n">
        <f aca="false">TRAIN_CAP_TOTAL_Y0+GEN_A_CAP_TOTAL_Y0+GEN_B_CAP_TOTAL_Y0</f>
        <v>1358401</v>
      </c>
      <c r="G17" s="30" t="n">
        <f aca="false">TRAIN_CAP_TOTAL_Y1+GEN_A_CAP_TOTAL_Y1+GEN_B_CAP_TOTAL_Y1</f>
        <v>0</v>
      </c>
      <c r="H17" s="30" t="n">
        <f aca="false">TRAIN_CAP_TOTAL_Y2+GEN_A_CAP_TOTAL_Y2+GEN_B_CAP_TOTAL_Y2</f>
        <v>0</v>
      </c>
      <c r="I17" s="30" t="n">
        <f aca="false">TRAIN_CAP_TOTAL_Y3+GEN_A_CAP_TOTAL_Y3+GEN_B_CAP_TOTAL_Y3</f>
        <v>0</v>
      </c>
      <c r="J17" s="30" t="n">
        <f aca="false">TRAIN_CAP_TOTAL_Y4+GEN_A_CAP_TOTAL_Y4+GEN_B_CAP_TOTAL_Y4</f>
        <v>0</v>
      </c>
      <c r="K17" s="30" t="n">
        <f aca="false">TRAIN_CAP_TOTAL_Y5+GEN_A_CAP_TOTAL_Y5+GEN_B_CAP_TOTAL_Y5</f>
        <v>0</v>
      </c>
      <c r="L17" s="30" t="n">
        <f aca="false">TRAIN_CAP_TOTAL_Y6+GEN_A_CAP_TOTAL_Y6+GEN_B_CAP_TOTAL_Y6</f>
        <v>0</v>
      </c>
    </row>
    <row r="18" customFormat="false" ht="15" hidden="false" customHeight="true" outlineLevel="0" collapsed="false">
      <c r="B18" s="18" t="s">
        <v>932</v>
      </c>
      <c r="C18" s="12" t="s">
        <v>136</v>
      </c>
      <c r="D18" s="60" t="n">
        <f aca="false">SUM(E18:L18)</f>
        <v>-3018480.81818182</v>
      </c>
      <c r="E18" s="30" t="n">
        <f aca="false">E16+E17</f>
        <v>0</v>
      </c>
      <c r="F18" s="30" t="n">
        <f aca="false">F16+F17</f>
        <v>-3018480.81818182</v>
      </c>
      <c r="G18" s="30" t="n">
        <f aca="false">G16+G17</f>
        <v>0</v>
      </c>
      <c r="H18" s="30" t="n">
        <f aca="false">H16+H17</f>
        <v>0</v>
      </c>
      <c r="I18" s="30" t="n">
        <f aca="false">I16+I17</f>
        <v>0</v>
      </c>
      <c r="J18" s="30" t="n">
        <f aca="false">J16+J17</f>
        <v>0</v>
      </c>
      <c r="K18" s="30" t="n">
        <f aca="false">K16+K17</f>
        <v>0</v>
      </c>
      <c r="L18" s="30" t="n">
        <f aca="false">L16+L17</f>
        <v>0</v>
      </c>
    </row>
    <row r="19" customFormat="false" ht="15" hidden="false" customHeight="true" outlineLevel="0" collapsed="false"/>
    <row r="20" customFormat="false" ht="15" hidden="false" customHeight="true" outlineLevel="0" collapsed="false">
      <c r="B20" s="4" t="s">
        <v>933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B21" s="18" t="s">
        <v>934</v>
      </c>
      <c r="C21" s="12" t="s">
        <v>136</v>
      </c>
      <c r="D21" s="60" t="n">
        <f aca="false">SUM(E21:L21)</f>
        <v>1877540.8969697</v>
      </c>
      <c r="E21" s="30" t="n">
        <f aca="false">DEBT_CLOSE_YM1</f>
        <v>0</v>
      </c>
      <c r="F21" s="30" t="n">
        <f aca="false">DEBT_CLOSE_Y0-DEBT_CLOSE_YM1</f>
        <v>2816311.34545455</v>
      </c>
      <c r="G21" s="30" t="n">
        <f aca="false">DEBT_CLOSE_Y1-DEBT_CLOSE_Y0</f>
        <v>0</v>
      </c>
      <c r="H21" s="30" t="n">
        <f aca="false">DEBT_CLOSE_Y2-DEBT_CLOSE_Y1</f>
        <v>0</v>
      </c>
      <c r="I21" s="30" t="n">
        <f aca="false">DEBT_CLOSE_Y3-DEBT_CLOSE_Y2</f>
        <v>0</v>
      </c>
      <c r="J21" s="30" t="n">
        <f aca="false">DEBT_CLOSE_Y4-DEBT_CLOSE_Y3</f>
        <v>-312923.482828283</v>
      </c>
      <c r="K21" s="30" t="n">
        <f aca="false">DEBT_CLOSE_Y5-DEBT_CLOSE_Y4</f>
        <v>-312923.482828283</v>
      </c>
      <c r="L21" s="30" t="n">
        <f aca="false">DEBT_CLOSE_Y6-DEBT_CLOSE_Y5</f>
        <v>-312923.482828283</v>
      </c>
    </row>
    <row r="22" customFormat="false" ht="15" hidden="false" customHeight="true" outlineLevel="0" collapsed="false">
      <c r="B22" s="18" t="s">
        <v>935</v>
      </c>
      <c r="C22" s="12" t="s">
        <v>136</v>
      </c>
      <c r="D22" s="60" t="n">
        <f aca="false">SUM(E22:L22)</f>
        <v>704077.836363636</v>
      </c>
      <c r="E22" s="30" t="n">
        <f aca="false">IF(E$4=0,ASM_L06_EQUITY_EQ1_CASH_EUR+ASM_L07_EQUITY_EQ2_INKIND_TERRAIN_EUR+ASM_L08_EQUITY_EQ2_INKIND_HERD_EUR,0)+SU_GAP_YM1</f>
        <v>0</v>
      </c>
      <c r="F22" s="30" t="n">
        <f aca="false">IF(F$4=0,ASM_L06_EQUITY_EQ1_CASH_EUR+ASM_L07_EQUITY_EQ2_INKIND_TERRAIN_EUR+ASM_L08_EQUITY_EQ2_INKIND_HERD_EUR,0)+SU_GAP_Y0</f>
        <v>704077.836363636</v>
      </c>
      <c r="G22" s="30" t="n">
        <f aca="false">IF(G$4=0,ASM_L06_EQUITY_EQ1_CASH_EUR+ASM_L07_EQUITY_EQ2_INKIND_TERRAIN_EUR+ASM_L08_EQUITY_EQ2_INKIND_HERD_EUR,0)+SU_GAP_Y1</f>
        <v>0</v>
      </c>
      <c r="H22" s="30" t="n">
        <f aca="false">IF(H$4=0,ASM_L06_EQUITY_EQ1_CASH_EUR+ASM_L07_EQUITY_EQ2_INKIND_TERRAIN_EUR+ASM_L08_EQUITY_EQ2_INKIND_HERD_EUR,0)+SU_GAP_Y2</f>
        <v>0</v>
      </c>
      <c r="I22" s="30" t="n">
        <f aca="false">IF(I$4=0,ASM_L06_EQUITY_EQ1_CASH_EUR+ASM_L07_EQUITY_EQ2_INKIND_TERRAIN_EUR+ASM_L08_EQUITY_EQ2_INKIND_HERD_EUR,0)+SU_GAP_Y3</f>
        <v>0</v>
      </c>
      <c r="J22" s="30" t="n">
        <f aca="false">IF(J$4=0,ASM_L06_EQUITY_EQ1_CASH_EUR+ASM_L07_EQUITY_EQ2_INKIND_TERRAIN_EUR+ASM_L08_EQUITY_EQ2_INKIND_HERD_EUR,0)+SU_GAP_Y4</f>
        <v>0</v>
      </c>
      <c r="K22" s="30" t="n">
        <f aca="false">IF(K$4=0,ASM_L06_EQUITY_EQ1_CASH_EUR+ASM_L07_EQUITY_EQ2_INKIND_TERRAIN_EUR+ASM_L08_EQUITY_EQ2_INKIND_HERD_EUR,0)+SU_GAP_Y5</f>
        <v>0</v>
      </c>
      <c r="L22" s="30" t="n">
        <f aca="false">IF(L$4=0,ASM_L06_EQUITY_EQ1_CASH_EUR+ASM_L07_EQUITY_EQ2_INKIND_TERRAIN_EUR+ASM_L08_EQUITY_EQ2_INKIND_HERD_EUR,0)+SU_GAP_Y6</f>
        <v>0</v>
      </c>
    </row>
    <row r="23" customFormat="false" ht="15" hidden="false" customHeight="true" outlineLevel="0" collapsed="false"/>
    <row r="24" customFormat="false" ht="15" hidden="false" customHeight="true" outlineLevel="0" collapsed="false">
      <c r="B24" s="18" t="s">
        <v>936</v>
      </c>
      <c r="C24" s="12" t="s">
        <v>136</v>
      </c>
      <c r="D24" s="60" t="n">
        <f aca="false">SUM(E24:L24)</f>
        <v>2581618.73333333</v>
      </c>
      <c r="E24" s="30" t="n">
        <f aca="false">E21+E22</f>
        <v>0</v>
      </c>
      <c r="F24" s="30" t="n">
        <f aca="false">F21+F22</f>
        <v>3520389.18181818</v>
      </c>
      <c r="G24" s="30" t="n">
        <f aca="false">G21+G22</f>
        <v>0</v>
      </c>
      <c r="H24" s="30" t="n">
        <f aca="false">H21+H22</f>
        <v>0</v>
      </c>
      <c r="I24" s="30" t="n">
        <f aca="false">I21+I22</f>
        <v>0</v>
      </c>
      <c r="J24" s="30" t="n">
        <f aca="false">J21+J22</f>
        <v>-312923.482828283</v>
      </c>
      <c r="K24" s="30" t="n">
        <f aca="false">K21+K22</f>
        <v>-312923.482828283</v>
      </c>
      <c r="L24" s="30" t="n">
        <f aca="false">L21+L22</f>
        <v>-312923.482828283</v>
      </c>
    </row>
    <row r="25" customFormat="false" ht="15" hidden="false" customHeight="true" outlineLevel="0" collapsed="false"/>
    <row r="26" customFormat="false" ht="15" hidden="false" customHeight="true" outlineLevel="0" collapsed="false">
      <c r="B26" s="18" t="s">
        <v>937</v>
      </c>
      <c r="C26" s="12" t="s">
        <v>136</v>
      </c>
      <c r="D26" s="60" t="n">
        <f aca="false">SUM(E26:L26)</f>
        <v>3498617.46087588</v>
      </c>
      <c r="E26" s="30" t="n">
        <f aca="false">E13+E18+E24</f>
        <v>0</v>
      </c>
      <c r="F26" s="30" t="n">
        <f aca="false">F13+F18+F24</f>
        <v>383013.344308842</v>
      </c>
      <c r="G26" s="30" t="n">
        <f aca="false">G13+G18+G24</f>
        <v>224928.879053549</v>
      </c>
      <c r="H26" s="30" t="n">
        <f aca="false">H13+H18+H24</f>
        <v>525200.459750934</v>
      </c>
      <c r="I26" s="30" t="n">
        <f aca="false">I13+I18+I24</f>
        <v>713116.337459527</v>
      </c>
      <c r="J26" s="30" t="n">
        <f aca="false">J13+J18+J24</f>
        <v>535139.972626263</v>
      </c>
      <c r="K26" s="30" t="n">
        <f aca="false">K13+K18+K24</f>
        <v>550786.146767677</v>
      </c>
      <c r="L26" s="30" t="n">
        <f aca="false">L13+L18+L24</f>
        <v>566432.320909091</v>
      </c>
    </row>
    <row r="27" customFormat="false" ht="15" hidden="false" customHeight="true" outlineLevel="0" collapsed="false"/>
    <row r="28" customFormat="false" ht="15" hidden="false" customHeight="true" outlineLevel="0" collapsed="false">
      <c r="B28" s="57" t="s">
        <v>938</v>
      </c>
      <c r="C28" s="12" t="s">
        <v>136</v>
      </c>
      <c r="D28" s="58" t="n">
        <f aca="false">SUM(E28:L28)</f>
        <v>9283941.40452332</v>
      </c>
      <c r="E28" s="59" t="n">
        <f aca="false">0</f>
        <v>0</v>
      </c>
      <c r="F28" s="59" t="n">
        <f aca="false">E29</f>
        <v>0</v>
      </c>
      <c r="G28" s="59" t="n">
        <f aca="false">F29</f>
        <v>383013.344308842</v>
      </c>
      <c r="H28" s="59" t="n">
        <f aca="false">G29</f>
        <v>607942.223362392</v>
      </c>
      <c r="I28" s="59" t="n">
        <f aca="false">H29</f>
        <v>1133142.68311333</v>
      </c>
      <c r="J28" s="59" t="n">
        <f aca="false">I29</f>
        <v>1846259.02057285</v>
      </c>
      <c r="K28" s="59" t="n">
        <f aca="false">J29</f>
        <v>2381398.99319912</v>
      </c>
      <c r="L28" s="59" t="n">
        <f aca="false">K29</f>
        <v>2932185.13996679</v>
      </c>
    </row>
    <row r="29" customFormat="false" ht="15" hidden="false" customHeight="true" outlineLevel="0" collapsed="false">
      <c r="B29" s="31" t="s">
        <v>939</v>
      </c>
      <c r="C29" s="12" t="s">
        <v>136</v>
      </c>
      <c r="D29" s="61" t="n">
        <f aca="false">SUM(E29:L29)</f>
        <v>12782558.8653992</v>
      </c>
      <c r="E29" s="32" t="n">
        <f aca="false">E28+E26</f>
        <v>0</v>
      </c>
      <c r="F29" s="32" t="n">
        <f aca="false">F28+F26</f>
        <v>383013.344308842</v>
      </c>
      <c r="G29" s="32" t="n">
        <f aca="false">G28+G26</f>
        <v>607942.223362392</v>
      </c>
      <c r="H29" s="32" t="n">
        <f aca="false">H28+H26</f>
        <v>1133142.68311333</v>
      </c>
      <c r="I29" s="32" t="n">
        <f aca="false">I28+I26</f>
        <v>1846259.02057285</v>
      </c>
      <c r="J29" s="32" t="n">
        <f aca="false">J28+J26</f>
        <v>2381398.99319912</v>
      </c>
      <c r="K29" s="32" t="n">
        <f aca="false">K28+K26</f>
        <v>2932185.13996679</v>
      </c>
      <c r="L29" s="32" t="n">
        <f aca="false">L28+L26</f>
        <v>3498617.46087588</v>
      </c>
    </row>
    <row r="30" customFormat="false" ht="15" hidden="false" customHeight="true" outlineLevel="0" collapsed="false"/>
    <row r="31" customFormat="false" ht="15" hidden="false" customHeight="true" outlineLevel="0" collapsed="false">
      <c r="B31" s="47" t="s">
        <v>940</v>
      </c>
      <c r="C31" s="12" t="s">
        <v>136</v>
      </c>
      <c r="D31" s="48" t="n">
        <f aca="false">SUM(E31:L31)</f>
        <v>0</v>
      </c>
      <c r="E31" s="49" t="n">
        <f aca="false">IF(ABS(E29-BS_CASH_YM1)&lt;1,0,1)</f>
        <v>0</v>
      </c>
      <c r="F31" s="49" t="n">
        <f aca="false">IF(ABS(F29-BS_CASH_Y0)&lt;1,0,1)</f>
        <v>0</v>
      </c>
      <c r="G31" s="49" t="n">
        <f aca="false">IF(ABS(G29-BS_CASH_Y1)&lt;1,0,1)</f>
        <v>0</v>
      </c>
      <c r="H31" s="49" t="n">
        <f aca="false">IF(ABS(H29-BS_CASH_Y2)&lt;1,0,1)</f>
        <v>0</v>
      </c>
      <c r="I31" s="49" t="n">
        <f aca="false">IF(ABS(I29-BS_CASH_Y3)&lt;1,0,1)</f>
        <v>0</v>
      </c>
      <c r="J31" s="49" t="n">
        <f aca="false">IF(ABS(J29-BS_CASH_Y4)&lt;1,0,1)</f>
        <v>0</v>
      </c>
      <c r="K31" s="49" t="n">
        <f aca="false">IF(ABS(K29-BS_CASH_Y5)&lt;1,0,1)</f>
        <v>0</v>
      </c>
      <c r="L31" s="49" t="n">
        <f aca="false">IF(ABS(L29-BS_CASH_Y6)&lt;1,0,1)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12" min="5" style="0" width="11"/>
  </cols>
  <sheetData>
    <row r="1" customFormat="false" ht="27.75" hidden="false" customHeight="true" outlineLevel="0" collapsed="false">
      <c r="B1" s="1" t="s">
        <v>941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/>
    <row r="3" customFormat="false" ht="15" hidden="false" customHeight="true" outlineLevel="0" collapsed="false">
      <c r="D3" s="7" t="s">
        <v>354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7" customFormat="false" ht="15" hidden="false" customHeight="true" outlineLevel="0" collapsed="false">
      <c r="B7" s="4" t="s">
        <v>942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B8" s="18" t="s">
        <v>890</v>
      </c>
      <c r="C8" s="12" t="s">
        <v>58</v>
      </c>
      <c r="D8" s="60" t="n">
        <f aca="false">SUM(E8:L8)</f>
        <v>4931748.65454545</v>
      </c>
      <c r="E8" s="30" t="n">
        <f aca="false">IS_EBITDA_YM1</f>
        <v>0</v>
      </c>
      <c r="F8" s="30" t="n">
        <f aca="false">IS_EBITDA_Y0</f>
        <v>0</v>
      </c>
      <c r="G8" s="30" t="n">
        <f aca="false">IS_EBITDA_Y1</f>
        <v>281919.859090909</v>
      </c>
      <c r="H8" s="30" t="n">
        <f aca="false">IS_EBITDA_Y2</f>
        <v>694312.704545455</v>
      </c>
      <c r="I8" s="30" t="n">
        <f aca="false">IS_EBITDA_Y3</f>
        <v>988879.022727273</v>
      </c>
      <c r="J8" s="30" t="n">
        <f aca="false">IS_EBITDA_Y4</f>
        <v>988879.022727273</v>
      </c>
      <c r="K8" s="30" t="n">
        <f aca="false">IS_EBITDA_Y5</f>
        <v>988879.022727273</v>
      </c>
      <c r="L8" s="30" t="n">
        <f aca="false">IS_EBITDA_Y6</f>
        <v>988879.022727273</v>
      </c>
    </row>
    <row r="9" customFormat="false" ht="15" hidden="false" customHeight="true" outlineLevel="0" collapsed="false">
      <c r="B9" s="18" t="s">
        <v>926</v>
      </c>
      <c r="C9" s="12" t="s">
        <v>58</v>
      </c>
      <c r="D9" s="60" t="n">
        <f aca="false">SUM(E9:L9)</f>
        <v>-57498.6603362391</v>
      </c>
      <c r="E9" s="30" t="n">
        <f aca="false">WC_IMPACT_YM1</f>
        <v>0</v>
      </c>
      <c r="F9" s="30" t="n">
        <f aca="false">WC_IMPACT_Y0</f>
        <v>21920.5479452055</v>
      </c>
      <c r="G9" s="30" t="n">
        <f aca="false">WC_IMPACT_Y1</f>
        <v>83824.5872353674</v>
      </c>
      <c r="H9" s="30" t="n">
        <f aca="false">WC_IMPACT_Y2</f>
        <v>-28296.6775217932</v>
      </c>
      <c r="I9" s="30" t="n">
        <f aca="false">WC_IMPACT_Y3</f>
        <v>-134947.117995019</v>
      </c>
      <c r="J9" s="30" t="n">
        <f aca="false">WC_IMPACT_Y4</f>
        <v>0</v>
      </c>
      <c r="K9" s="30" t="n">
        <f aca="false">WC_IMPACT_Y5</f>
        <v>0</v>
      </c>
      <c r="L9" s="30" t="n">
        <f aca="false">WC_IMPACT_Y6</f>
        <v>0</v>
      </c>
    </row>
    <row r="10" customFormat="false" ht="15" hidden="false" customHeight="true" outlineLevel="0" collapsed="false">
      <c r="B10" s="18" t="s">
        <v>943</v>
      </c>
      <c r="C10" s="12" t="s">
        <v>58</v>
      </c>
      <c r="D10" s="60" t="n">
        <f aca="false">SUM(E10:L10)</f>
        <v>0</v>
      </c>
      <c r="E10" s="30" t="n">
        <f aca="false">-TAX_CURRENT_YM1</f>
        <v>-0</v>
      </c>
      <c r="F10" s="30" t="n">
        <f aca="false">-TAX_CURRENT_Y0</f>
        <v>-0</v>
      </c>
      <c r="G10" s="30" t="n">
        <f aca="false">-TAX_CURRENT_Y1</f>
        <v>-0</v>
      </c>
      <c r="H10" s="30" t="n">
        <f aca="false">-TAX_CURRENT_Y2</f>
        <v>-0</v>
      </c>
      <c r="I10" s="30" t="n">
        <f aca="false">-TAX_CURRENT_Y3</f>
        <v>-0</v>
      </c>
      <c r="J10" s="30" t="n">
        <f aca="false">-TAX_CURRENT_Y4</f>
        <v>-0</v>
      </c>
      <c r="K10" s="30" t="n">
        <f aca="false">-TAX_CURRENT_Y5</f>
        <v>-0</v>
      </c>
      <c r="L10" s="30" t="n">
        <f aca="false">-TAX_CURRENT_Y6</f>
        <v>-0</v>
      </c>
    </row>
    <row r="11" customFormat="false" ht="15" hidden="false" customHeight="true" outlineLevel="0" collapsed="false">
      <c r="B11" s="18" t="s">
        <v>944</v>
      </c>
      <c r="C11" s="12" t="s">
        <v>58</v>
      </c>
      <c r="D11" s="60" t="n">
        <f aca="false">SUM(E11:L11)</f>
        <v>4874249.99420922</v>
      </c>
      <c r="E11" s="30" t="n">
        <f aca="false">E8+E9+E10</f>
        <v>0</v>
      </c>
      <c r="F11" s="30" t="n">
        <f aca="false">F8+F9+F10</f>
        <v>21920.5479452055</v>
      </c>
      <c r="G11" s="30" t="n">
        <f aca="false">G8+G9+G10</f>
        <v>365744.446326277</v>
      </c>
      <c r="H11" s="30" t="n">
        <f aca="false">H8+H9+H10</f>
        <v>666016.027023661</v>
      </c>
      <c r="I11" s="30" t="n">
        <f aca="false">I8+I9+I10</f>
        <v>853931.904732254</v>
      </c>
      <c r="J11" s="30" t="n">
        <f aca="false">J8+J9+J10</f>
        <v>988879.022727273</v>
      </c>
      <c r="K11" s="30" t="n">
        <f aca="false">K8+K9+K10</f>
        <v>988879.022727273</v>
      </c>
      <c r="L11" s="30" t="n">
        <f aca="false">L8+L9+L10</f>
        <v>988879.022727273</v>
      </c>
    </row>
    <row r="12" customFormat="false" ht="15" hidden="false" customHeight="true" outlineLevel="0" collapsed="false"/>
    <row r="13" customFormat="false" ht="15" hidden="false" customHeight="true" outlineLevel="0" collapsed="false">
      <c r="B13" s="4" t="s">
        <v>945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B14" s="18" t="s">
        <v>946</v>
      </c>
      <c r="C14" s="12" t="s">
        <v>58</v>
      </c>
      <c r="D14" s="60" t="n">
        <f aca="false">SUM(E14:L14)</f>
        <v>4874249.99420922</v>
      </c>
      <c r="E14" s="30" t="n">
        <f aca="false">E11</f>
        <v>0</v>
      </c>
      <c r="F14" s="30" t="n">
        <f aca="false">F11</f>
        <v>21920.5479452055</v>
      </c>
      <c r="G14" s="30" t="n">
        <f aca="false">G11</f>
        <v>365744.446326277</v>
      </c>
      <c r="H14" s="30" t="n">
        <f aca="false">H11</f>
        <v>666016.027023661</v>
      </c>
      <c r="I14" s="30" t="n">
        <f aca="false">I11</f>
        <v>853931.904732254</v>
      </c>
      <c r="J14" s="30" t="n">
        <f aca="false">J11</f>
        <v>988879.022727273</v>
      </c>
      <c r="K14" s="30" t="n">
        <f aca="false">K11</f>
        <v>988879.022727273</v>
      </c>
      <c r="L14" s="30" t="n">
        <f aca="false">L11</f>
        <v>988879.022727273</v>
      </c>
    </row>
    <row r="15" customFormat="false" ht="15" hidden="false" customHeight="true" outlineLevel="0" collapsed="false">
      <c r="B15" s="18" t="s">
        <v>947</v>
      </c>
      <c r="C15" s="12" t="s">
        <v>58</v>
      </c>
      <c r="D15" s="60" t="n">
        <f aca="false">SUM(E15:L15)</f>
        <v>-1877540.8969697</v>
      </c>
      <c r="E15" s="30" t="n">
        <f aca="false">-(DEBT_INT_YM1+0)</f>
        <v>-0</v>
      </c>
      <c r="F15" s="30" t="n">
        <f aca="false">-(DEBT_INT_Y0+MAX(0,DEBT_CLOSE_YM1-DEBT_CLOSE_Y0))</f>
        <v>-140815.567272727</v>
      </c>
      <c r="G15" s="30" t="n">
        <f aca="false">-(DEBT_INT_Y1+MAX(0,DEBT_CLOSE_Y0-DEBT_CLOSE_Y1))</f>
        <v>-140815.567272727</v>
      </c>
      <c r="H15" s="30" t="n">
        <f aca="false">-(DEBT_INT_Y2+MAX(0,DEBT_CLOSE_Y1-DEBT_CLOSE_Y2))</f>
        <v>-140815.567272727</v>
      </c>
      <c r="I15" s="30" t="n">
        <f aca="false">-(DEBT_INT_Y3+MAX(0,DEBT_CLOSE_Y2-DEBT_CLOSE_Y3))</f>
        <v>-140815.567272727</v>
      </c>
      <c r="J15" s="30" t="n">
        <f aca="false">-(DEBT_INT_Y4+MAX(0,DEBT_CLOSE_Y3-DEBT_CLOSE_Y4))</f>
        <v>-453739.05010101</v>
      </c>
      <c r="K15" s="30" t="n">
        <f aca="false">-(DEBT_INT_Y5+MAX(0,DEBT_CLOSE_Y4-DEBT_CLOSE_Y5))</f>
        <v>-438092.875959596</v>
      </c>
      <c r="L15" s="30" t="n">
        <f aca="false">-(DEBT_INT_Y6+MAX(0,DEBT_CLOSE_Y5-DEBT_CLOSE_Y6))</f>
        <v>-422446.701818182</v>
      </c>
    </row>
    <row r="16" customFormat="false" ht="15" hidden="false" customHeight="true" outlineLevel="0" collapsed="false">
      <c r="B16" s="18" t="s">
        <v>948</v>
      </c>
      <c r="C16" s="12" t="s">
        <v>58</v>
      </c>
      <c r="D16" s="60" t="n">
        <f aca="false">SUM(E16:L16)</f>
        <v>2996709.09723952</v>
      </c>
      <c r="E16" s="30" t="n">
        <f aca="false">E14+E15</f>
        <v>0</v>
      </c>
      <c r="F16" s="30" t="n">
        <f aca="false">F14+F15</f>
        <v>-118895.019327522</v>
      </c>
      <c r="G16" s="30" t="n">
        <f aca="false">G14+G15</f>
        <v>224928.879053549</v>
      </c>
      <c r="H16" s="30" t="n">
        <f aca="false">H14+H15</f>
        <v>525200.459750934</v>
      </c>
      <c r="I16" s="30" t="n">
        <f aca="false">I14+I15</f>
        <v>713116.337459527</v>
      </c>
      <c r="J16" s="30" t="n">
        <f aca="false">J14+J15</f>
        <v>535139.972626263</v>
      </c>
      <c r="K16" s="30" t="n">
        <f aca="false">K14+K15</f>
        <v>550786.146767677</v>
      </c>
      <c r="L16" s="30" t="n">
        <f aca="false">L14+L15</f>
        <v>566432.320909091</v>
      </c>
    </row>
    <row r="17" customFormat="false" ht="15" hidden="false" customHeight="true" outlineLevel="0" collapsed="false">
      <c r="B17" s="18" t="s">
        <v>949</v>
      </c>
      <c r="C17" s="12" t="s">
        <v>58</v>
      </c>
      <c r="D17" s="60" t="n">
        <f aca="false">SUM(E17:L17)</f>
        <v>0</v>
      </c>
      <c r="E17" s="30" t="n">
        <f aca="false">0</f>
        <v>0</v>
      </c>
      <c r="F17" s="30" t="n">
        <f aca="false">0</f>
        <v>0</v>
      </c>
      <c r="G17" s="30" t="n">
        <f aca="false">0</f>
        <v>0</v>
      </c>
      <c r="H17" s="30" t="n">
        <f aca="false">0</f>
        <v>0</v>
      </c>
      <c r="I17" s="30" t="n">
        <f aca="false">0</f>
        <v>0</v>
      </c>
      <c r="J17" s="30" t="n">
        <f aca="false">0</f>
        <v>0</v>
      </c>
      <c r="K17" s="30" t="n">
        <f aca="false">0</f>
        <v>0</v>
      </c>
      <c r="L17" s="30" t="n">
        <f aca="false">0</f>
        <v>0</v>
      </c>
    </row>
    <row r="18" customFormat="false" ht="15" hidden="false" customHeight="true" outlineLevel="0" collapsed="false">
      <c r="B18" s="18" t="s">
        <v>950</v>
      </c>
      <c r="C18" s="12" t="s">
        <v>58</v>
      </c>
      <c r="D18" s="60" t="n">
        <f aca="false">SUM(E18:L18)</f>
        <v>2996709.09723952</v>
      </c>
      <c r="E18" s="30" t="n">
        <f aca="false">E16+E17</f>
        <v>0</v>
      </c>
      <c r="F18" s="30" t="n">
        <f aca="false">F16+F17</f>
        <v>-118895.019327522</v>
      </c>
      <c r="G18" s="30" t="n">
        <f aca="false">G16+G17</f>
        <v>224928.879053549</v>
      </c>
      <c r="H18" s="30" t="n">
        <f aca="false">H16+H17</f>
        <v>525200.459750934</v>
      </c>
      <c r="I18" s="30" t="n">
        <f aca="false">I16+I17</f>
        <v>713116.337459527</v>
      </c>
      <c r="J18" s="30" t="n">
        <f aca="false">J16+J17</f>
        <v>535139.972626263</v>
      </c>
      <c r="K18" s="30" t="n">
        <f aca="false">K16+K17</f>
        <v>550786.146767677</v>
      </c>
      <c r="L18" s="30" t="n">
        <f aca="false">L16+L17</f>
        <v>566432.320909091</v>
      </c>
    </row>
    <row r="19" customFormat="false" ht="15" hidden="false" customHeight="true" outlineLevel="0" collapsed="false"/>
    <row r="20" customFormat="false" ht="15" hidden="false" customHeight="true" outlineLevel="0" collapsed="false">
      <c r="B20" s="4" t="s">
        <v>951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B21" s="18" t="s">
        <v>952</v>
      </c>
      <c r="C21" s="12" t="s">
        <v>58</v>
      </c>
      <c r="D21" s="60" t="n">
        <f aca="false">SUM(E21:L21)</f>
        <v>1877540.8969697</v>
      </c>
      <c r="E21" s="30" t="n">
        <f aca="false">-E15</f>
        <v>0</v>
      </c>
      <c r="F21" s="30" t="n">
        <f aca="false">-F15</f>
        <v>140815.567272727</v>
      </c>
      <c r="G21" s="30" t="n">
        <f aca="false">-G15</f>
        <v>140815.567272727</v>
      </c>
      <c r="H21" s="30" t="n">
        <f aca="false">-H15</f>
        <v>140815.567272727</v>
      </c>
      <c r="I21" s="30" t="n">
        <f aca="false">-I15</f>
        <v>140815.567272727</v>
      </c>
      <c r="J21" s="30" t="n">
        <f aca="false">-J15</f>
        <v>453739.05010101</v>
      </c>
      <c r="K21" s="30" t="n">
        <f aca="false">-K15</f>
        <v>438092.875959596</v>
      </c>
      <c r="L21" s="30" t="n">
        <f aca="false">-L15</f>
        <v>422446.701818182</v>
      </c>
    </row>
    <row r="22" customFormat="false" ht="15" hidden="false" customHeight="true" outlineLevel="0" collapsed="false">
      <c r="B22" s="18" t="s">
        <v>953</v>
      </c>
      <c r="C22" s="12" t="s">
        <v>954</v>
      </c>
      <c r="D22" s="65" t="n">
        <f aca="false">IF(SUMIF(E21:L21,"&gt;0")=0,"",AVERAGEIF(E21:L21,"&gt;0",E22:L22))</f>
        <v>2.90348045194291</v>
      </c>
      <c r="E22" s="65" t="str">
        <f aca="false">IF(E21=0,"",E11/E21)</f>
        <v/>
      </c>
      <c r="F22" s="65" t="n">
        <f aca="false">IF(F21=0,"",F11/F21)</f>
        <v>0.155668498659317</v>
      </c>
      <c r="G22" s="65" t="n">
        <f aca="false">IF(G21=0,"",G11/G21)</f>
        <v>2.59732963769491</v>
      </c>
      <c r="H22" s="65" t="n">
        <f aca="false">IF(H21=0,"",H11/H21)</f>
        <v>4.72970453425609</v>
      </c>
      <c r="I22" s="65" t="n">
        <f aca="false">IF(I21=0,"",I11/I21)</f>
        <v>6.06418680314219</v>
      </c>
      <c r="J22" s="65" t="n">
        <f aca="false">IF(J21=0,"",J11/J21)</f>
        <v>2.1794003017971</v>
      </c>
      <c r="K22" s="65" t="n">
        <f aca="false">IF(K21=0,"",K11/K21)</f>
        <v>2.25723602686129</v>
      </c>
      <c r="L22" s="65" t="n">
        <f aca="false">IF(L21=0,"",L11/L21)</f>
        <v>2.34083736118948</v>
      </c>
    </row>
    <row r="23" customFormat="false" ht="15" hidden="false" customHeight="true" outlineLevel="0" collapsed="false"/>
    <row r="24" customFormat="false" ht="15" hidden="false" customHeight="true" outlineLevel="0" collapsed="false">
      <c r="B24" s="4" t="s">
        <v>955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B25" s="18" t="s">
        <v>956</v>
      </c>
      <c r="C25" s="12" t="s">
        <v>136</v>
      </c>
      <c r="D25" s="30" t="n">
        <f aca="false">NPV(ASM_M03_WACC,G11:L11)</f>
        <v>3155877.20206672</v>
      </c>
      <c r="E25" s="30"/>
      <c r="F25" s="30"/>
      <c r="G25" s="30"/>
      <c r="H25" s="30"/>
      <c r="I25" s="30"/>
      <c r="J25" s="30"/>
      <c r="K25" s="30"/>
      <c r="L25" s="30"/>
    </row>
    <row r="26" customFormat="false" ht="15" hidden="false" customHeight="true" outlineLevel="0" collapsed="false"/>
    <row r="27" customFormat="false" ht="15" hidden="false" customHeight="true" outlineLevel="0" collapsed="false">
      <c r="B27" s="4" t="s">
        <v>957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B28" s="18" t="s">
        <v>958</v>
      </c>
      <c r="C28" s="12" t="s">
        <v>58</v>
      </c>
      <c r="D28" s="60" t="n">
        <f aca="false">SUM(E28:L28)</f>
        <v>2701585.81818182</v>
      </c>
      <c r="E28" s="30" t="n">
        <f aca="false">CAPEX_B1_YM1</f>
        <v>0</v>
      </c>
      <c r="F28" s="30" t="n">
        <f aca="false">CAPEX_B1_Y0</f>
        <v>2701585.81818182</v>
      </c>
      <c r="G28" s="30" t="n">
        <f aca="false">CAPEX_B1_Y1</f>
        <v>0</v>
      </c>
      <c r="H28" s="30" t="n">
        <f aca="false">CAPEX_B1_Y2</f>
        <v>0</v>
      </c>
      <c r="I28" s="30" t="n">
        <f aca="false">CAPEX_B1_Y3</f>
        <v>0</v>
      </c>
      <c r="J28" s="30" t="n">
        <f aca="false">CAPEX_B1_Y4</f>
        <v>0</v>
      </c>
      <c r="K28" s="30" t="n">
        <f aca="false">CAPEX_B1_Y5</f>
        <v>0</v>
      </c>
      <c r="L28" s="30" t="n">
        <f aca="false">CAPEX_B1_Y6</f>
        <v>0</v>
      </c>
    </row>
    <row r="29" customFormat="false" ht="15" hidden="false" customHeight="true" outlineLevel="0" collapsed="false">
      <c r="B29" s="18" t="s">
        <v>959</v>
      </c>
      <c r="C29" s="12" t="s">
        <v>58</v>
      </c>
      <c r="D29" s="60" t="n">
        <f aca="false">SUM(E29:L29)</f>
        <v>2172664.1760274</v>
      </c>
      <c r="E29" s="30" t="n">
        <f aca="false">E11-E28</f>
        <v>0</v>
      </c>
      <c r="F29" s="30" t="n">
        <f aca="false">F11-F28</f>
        <v>-2679665.27023661</v>
      </c>
      <c r="G29" s="30" t="n">
        <f aca="false">G11-G28</f>
        <v>365744.446326277</v>
      </c>
      <c r="H29" s="30" t="n">
        <f aca="false">H11-H28</f>
        <v>666016.027023661</v>
      </c>
      <c r="I29" s="30" t="n">
        <f aca="false">I11-I28</f>
        <v>853931.904732254</v>
      </c>
      <c r="J29" s="30" t="n">
        <f aca="false">J11-J28</f>
        <v>988879.022727273</v>
      </c>
      <c r="K29" s="30" t="n">
        <f aca="false">K11-K28</f>
        <v>988879.022727273</v>
      </c>
      <c r="L29" s="30" t="n">
        <f aca="false">L11-L28</f>
        <v>988879.022727273</v>
      </c>
    </row>
    <row r="30" customFormat="false" ht="15" hidden="false" customHeight="true" outlineLevel="0" collapsed="false">
      <c r="B30" s="18" t="s">
        <v>960</v>
      </c>
      <c r="C30" s="12" t="s">
        <v>63</v>
      </c>
      <c r="D30" s="22" t="n">
        <f aca="false">IFERROR(IRR(E29:L29,0.1),"n/a")</f>
        <v>0.172076754621176</v>
      </c>
      <c r="E30" s="22"/>
      <c r="F30" s="22"/>
      <c r="G30" s="22"/>
      <c r="H30" s="22"/>
      <c r="I30" s="22"/>
      <c r="J30" s="22"/>
      <c r="K30" s="22"/>
      <c r="L30" s="22"/>
    </row>
    <row r="31" customFormat="false" ht="15" hidden="false" customHeight="true" outlineLevel="0" collapsed="false">
      <c r="B31" s="18" t="s">
        <v>961</v>
      </c>
      <c r="C31" s="12" t="s">
        <v>58</v>
      </c>
      <c r="D31" s="60" t="n">
        <f aca="false">SUM(E31:L31)</f>
        <v>1986401</v>
      </c>
      <c r="E31" s="30" t="n">
        <f aca="false">TRAIN_CAP_TOTAL_YM1+GEN_A_CAP_TOTAL_YM1+GEN_B_CAP_TOTAL_YM1</f>
        <v>628000</v>
      </c>
      <c r="F31" s="30" t="n">
        <f aca="false">TRAIN_CAP_TOTAL_Y0+GEN_A_CAP_TOTAL_Y0+GEN_B_CAP_TOTAL_Y0</f>
        <v>1358401</v>
      </c>
      <c r="G31" s="30" t="n">
        <f aca="false">TRAIN_CAP_TOTAL_Y1+GEN_A_CAP_TOTAL_Y1+GEN_B_CAP_TOTAL_Y1</f>
        <v>0</v>
      </c>
      <c r="H31" s="30" t="n">
        <f aca="false">TRAIN_CAP_TOTAL_Y2+GEN_A_CAP_TOTAL_Y2+GEN_B_CAP_TOTAL_Y2</f>
        <v>0</v>
      </c>
      <c r="I31" s="30" t="n">
        <f aca="false">TRAIN_CAP_TOTAL_Y3+GEN_A_CAP_TOTAL_Y3+GEN_B_CAP_TOTAL_Y3</f>
        <v>0</v>
      </c>
      <c r="J31" s="30" t="n">
        <f aca="false">TRAIN_CAP_TOTAL_Y4+GEN_A_CAP_TOTAL_Y4+GEN_B_CAP_TOTAL_Y4</f>
        <v>0</v>
      </c>
      <c r="K31" s="30" t="n">
        <f aca="false">TRAIN_CAP_TOTAL_Y5+GEN_A_CAP_TOTAL_Y5+GEN_B_CAP_TOTAL_Y5</f>
        <v>0</v>
      </c>
      <c r="L31" s="30" t="n">
        <f aca="false">TRAIN_CAP_TOTAL_Y6+GEN_A_CAP_TOTAL_Y6+GEN_B_CAP_TOTAL_Y6</f>
        <v>0</v>
      </c>
    </row>
    <row r="32" customFormat="false" ht="15" hidden="false" customHeight="true" outlineLevel="0" collapsed="false"/>
    <row r="33" customFormat="false" ht="15" hidden="false" customHeight="true" outlineLevel="0" collapsed="false">
      <c r="B33" s="4" t="s">
        <v>962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B34" s="18" t="s">
        <v>963</v>
      </c>
      <c r="C34" s="12" t="s">
        <v>136</v>
      </c>
      <c r="D34" s="30" t="n">
        <f aca="false">IS_EBITDA_Y6</f>
        <v>988879.022727273</v>
      </c>
      <c r="E34" s="30"/>
      <c r="F34" s="30"/>
      <c r="G34" s="30"/>
      <c r="H34" s="30"/>
      <c r="I34" s="30"/>
      <c r="J34" s="30"/>
      <c r="K34" s="30"/>
      <c r="L34" s="30"/>
    </row>
    <row r="35" customFormat="false" ht="15" hidden="false" customHeight="true" outlineLevel="0" collapsed="false">
      <c r="B35" s="18" t="s">
        <v>964</v>
      </c>
      <c r="C35" s="12" t="s">
        <v>136</v>
      </c>
      <c r="D35" s="30" t="n">
        <f aca="false">IS_NETINC_Y6</f>
        <v>640846.331010101</v>
      </c>
      <c r="E35" s="30"/>
      <c r="F35" s="30"/>
      <c r="G35" s="30"/>
      <c r="H35" s="30"/>
      <c r="I35" s="30"/>
      <c r="J35" s="30"/>
      <c r="K35" s="30"/>
      <c r="L35" s="30"/>
    </row>
    <row r="36" customFormat="false" ht="15" hidden="false" customHeight="true" outlineLevel="0" collapsed="false">
      <c r="B36" s="18" t="s">
        <v>965</v>
      </c>
      <c r="C36" s="12" t="s">
        <v>136</v>
      </c>
      <c r="D36" s="30" t="n">
        <f aca="false">L11</f>
        <v>988879.022727273</v>
      </c>
      <c r="E36" s="30"/>
      <c r="F36" s="30"/>
      <c r="G36" s="30"/>
      <c r="H36" s="30"/>
      <c r="I36" s="30"/>
      <c r="J36" s="30"/>
      <c r="K36" s="30"/>
      <c r="L36" s="30"/>
    </row>
    <row r="37" customFormat="false" ht="15" hidden="false" customHeight="true" outlineLevel="0" collapsed="false">
      <c r="B37" s="18" t="s">
        <v>966</v>
      </c>
      <c r="C37" s="12" t="s">
        <v>136</v>
      </c>
      <c r="D37" s="30" t="n">
        <f aca="false">D25</f>
        <v>3155877.20206672</v>
      </c>
      <c r="E37" s="30"/>
      <c r="F37" s="30"/>
      <c r="G37" s="30"/>
      <c r="H37" s="30"/>
      <c r="I37" s="30"/>
      <c r="J37" s="30"/>
      <c r="K37" s="30"/>
      <c r="L37" s="30"/>
    </row>
    <row r="38" customFormat="false" ht="15" hidden="false" customHeight="true" outlineLevel="0" collapsed="false">
      <c r="B38" s="18" t="s">
        <v>967</v>
      </c>
      <c r="C38" s="12" t="s">
        <v>136</v>
      </c>
      <c r="D38" s="22" t="n">
        <f aca="false">D30</f>
        <v>0.172076754621176</v>
      </c>
      <c r="E38" s="22"/>
      <c r="F38" s="22"/>
      <c r="G38" s="22"/>
      <c r="H38" s="22"/>
      <c r="I38" s="22"/>
      <c r="J38" s="22"/>
      <c r="K38" s="22"/>
      <c r="L38" s="22"/>
    </row>
    <row r="39" customFormat="false" ht="15" hidden="false" customHeight="true" outlineLevel="0" collapsed="false">
      <c r="B39" s="18" t="s">
        <v>968</v>
      </c>
      <c r="C39" s="12" t="s">
        <v>136</v>
      </c>
      <c r="D39" s="30" t="n">
        <f aca="false">D31</f>
        <v>1986401</v>
      </c>
      <c r="E39" s="30"/>
      <c r="F39" s="30"/>
      <c r="G39" s="30"/>
      <c r="H39" s="30"/>
      <c r="I39" s="30"/>
      <c r="J39" s="30"/>
      <c r="K39" s="30"/>
      <c r="L39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12" min="5" style="0" width="9"/>
    <col collapsed="false" customWidth="true" hidden="false" outlineLevel="0" max="13" min="13" style="0" width="8"/>
  </cols>
  <sheetData>
    <row r="1" customFormat="false" ht="27.75" hidden="false" customHeight="true" outlineLevel="0" collapsed="false">
      <c r="B1" s="1" t="s">
        <v>969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/>
    <row r="3" customFormat="false" ht="15" hidden="false" customHeight="true" outlineLevel="0" collapsed="false">
      <c r="B3" s="7" t="s">
        <v>970</v>
      </c>
      <c r="C3" s="7" t="s">
        <v>3</v>
      </c>
      <c r="D3" s="7" t="s">
        <v>971</v>
      </c>
      <c r="E3" s="7" t="s">
        <v>355</v>
      </c>
      <c r="F3" s="7" t="s">
        <v>356</v>
      </c>
      <c r="G3" s="7" t="s">
        <v>357</v>
      </c>
      <c r="H3" s="7" t="s">
        <v>358</v>
      </c>
      <c r="I3" s="7" t="s">
        <v>359</v>
      </c>
      <c r="J3" s="7" t="s">
        <v>360</v>
      </c>
      <c r="K3" s="7" t="s">
        <v>361</v>
      </c>
      <c r="L3" s="7" t="s">
        <v>362</v>
      </c>
      <c r="M3" s="7" t="s">
        <v>5</v>
      </c>
    </row>
    <row r="4" customFormat="false" ht="15" hidden="false" customHeight="true" outlineLevel="0" collapsed="false">
      <c r="E4" s="17" t="n">
        <v>-1</v>
      </c>
      <c r="F4" s="17" t="n">
        <v>0</v>
      </c>
      <c r="G4" s="17" t="n">
        <v>1</v>
      </c>
      <c r="H4" s="17" t="n">
        <v>2</v>
      </c>
      <c r="I4" s="17" t="n">
        <v>3</v>
      </c>
      <c r="J4" s="17" t="n">
        <v>4</v>
      </c>
      <c r="K4" s="17" t="n">
        <v>5</v>
      </c>
      <c r="L4" s="17" t="n">
        <v>6</v>
      </c>
    </row>
    <row r="5" customFormat="false" ht="15" hidden="false" customHeight="true" outlineLevel="0" collapsed="false"/>
    <row r="6" customFormat="false" ht="15" hidden="false" customHeight="true" outlineLevel="0" collapsed="false">
      <c r="B6" s="4" t="s">
        <v>972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5" hidden="false" customHeight="true" outlineLevel="0" collapsed="false">
      <c r="B7" s="66" t="s">
        <v>6</v>
      </c>
      <c r="C7" s="9" t="s">
        <v>973</v>
      </c>
      <c r="D7" s="3" t="s">
        <v>974</v>
      </c>
      <c r="E7" s="67" t="n">
        <f aca="false">SU_CHECK_YM1</f>
        <v>0</v>
      </c>
      <c r="F7" s="67" t="n">
        <f aca="false">SU_CHECK_Y0</f>
        <v>0</v>
      </c>
      <c r="G7" s="67" t="n">
        <f aca="false">SU_CHECK_Y1</f>
        <v>0</v>
      </c>
      <c r="H7" s="67" t="n">
        <f aca="false">SU_CHECK_Y2</f>
        <v>0</v>
      </c>
      <c r="I7" s="67" t="n">
        <f aca="false">SU_CHECK_Y3</f>
        <v>0</v>
      </c>
      <c r="J7" s="67" t="n">
        <f aca="false">SU_CHECK_Y4</f>
        <v>0</v>
      </c>
      <c r="K7" s="67" t="n">
        <f aca="false">SU_CHECK_Y5</f>
        <v>0</v>
      </c>
      <c r="L7" s="67" t="n">
        <f aca="false">SU_CHECK_Y6</f>
        <v>0</v>
      </c>
      <c r="M7" s="68" t="n">
        <f aca="false">SUM(E7:L7)</f>
        <v>0</v>
      </c>
    </row>
    <row r="8" customFormat="false" ht="15" hidden="false" customHeight="true" outlineLevel="0" collapsed="false">
      <c r="B8" s="66" t="s">
        <v>8</v>
      </c>
      <c r="C8" s="9" t="s">
        <v>975</v>
      </c>
      <c r="D8" s="3" t="s">
        <v>976</v>
      </c>
      <c r="E8" s="67" t="n">
        <f aca="false">0</f>
        <v>0</v>
      </c>
      <c r="F8" s="67" t="n">
        <f aca="false">0</f>
        <v>0</v>
      </c>
      <c r="G8" s="67" t="n">
        <f aca="false">'10_CWIP'!G15</f>
        <v>0</v>
      </c>
      <c r="H8" s="67" t="n">
        <f aca="false">0</f>
        <v>0</v>
      </c>
      <c r="I8" s="67" t="n">
        <f aca="false">0</f>
        <v>0</v>
      </c>
      <c r="J8" s="67" t="n">
        <f aca="false">0</f>
        <v>0</v>
      </c>
      <c r="K8" s="67" t="n">
        <f aca="false">0</f>
        <v>0</v>
      </c>
      <c r="L8" s="67" t="n">
        <f aca="false">0</f>
        <v>0</v>
      </c>
      <c r="M8" s="68" t="n">
        <f aca="false">SUM(E8:L8)</f>
        <v>0</v>
      </c>
    </row>
    <row r="9" customFormat="false" ht="15" hidden="false" customHeight="true" outlineLevel="0" collapsed="false">
      <c r="B9" s="66" t="s">
        <v>10</v>
      </c>
      <c r="C9" s="9" t="s">
        <v>11</v>
      </c>
      <c r="D9" s="3" t="s">
        <v>977</v>
      </c>
      <c r="E9" s="67" t="n">
        <f aca="false">IF(FA_CLOSE_YM1&lt;-1,1,0)</f>
        <v>0</v>
      </c>
      <c r="F9" s="67" t="n">
        <f aca="false">IF(FA_CLOSE_Y0&lt;-1,1,0)</f>
        <v>0</v>
      </c>
      <c r="G9" s="67" t="n">
        <f aca="false">IF(FA_CLOSE_Y1&lt;-1,1,0)</f>
        <v>0</v>
      </c>
      <c r="H9" s="67" t="n">
        <f aca="false">IF(FA_CLOSE_Y2&lt;-1,1,0)</f>
        <v>0</v>
      </c>
      <c r="I9" s="67" t="n">
        <f aca="false">IF(FA_CLOSE_Y3&lt;-1,1,0)</f>
        <v>0</v>
      </c>
      <c r="J9" s="67" t="n">
        <f aca="false">IF(FA_CLOSE_Y4&lt;-1,1,0)</f>
        <v>0</v>
      </c>
      <c r="K9" s="67" t="n">
        <f aca="false">IF(FA_CLOSE_Y5&lt;-1,1,0)</f>
        <v>0</v>
      </c>
      <c r="L9" s="67" t="n">
        <f aca="false">IF(FA_CLOSE_Y6&lt;-1,1,0)</f>
        <v>0</v>
      </c>
      <c r="M9" s="68" t="n">
        <f aca="false">SUM(E9:L9)</f>
        <v>0</v>
      </c>
    </row>
    <row r="10" customFormat="false" ht="15" hidden="false" customHeight="true" outlineLevel="0" collapsed="false">
      <c r="B10" s="66" t="s">
        <v>12</v>
      </c>
      <c r="C10" s="9" t="s">
        <v>13</v>
      </c>
      <c r="D10" s="3" t="s">
        <v>978</v>
      </c>
      <c r="E10" s="67" t="n">
        <f aca="false">IF(FA_DTL_YM1&lt;-1,1,0)</f>
        <v>0</v>
      </c>
      <c r="F10" s="67" t="n">
        <f aca="false">IF(FA_DTL_Y0&lt;-1,1,0)</f>
        <v>0</v>
      </c>
      <c r="G10" s="67" t="n">
        <f aca="false">IF(FA_DTL_Y1&lt;-1,1,0)</f>
        <v>0</v>
      </c>
      <c r="H10" s="67" t="n">
        <f aca="false">IF(FA_DTL_Y2&lt;-1,1,0)</f>
        <v>0</v>
      </c>
      <c r="I10" s="67" t="n">
        <f aca="false">IF(FA_DTL_Y3&lt;-1,1,0)</f>
        <v>0</v>
      </c>
      <c r="J10" s="67" t="n">
        <f aca="false">IF(FA_DTL_Y4&lt;-1,1,0)</f>
        <v>0</v>
      </c>
      <c r="K10" s="67" t="n">
        <f aca="false">IF(FA_DTL_Y5&lt;-1,1,0)</f>
        <v>0</v>
      </c>
      <c r="L10" s="67" t="n">
        <f aca="false">IF(FA_DTL_Y6&lt;-1,1,0)</f>
        <v>0</v>
      </c>
      <c r="M10" s="68" t="n">
        <f aca="false">SUM(E10:L10)</f>
        <v>0</v>
      </c>
    </row>
    <row r="11" customFormat="false" ht="15" hidden="false" customHeight="true" outlineLevel="0" collapsed="false">
      <c r="B11" s="66" t="s">
        <v>14</v>
      </c>
      <c r="C11" s="9" t="s">
        <v>979</v>
      </c>
      <c r="D11" s="3" t="s">
        <v>980</v>
      </c>
      <c r="E11" s="67" t="n">
        <f aca="false">'09_Debt'!E18</f>
        <v>0</v>
      </c>
      <c r="F11" s="67" t="n">
        <f aca="false">'09_Debt'!F18</f>
        <v>0</v>
      </c>
      <c r="G11" s="67" t="n">
        <f aca="false">'09_Debt'!G18</f>
        <v>0</v>
      </c>
      <c r="H11" s="67" t="n">
        <f aca="false">'09_Debt'!H18</f>
        <v>0</v>
      </c>
      <c r="I11" s="67" t="n">
        <f aca="false">'09_Debt'!I18</f>
        <v>0</v>
      </c>
      <c r="J11" s="67" t="n">
        <f aca="false">'09_Debt'!J18</f>
        <v>0</v>
      </c>
      <c r="K11" s="67" t="n">
        <f aca="false">'09_Debt'!K18</f>
        <v>0</v>
      </c>
      <c r="L11" s="67" t="n">
        <f aca="false">'09_Debt'!L18</f>
        <v>0</v>
      </c>
      <c r="M11" s="68" t="n">
        <f aca="false">SUM(E11:L11)</f>
        <v>0</v>
      </c>
    </row>
    <row r="12" customFormat="false" ht="15" hidden="false" customHeight="true" outlineLevel="0" collapsed="false"/>
    <row r="13" customFormat="false" ht="15" hidden="false" customHeight="true" outlineLevel="0" collapsed="false">
      <c r="B13" s="4" t="s">
        <v>981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15" hidden="false" customHeight="true" outlineLevel="0" collapsed="false">
      <c r="B14" s="66" t="s">
        <v>16</v>
      </c>
      <c r="C14" s="9" t="s">
        <v>982</v>
      </c>
      <c r="D14" s="3" t="s">
        <v>983</v>
      </c>
      <c r="E14" s="67" t="n">
        <f aca="false">'15_BS'!E29</f>
        <v>0</v>
      </c>
      <c r="F14" s="67" t="n">
        <f aca="false">'15_BS'!F29</f>
        <v>0</v>
      </c>
      <c r="G14" s="67" t="n">
        <f aca="false">'15_BS'!G29</f>
        <v>0</v>
      </c>
      <c r="H14" s="67" t="n">
        <f aca="false">'15_BS'!H29</f>
        <v>0</v>
      </c>
      <c r="I14" s="67" t="n">
        <f aca="false">'15_BS'!I29</f>
        <v>0</v>
      </c>
      <c r="J14" s="67" t="n">
        <f aca="false">'15_BS'!J29</f>
        <v>0</v>
      </c>
      <c r="K14" s="67" t="n">
        <f aca="false">'15_BS'!K29</f>
        <v>0</v>
      </c>
      <c r="L14" s="67" t="n">
        <f aca="false">'15_BS'!L29</f>
        <v>0</v>
      </c>
      <c r="M14" s="68" t="n">
        <f aca="false">SUM(E14:L14)</f>
        <v>0</v>
      </c>
    </row>
    <row r="15" customFormat="false" ht="15" hidden="false" customHeight="true" outlineLevel="0" collapsed="false">
      <c r="B15" s="66" t="s">
        <v>18</v>
      </c>
      <c r="C15" s="9" t="s">
        <v>984</v>
      </c>
      <c r="D15" s="3" t="s">
        <v>985</v>
      </c>
      <c r="E15" s="67" t="n">
        <f aca="false">'15_BS'!E30</f>
        <v>0</v>
      </c>
      <c r="F15" s="67" t="n">
        <f aca="false">'15_BS'!F30</f>
        <v>0</v>
      </c>
      <c r="G15" s="67" t="n">
        <f aca="false">'15_BS'!G30</f>
        <v>0</v>
      </c>
      <c r="H15" s="67" t="n">
        <f aca="false">'15_BS'!H30</f>
        <v>0</v>
      </c>
      <c r="I15" s="67" t="n">
        <f aca="false">'15_BS'!I30</f>
        <v>0</v>
      </c>
      <c r="J15" s="67" t="n">
        <f aca="false">'15_BS'!J30</f>
        <v>0</v>
      </c>
      <c r="K15" s="67" t="n">
        <f aca="false">'15_BS'!K30</f>
        <v>0</v>
      </c>
      <c r="L15" s="67" t="n">
        <f aca="false">'15_BS'!L30</f>
        <v>0</v>
      </c>
      <c r="M15" s="68" t="n">
        <f aca="false">SUM(E15:L15)</f>
        <v>0</v>
      </c>
    </row>
    <row r="16" customFormat="false" ht="15" hidden="false" customHeight="true" outlineLevel="0" collapsed="false"/>
    <row r="17" customFormat="false" ht="15" hidden="false" customHeight="true" outlineLevel="0" collapsed="false">
      <c r="B17" s="4" t="s">
        <v>986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5" hidden="false" customHeight="true" outlineLevel="0" collapsed="false">
      <c r="B18" s="66" t="s">
        <v>20</v>
      </c>
      <c r="C18" s="9" t="s">
        <v>987</v>
      </c>
      <c r="D18" s="3" t="s">
        <v>988</v>
      </c>
      <c r="E18" s="67" t="n">
        <f aca="false">IF('13_Tax'!E19&lt;-1,1,0)</f>
        <v>0</v>
      </c>
      <c r="F18" s="67" t="n">
        <f aca="false">IF('13_Tax'!F19&lt;-1,1,0)</f>
        <v>0</v>
      </c>
      <c r="G18" s="67" t="n">
        <f aca="false">IF('13_Tax'!G19&lt;-1,1,0)</f>
        <v>0</v>
      </c>
      <c r="H18" s="67" t="n">
        <f aca="false">IF('13_Tax'!H19&lt;-1,1,0)</f>
        <v>0</v>
      </c>
      <c r="I18" s="67" t="n">
        <f aca="false">IF('13_Tax'!I19&lt;-1,1,0)</f>
        <v>0</v>
      </c>
      <c r="J18" s="67" t="n">
        <f aca="false">IF('13_Tax'!J19&lt;-1,1,0)</f>
        <v>0</v>
      </c>
      <c r="K18" s="67" t="n">
        <f aca="false">IF('13_Tax'!K19&lt;-1,1,0)</f>
        <v>0</v>
      </c>
      <c r="L18" s="67" t="n">
        <f aca="false">IF('13_Tax'!L19&lt;-1,1,0)</f>
        <v>0</v>
      </c>
      <c r="M18" s="68" t="n">
        <f aca="false">SUM(E18:L18)</f>
        <v>0</v>
      </c>
    </row>
    <row r="19" customFormat="false" ht="15" hidden="false" customHeight="true" outlineLevel="0" collapsed="false">
      <c r="B19" s="66" t="s">
        <v>22</v>
      </c>
      <c r="C19" s="9" t="s">
        <v>23</v>
      </c>
      <c r="D19" s="3" t="s">
        <v>978</v>
      </c>
      <c r="E19" s="67" t="n">
        <f aca="false">IF(FA_DTL_YM1&lt;-1,1,0)</f>
        <v>0</v>
      </c>
      <c r="F19" s="67" t="n">
        <f aca="false">IF(FA_DTL_Y0&lt;-1,1,0)</f>
        <v>0</v>
      </c>
      <c r="G19" s="67" t="n">
        <f aca="false">IF(FA_DTL_Y1&lt;-1,1,0)</f>
        <v>0</v>
      </c>
      <c r="H19" s="67" t="n">
        <f aca="false">IF(FA_DTL_Y2&lt;-1,1,0)</f>
        <v>0</v>
      </c>
      <c r="I19" s="67" t="n">
        <f aca="false">IF(FA_DTL_Y3&lt;-1,1,0)</f>
        <v>0</v>
      </c>
      <c r="J19" s="67" t="n">
        <f aca="false">IF(FA_DTL_Y4&lt;-1,1,0)</f>
        <v>0</v>
      </c>
      <c r="K19" s="67" t="n">
        <f aca="false">IF(FA_DTL_Y5&lt;-1,1,0)</f>
        <v>0</v>
      </c>
      <c r="L19" s="67" t="n">
        <f aca="false">IF(FA_DTL_Y6&lt;-1,1,0)</f>
        <v>0</v>
      </c>
      <c r="M19" s="68" t="n">
        <f aca="false">SUM(E19:L19)</f>
        <v>0</v>
      </c>
    </row>
    <row r="20" customFormat="false" ht="15" hidden="false" customHeight="true" outlineLevel="0" collapsed="false"/>
    <row r="21" customFormat="false" ht="15" hidden="false" customHeight="true" outlineLevel="0" collapsed="false">
      <c r="B21" s="4" t="s">
        <v>25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customFormat="false" ht="15" hidden="false" customHeight="true" outlineLevel="0" collapsed="false">
      <c r="B22" s="66" t="s">
        <v>24</v>
      </c>
      <c r="C22" s="9" t="s">
        <v>989</v>
      </c>
      <c r="D22" s="3" t="s">
        <v>990</v>
      </c>
      <c r="E22" s="67" t="n">
        <f aca="false">'16_CFS'!E31</f>
        <v>0</v>
      </c>
      <c r="F22" s="67" t="n">
        <f aca="false">'16_CFS'!F31</f>
        <v>0</v>
      </c>
      <c r="G22" s="67" t="n">
        <f aca="false">'16_CFS'!G31</f>
        <v>0</v>
      </c>
      <c r="H22" s="67" t="n">
        <f aca="false">'16_CFS'!H31</f>
        <v>0</v>
      </c>
      <c r="I22" s="67" t="n">
        <f aca="false">'16_CFS'!I31</f>
        <v>0</v>
      </c>
      <c r="J22" s="67" t="n">
        <f aca="false">'16_CFS'!J31</f>
        <v>0</v>
      </c>
      <c r="K22" s="67" t="n">
        <f aca="false">'16_CFS'!K31</f>
        <v>0</v>
      </c>
      <c r="L22" s="67" t="n">
        <f aca="false">'16_CFS'!L31</f>
        <v>0</v>
      </c>
      <c r="M22" s="68" t="n">
        <f aca="false">SUM(E22:L22)</f>
        <v>0</v>
      </c>
    </row>
    <row r="23" customFormat="false" ht="15" hidden="false" customHeight="true" outlineLevel="0" collapsed="false"/>
    <row r="24" customFormat="false" ht="15" hidden="false" customHeight="true" outlineLevel="0" collapsed="false">
      <c r="B24" s="4" t="s">
        <v>991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5" hidden="false" customHeight="true" outlineLevel="0" collapsed="false">
      <c r="B25" s="66" t="s">
        <v>26</v>
      </c>
      <c r="C25" s="9" t="s">
        <v>992</v>
      </c>
      <c r="D25" s="3" t="s">
        <v>993</v>
      </c>
      <c r="E25" s="67" t="n">
        <f aca="false">IF(ABS('14_IS'!E9-('14_IS'!E7+'14_IS'!E8))&lt;1,0,1)</f>
        <v>0</v>
      </c>
      <c r="F25" s="67" t="n">
        <f aca="false">IF(ABS('14_IS'!F9-('14_IS'!F7+'14_IS'!F8))&lt;1,0,1)</f>
        <v>0</v>
      </c>
      <c r="G25" s="67" t="n">
        <f aca="false">IF(ABS('14_IS'!G9-('14_IS'!G7+'14_IS'!G8))&lt;1,0,1)</f>
        <v>0</v>
      </c>
      <c r="H25" s="67" t="n">
        <f aca="false">IF(ABS('14_IS'!H9-('14_IS'!H7+'14_IS'!H8))&lt;1,0,1)</f>
        <v>0</v>
      </c>
      <c r="I25" s="67" t="n">
        <f aca="false">IF(ABS('14_IS'!I9-('14_IS'!I7+'14_IS'!I8))&lt;1,0,1)</f>
        <v>0</v>
      </c>
      <c r="J25" s="67" t="n">
        <f aca="false">IF(ABS('14_IS'!J9-('14_IS'!J7+'14_IS'!J8))&lt;1,0,1)</f>
        <v>0</v>
      </c>
      <c r="K25" s="67" t="n">
        <f aca="false">IF(ABS('14_IS'!K9-('14_IS'!K7+'14_IS'!K8))&lt;1,0,1)</f>
        <v>0</v>
      </c>
      <c r="L25" s="67" t="n">
        <f aca="false">IF(ABS('14_IS'!L9-('14_IS'!L7+'14_IS'!L8))&lt;1,0,1)</f>
        <v>0</v>
      </c>
      <c r="M25" s="68" t="n">
        <f aca="false">SUM(E25:L25)</f>
        <v>0</v>
      </c>
    </row>
    <row r="26" customFormat="false" ht="15" hidden="false" customHeight="true" outlineLevel="0" collapsed="false">
      <c r="B26" s="66" t="s">
        <v>28</v>
      </c>
      <c r="C26" s="9" t="s">
        <v>994</v>
      </c>
      <c r="D26" s="3" t="s">
        <v>995</v>
      </c>
      <c r="E26" s="67" t="n">
        <f aca="false">IF(ABS('14_IS'!E22-'13_Tax'!E12)&lt;1,0,1)</f>
        <v>0</v>
      </c>
      <c r="F26" s="67" t="n">
        <f aca="false">IF(ABS('14_IS'!F22-'13_Tax'!F12)&lt;1,0,1)</f>
        <v>0</v>
      </c>
      <c r="G26" s="67" t="n">
        <f aca="false">IF(ABS('14_IS'!G22-'13_Tax'!G12)&lt;1,0,1)</f>
        <v>0</v>
      </c>
      <c r="H26" s="67" t="n">
        <f aca="false">IF(ABS('14_IS'!H22-'13_Tax'!H12)&lt;1,0,1)</f>
        <v>0</v>
      </c>
      <c r="I26" s="67" t="n">
        <f aca="false">IF(ABS('14_IS'!I22-'13_Tax'!I12)&lt;1,0,1)</f>
        <v>0</v>
      </c>
      <c r="J26" s="67" t="n">
        <f aca="false">IF(ABS('14_IS'!J22-'13_Tax'!J12)&lt;1,0,1)</f>
        <v>0</v>
      </c>
      <c r="K26" s="67" t="n">
        <f aca="false">IF(ABS('14_IS'!K22-'13_Tax'!K12)&lt;1,0,1)</f>
        <v>0</v>
      </c>
      <c r="L26" s="67" t="n">
        <f aca="false">IF(ABS('14_IS'!L22-'13_Tax'!L12)&lt;1,0,1)</f>
        <v>0</v>
      </c>
      <c r="M26" s="68" t="n">
        <f aca="false">SUM(E26:L26)</f>
        <v>0</v>
      </c>
    </row>
    <row r="27" customFormat="false" ht="15" hidden="false" customHeight="true" outlineLevel="0" collapsed="false">
      <c r="B27" s="66" t="s">
        <v>30</v>
      </c>
      <c r="C27" s="9" t="s">
        <v>996</v>
      </c>
      <c r="D27" s="3" t="s">
        <v>997</v>
      </c>
      <c r="E27" s="67" t="n">
        <f aca="false">0</f>
        <v>0</v>
      </c>
      <c r="F27" s="67" t="n">
        <f aca="false">0</f>
        <v>0</v>
      </c>
      <c r="G27" s="67" t="n">
        <f aca="false">0</f>
        <v>0</v>
      </c>
      <c r="H27" s="67" t="n">
        <f aca="false">0</f>
        <v>0</v>
      </c>
      <c r="I27" s="67" t="n">
        <f aca="false">0</f>
        <v>0</v>
      </c>
      <c r="J27" s="67" t="n">
        <f aca="false">0</f>
        <v>0</v>
      </c>
      <c r="K27" s="67" t="n">
        <f aca="false">0</f>
        <v>0</v>
      </c>
      <c r="L27" s="67" t="n">
        <f aca="false">IF(REV_TOTAL_Y6&gt;0,0,1)</f>
        <v>0</v>
      </c>
      <c r="M27" s="68" t="n">
        <f aca="false">SUM(E27:L27)</f>
        <v>0</v>
      </c>
    </row>
    <row r="28" customFormat="false" ht="15" hidden="false" customHeight="true" outlineLevel="0" collapsed="false"/>
    <row r="29" customFormat="false" ht="15" hidden="false" customHeight="true" outlineLevel="0" collapsed="false">
      <c r="B29" s="1" t="s">
        <v>998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69" t="n">
        <f aca="false">SUM(M6:M28)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2026-05-26T15:11:56Z</dcterms:created>
  <dc:creator>openpyxl</dc:creator>
  <dc:description/>
  <dc:language>en-US</dc:language>
  <cp:lastModifiedBy/>
  <dcterms:modified xsi:type="dcterms:W3CDTF">2026-05-26T15:11:57Z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