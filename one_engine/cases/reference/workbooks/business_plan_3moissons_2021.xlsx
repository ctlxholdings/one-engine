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/>
  <mc:AlternateContent xmlns:mc="http://schemas.openxmlformats.org/markup-compatibility/2006">
    <mc:Choice Requires="x15">
      <x15ac:absPath xmlns:x15ac="http://schemas.microsoft.com/office/spreadsheetml/2010/11/ac" url="/Users/amiradoudouartine/Documents/HARAZ GROUP /BAGHARA/Wazir &amp; NAPL/3 Moissons 2021/"/>
    </mc:Choice>
  </mc:AlternateContent>
  <xr:revisionPtr revIDLastSave="0" documentId="13_ncr:1_{D86D64C3-072A-CC43-9970-637FE960C94A}" xr6:coauthVersionLast="47" xr6:coauthVersionMax="47" xr10:uidLastSave="{00000000-0000-0000-0000-000000000000}"/>
  <bookViews>
    <workbookView xWindow="0" yWindow="740" windowWidth="30240" windowHeight="18900" tabRatio="803" activeTab="3" xr2:uid="{00000000-000D-0000-FFFF-FFFF00000000}"/>
  </bookViews>
  <sheets>
    <sheet name="Basic Infrastructure" sheetId="22" r:id="rId1"/>
    <sheet name="Core Equipment " sheetId="20" r:id="rId2"/>
    <sheet name="Other Equipment" sheetId="1" r:id="rId3"/>
    <sheet name="Growing cost  assum" sheetId="23" r:id="rId4"/>
    <sheet name="Fin Assumptions" sheetId="3" r:id="rId5"/>
    <sheet name="Project Cost" sheetId="4" r:id="rId6"/>
    <sheet name="P&amp;L" sheetId="7" r:id="rId7"/>
    <sheet name="Debt" sheetId="6" r:id="rId8"/>
    <sheet name="Dep." sheetId="5" r:id="rId9"/>
    <sheet name="Sheet1" sheetId="12" state="hidden" r:id="rId10"/>
    <sheet name="Sheet2" sheetId="13" state="hidden" r:id="rId11"/>
    <sheet name="Sheet3" sheetId="14" state="hidden" r:id="rId12"/>
    <sheet name="Sheet4" sheetId="15" state="hidden" r:id="rId13"/>
    <sheet name="Sheet5" sheetId="16" state="hidden" r:id="rId14"/>
    <sheet name="Sheet6" sheetId="17" state="hidden" r:id="rId15"/>
    <sheet name="Sheet7" sheetId="18" state="hidden" r:id="rId16"/>
    <sheet name="Sheet8" sheetId="19" state="hidden" r:id="rId17"/>
  </sheets>
  <definedNames>
    <definedName name="_xlnm.Print_Titles" localSheetId="0">'Basic Infrastructure'!#REF!</definedName>
    <definedName name="_xlnm.Print_Titles" localSheetId="1">'Core Equipment '!#REF!</definedName>
    <definedName name="_xlnm.Print_Titles" localSheetId="2">'Other Equipment'!$1:$2</definedName>
  </definedName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35" i="22" l="1"/>
  <c r="F28" i="20" l="1"/>
  <c r="G28" i="20" s="1"/>
  <c r="F33" i="20"/>
  <c r="G33" i="20" s="1"/>
  <c r="E35" i="7"/>
  <c r="F35" i="7" s="1"/>
  <c r="G35" i="7" s="1"/>
  <c r="H35" i="7" s="1"/>
  <c r="I35" i="7" s="1"/>
  <c r="J35" i="7" s="1"/>
  <c r="K35" i="7" s="1"/>
  <c r="L35" i="7" s="1"/>
  <c r="M35" i="7" s="1"/>
  <c r="E34" i="7"/>
  <c r="F34" i="7" s="1"/>
  <c r="G34" i="7" s="1"/>
  <c r="H34" i="7" s="1"/>
  <c r="I34" i="7" s="1"/>
  <c r="J34" i="7" s="1"/>
  <c r="K34" i="7" s="1"/>
  <c r="L34" i="7" s="1"/>
  <c r="M34" i="7" s="1"/>
  <c r="C53" i="23"/>
  <c r="D53" i="23" s="1"/>
  <c r="E53" i="23" s="1"/>
  <c r="F53" i="23" s="1"/>
  <c r="G53" i="23" s="1"/>
  <c r="H53" i="23" s="1"/>
  <c r="I53" i="23" s="1"/>
  <c r="J53" i="23" s="1"/>
  <c r="K53" i="23" s="1"/>
  <c r="L53" i="23" s="1"/>
  <c r="C56" i="3"/>
  <c r="C55" i="3"/>
  <c r="J53" i="3"/>
  <c r="J52" i="3"/>
  <c r="D52" i="3"/>
  <c r="J51" i="3"/>
  <c r="D51" i="3"/>
  <c r="C51" i="3"/>
  <c r="J50" i="3"/>
  <c r="C50" i="3"/>
  <c r="D50" i="3" s="1"/>
  <c r="J49" i="3"/>
  <c r="C49" i="3"/>
  <c r="D49" i="3" s="1"/>
  <c r="J48" i="3"/>
  <c r="C48" i="3"/>
  <c r="D48" i="3" s="1"/>
  <c r="J47" i="3"/>
  <c r="D47" i="3"/>
  <c r="C47" i="3"/>
  <c r="D45" i="3"/>
  <c r="I44" i="3"/>
  <c r="I45" i="3" s="1"/>
  <c r="D44" i="3"/>
  <c r="J43" i="3"/>
  <c r="D43" i="3"/>
  <c r="J42" i="3"/>
  <c r="D42" i="3"/>
  <c r="C200" i="23"/>
  <c r="D200" i="23"/>
  <c r="E200" i="23"/>
  <c r="F200" i="23"/>
  <c r="G200" i="23"/>
  <c r="H200" i="23"/>
  <c r="I200" i="23"/>
  <c r="J200" i="23"/>
  <c r="K200" i="23"/>
  <c r="L200" i="23"/>
  <c r="C109" i="23"/>
  <c r="D152" i="23"/>
  <c r="E152" i="23" s="1"/>
  <c r="F152" i="23" s="1"/>
  <c r="G152" i="23" s="1"/>
  <c r="H152" i="23" s="1"/>
  <c r="I152" i="23" s="1"/>
  <c r="J152" i="23" s="1"/>
  <c r="K152" i="23" s="1"/>
  <c r="L152" i="23" s="1"/>
  <c r="D188" i="23"/>
  <c r="E188" i="23" s="1"/>
  <c r="F188" i="23" s="1"/>
  <c r="G188" i="23" s="1"/>
  <c r="H188" i="23" s="1"/>
  <c r="I188" i="23" s="1"/>
  <c r="J188" i="23" s="1"/>
  <c r="K188" i="23" s="1"/>
  <c r="L188" i="23" s="1"/>
  <c r="F34" i="20"/>
  <c r="G34" i="20" s="1"/>
  <c r="F32" i="20"/>
  <c r="G32" i="20" s="1"/>
  <c r="F31" i="20"/>
  <c r="G31" i="20" s="1"/>
  <c r="F6" i="20"/>
  <c r="G6" i="20" s="1"/>
  <c r="J45" i="3" l="1"/>
  <c r="I46" i="3"/>
  <c r="J46" i="3" s="1"/>
  <c r="D53" i="3"/>
  <c r="J44" i="3"/>
  <c r="F5" i="20"/>
  <c r="G5" i="20" s="1"/>
  <c r="F4" i="20"/>
  <c r="F29" i="20"/>
  <c r="G29" i="20" s="1"/>
  <c r="F30" i="20"/>
  <c r="G30" i="20" s="1"/>
  <c r="C201" i="23"/>
  <c r="B196" i="23"/>
  <c r="D196" i="23" s="1"/>
  <c r="B193" i="23"/>
  <c r="G193" i="23" s="1"/>
  <c r="D190" i="23"/>
  <c r="E190" i="23"/>
  <c r="F190" i="23"/>
  <c r="G190" i="23"/>
  <c r="H190" i="23"/>
  <c r="I190" i="23"/>
  <c r="J190" i="23"/>
  <c r="K190" i="23"/>
  <c r="L190" i="23"/>
  <c r="D191" i="23"/>
  <c r="E191" i="23"/>
  <c r="F191" i="23"/>
  <c r="G191" i="23"/>
  <c r="H191" i="23"/>
  <c r="I191" i="23"/>
  <c r="J191" i="23"/>
  <c r="K191" i="23"/>
  <c r="L191" i="23"/>
  <c r="E193" i="23"/>
  <c r="F193" i="23"/>
  <c r="I193" i="23"/>
  <c r="J193" i="23"/>
  <c r="D194" i="23"/>
  <c r="E194" i="23"/>
  <c r="F194" i="23"/>
  <c r="G194" i="23"/>
  <c r="H194" i="23"/>
  <c r="I194" i="23"/>
  <c r="J194" i="23"/>
  <c r="K194" i="23"/>
  <c r="L194" i="23"/>
  <c r="K196" i="23"/>
  <c r="D197" i="23"/>
  <c r="E197" i="23"/>
  <c r="F197" i="23"/>
  <c r="G197" i="23"/>
  <c r="H197" i="23"/>
  <c r="I197" i="23"/>
  <c r="J197" i="23"/>
  <c r="K197" i="23"/>
  <c r="L197" i="23"/>
  <c r="C190" i="23"/>
  <c r="C191" i="23"/>
  <c r="C194" i="23"/>
  <c r="C196" i="23"/>
  <c r="C197" i="23"/>
  <c r="D199" i="23"/>
  <c r="D201" i="23" s="1"/>
  <c r="B195" i="23"/>
  <c r="E195" i="23" s="1"/>
  <c r="B192" i="23"/>
  <c r="H192" i="23" s="1"/>
  <c r="B63" i="23"/>
  <c r="D170" i="23"/>
  <c r="E170" i="23" s="1"/>
  <c r="F170" i="23" s="1"/>
  <c r="G170" i="23" s="1"/>
  <c r="H170" i="23" s="1"/>
  <c r="I170" i="23" s="1"/>
  <c r="J170" i="23" s="1"/>
  <c r="K170" i="23" s="1"/>
  <c r="L170" i="23" s="1"/>
  <c r="D35" i="23"/>
  <c r="E35" i="23" s="1"/>
  <c r="F35" i="23" s="1"/>
  <c r="C36" i="23"/>
  <c r="D5" i="7" s="1"/>
  <c r="D23" i="23"/>
  <c r="E34" i="23"/>
  <c r="F34" i="23" s="1"/>
  <c r="G34" i="23" s="1"/>
  <c r="H34" i="23" s="1"/>
  <c r="I34" i="23" s="1"/>
  <c r="J34" i="23" s="1"/>
  <c r="K34" i="23" s="1"/>
  <c r="L34" i="23" s="1"/>
  <c r="B32" i="23"/>
  <c r="C32" i="23" s="1"/>
  <c r="B30" i="23"/>
  <c r="C30" i="23" s="1"/>
  <c r="B29" i="23"/>
  <c r="C29" i="23" s="1"/>
  <c r="A31" i="23"/>
  <c r="B9" i="23"/>
  <c r="B26" i="23"/>
  <c r="C26" i="23" s="1"/>
  <c r="B25" i="23"/>
  <c r="C25" i="23" s="1"/>
  <c r="D126" i="23"/>
  <c r="E126" i="23" s="1"/>
  <c r="F126" i="23" s="1"/>
  <c r="G126" i="23" s="1"/>
  <c r="H126" i="23" s="1"/>
  <c r="C44" i="23"/>
  <c r="D41" i="23"/>
  <c r="D44" i="23" s="1"/>
  <c r="C54" i="23"/>
  <c r="D6" i="7" s="1"/>
  <c r="H52" i="23"/>
  <c r="I52" i="23" s="1"/>
  <c r="J52" i="23" s="1"/>
  <c r="K52" i="23" s="1"/>
  <c r="L52" i="23" s="1"/>
  <c r="B50" i="23"/>
  <c r="C50" i="23" s="1"/>
  <c r="A49" i="23"/>
  <c r="B46" i="23"/>
  <c r="C46" i="23" s="1"/>
  <c r="B45" i="23"/>
  <c r="B27" i="23" s="1"/>
  <c r="C27" i="23" s="1"/>
  <c r="B43" i="23"/>
  <c r="B42" i="23"/>
  <c r="B24" i="23" s="1"/>
  <c r="D146" i="23"/>
  <c r="I145" i="23"/>
  <c r="J145" i="23" s="1"/>
  <c r="K145" i="23" s="1"/>
  <c r="L145" i="23" s="1"/>
  <c r="C145" i="23"/>
  <c r="C147" i="23" s="1"/>
  <c r="C163" i="23"/>
  <c r="D163" i="23" s="1"/>
  <c r="C110" i="23"/>
  <c r="D9" i="7" s="1"/>
  <c r="D108" i="23"/>
  <c r="E108" i="23" s="1"/>
  <c r="F108" i="23" s="1"/>
  <c r="G108" i="23" s="1"/>
  <c r="H108" i="23" s="1"/>
  <c r="I108" i="23" s="1"/>
  <c r="J108" i="23" s="1"/>
  <c r="K108" i="23" s="1"/>
  <c r="L108" i="23" s="1"/>
  <c r="D134" i="23"/>
  <c r="E134" i="23" s="1"/>
  <c r="F134" i="23" s="1"/>
  <c r="G134" i="23" s="1"/>
  <c r="H134" i="23" s="1"/>
  <c r="I134" i="23" s="1"/>
  <c r="J134" i="23" s="1"/>
  <c r="K134" i="23" s="1"/>
  <c r="L134" i="23" s="1"/>
  <c r="B141" i="23"/>
  <c r="B140" i="23"/>
  <c r="B139" i="23"/>
  <c r="B137" i="23"/>
  <c r="B136" i="23"/>
  <c r="D109" i="23"/>
  <c r="B99" i="23"/>
  <c r="C99" i="23" s="1"/>
  <c r="C106" i="23"/>
  <c r="D97" i="23"/>
  <c r="A105" i="23"/>
  <c r="D115" i="23"/>
  <c r="D127" i="23"/>
  <c r="E127" i="23" s="1"/>
  <c r="F127" i="23" s="1"/>
  <c r="G127" i="23" s="1"/>
  <c r="H127" i="23" s="1"/>
  <c r="I127" i="23" s="1"/>
  <c r="J127" i="23" s="1"/>
  <c r="K127" i="23" s="1"/>
  <c r="L127" i="23" s="1"/>
  <c r="B124" i="23"/>
  <c r="B122" i="23"/>
  <c r="B120" i="23"/>
  <c r="B119" i="23"/>
  <c r="B117" i="23"/>
  <c r="D59" i="23"/>
  <c r="E59" i="23" s="1"/>
  <c r="F59" i="23" s="1"/>
  <c r="G59" i="23" s="1"/>
  <c r="F26" i="20"/>
  <c r="G26" i="20" s="1"/>
  <c r="D182" i="23"/>
  <c r="G181" i="23"/>
  <c r="H181" i="23" s="1"/>
  <c r="I181" i="23" s="1"/>
  <c r="J181" i="23" s="1"/>
  <c r="K181" i="23" s="1"/>
  <c r="L181" i="23" s="1"/>
  <c r="C181" i="23"/>
  <c r="B68" i="23"/>
  <c r="B88" i="23"/>
  <c r="B161" i="23"/>
  <c r="B143" i="23" s="1"/>
  <c r="B179" i="23"/>
  <c r="B177" i="23"/>
  <c r="B175" i="23"/>
  <c r="B174" i="23"/>
  <c r="B173" i="23"/>
  <c r="B171" i="23"/>
  <c r="B189" i="23" s="1"/>
  <c r="F27" i="20"/>
  <c r="G27" i="20" s="1"/>
  <c r="F25" i="20"/>
  <c r="G25" i="20" s="1"/>
  <c r="B172" i="23"/>
  <c r="B157" i="23"/>
  <c r="F24" i="20"/>
  <c r="G24" i="20" s="1"/>
  <c r="B158" i="23"/>
  <c r="D91" i="23"/>
  <c r="E91" i="23" s="1"/>
  <c r="B83" i="23"/>
  <c r="C83" i="23" s="1"/>
  <c r="B156" i="23"/>
  <c r="B138" i="23" s="1"/>
  <c r="F138" i="23" s="1"/>
  <c r="D164" i="23"/>
  <c r="E164" i="23" s="1"/>
  <c r="F164" i="23" s="1"/>
  <c r="G164" i="23" s="1"/>
  <c r="B86" i="23"/>
  <c r="B159" i="23"/>
  <c r="B155" i="23"/>
  <c r="B154" i="23"/>
  <c r="E19" i="22"/>
  <c r="F19" i="22" s="1"/>
  <c r="D19" i="22"/>
  <c r="C92" i="23"/>
  <c r="D8" i="7" s="1"/>
  <c r="C82" i="23"/>
  <c r="C85" i="23"/>
  <c r="O80" i="23"/>
  <c r="O81" i="23" s="1"/>
  <c r="O82" i="23" s="1"/>
  <c r="D90" i="23"/>
  <c r="E90" i="23" s="1"/>
  <c r="F90" i="23" s="1"/>
  <c r="G90" i="23" s="1"/>
  <c r="H90" i="23" s="1"/>
  <c r="I90" i="23" s="1"/>
  <c r="J90" i="23" s="1"/>
  <c r="K90" i="23" s="1"/>
  <c r="L90" i="23" s="1"/>
  <c r="B84" i="23"/>
  <c r="B81" i="23"/>
  <c r="B80" i="23"/>
  <c r="B116" i="23" s="1"/>
  <c r="B135" i="23" s="1"/>
  <c r="A67" i="23"/>
  <c r="P62" i="23"/>
  <c r="P63" i="23" s="1"/>
  <c r="P64" i="23" s="1"/>
  <c r="P66" i="23" s="1"/>
  <c r="B67" i="23" s="1"/>
  <c r="C67" i="23" s="1"/>
  <c r="D67" i="23" s="1"/>
  <c r="E67" i="23" s="1"/>
  <c r="F67" i="23" s="1"/>
  <c r="G67" i="23" s="1"/>
  <c r="H67" i="23" s="1"/>
  <c r="I67" i="23" s="1"/>
  <c r="J67" i="23" s="1"/>
  <c r="K67" i="23" s="1"/>
  <c r="L67" i="23" s="1"/>
  <c r="P8" i="23"/>
  <c r="P9" i="23" s="1"/>
  <c r="P10" i="23" s="1"/>
  <c r="P12" i="23" s="1"/>
  <c r="B13" i="23" s="1"/>
  <c r="C13" i="23" s="1"/>
  <c r="D78" i="23"/>
  <c r="E78" i="23" s="1"/>
  <c r="F78" i="23" s="1"/>
  <c r="G78" i="23" s="1"/>
  <c r="H78" i="23" s="1"/>
  <c r="I78" i="23" s="1"/>
  <c r="J78" i="23" s="1"/>
  <c r="K78" i="23" s="1"/>
  <c r="L78" i="23" s="1"/>
  <c r="L195" i="23" l="1"/>
  <c r="D195" i="23"/>
  <c r="G192" i="23"/>
  <c r="C149" i="23"/>
  <c r="D11" i="7"/>
  <c r="C195" i="23"/>
  <c r="K195" i="23"/>
  <c r="F192" i="23"/>
  <c r="D13" i="23"/>
  <c r="J195" i="23"/>
  <c r="L193" i="23"/>
  <c r="H193" i="23"/>
  <c r="D193" i="23"/>
  <c r="D192" i="23"/>
  <c r="C193" i="23"/>
  <c r="I195" i="23"/>
  <c r="K193" i="23"/>
  <c r="L192" i="23"/>
  <c r="J56" i="3"/>
  <c r="K53" i="3" s="1"/>
  <c r="K189" i="23"/>
  <c r="K198" i="23" s="1"/>
  <c r="B198" i="23"/>
  <c r="G189" i="23"/>
  <c r="D189" i="23"/>
  <c r="L189" i="23"/>
  <c r="L198" i="23" s="1"/>
  <c r="C189" i="23"/>
  <c r="E189" i="23"/>
  <c r="J189" i="23"/>
  <c r="F189" i="23"/>
  <c r="H189" i="23"/>
  <c r="I189" i="23"/>
  <c r="J196" i="23"/>
  <c r="E199" i="23"/>
  <c r="I196" i="23"/>
  <c r="E192" i="23"/>
  <c r="C192" i="23"/>
  <c r="C198" i="23" s="1"/>
  <c r="C203" i="23" s="1"/>
  <c r="G196" i="23"/>
  <c r="H195" i="23"/>
  <c r="K192" i="23"/>
  <c r="F196" i="23"/>
  <c r="G195" i="23"/>
  <c r="G198" i="23" s="1"/>
  <c r="J192" i="23"/>
  <c r="H196" i="23"/>
  <c r="D198" i="23"/>
  <c r="D203" i="23" s="1"/>
  <c r="E196" i="23"/>
  <c r="F195" i="23"/>
  <c r="I192" i="23"/>
  <c r="L196" i="23"/>
  <c r="D136" i="23"/>
  <c r="J198" i="23"/>
  <c r="D25" i="23"/>
  <c r="C122" i="23"/>
  <c r="D99" i="23"/>
  <c r="C128" i="23"/>
  <c r="D10" i="7" s="1"/>
  <c r="E23" i="23"/>
  <c r="E26" i="23" s="1"/>
  <c r="D29" i="23"/>
  <c r="C121" i="23"/>
  <c r="D26" i="23"/>
  <c r="E24" i="23"/>
  <c r="C24" i="23"/>
  <c r="L139" i="23"/>
  <c r="D128" i="23"/>
  <c r="E10" i="7" s="1"/>
  <c r="B31" i="23"/>
  <c r="C31" i="23" s="1"/>
  <c r="D32" i="23"/>
  <c r="D24" i="23"/>
  <c r="E30" i="23"/>
  <c r="D27" i="23"/>
  <c r="D30" i="23"/>
  <c r="D36" i="23"/>
  <c r="E5" i="7" s="1"/>
  <c r="G35" i="23"/>
  <c r="D43" i="23"/>
  <c r="D54" i="23"/>
  <c r="E6" i="7" s="1"/>
  <c r="G141" i="23"/>
  <c r="E41" i="23"/>
  <c r="E45" i="23" s="1"/>
  <c r="C45" i="23"/>
  <c r="D50" i="23"/>
  <c r="D46" i="23"/>
  <c r="D42" i="23"/>
  <c r="D110" i="23"/>
  <c r="E9" i="7" s="1"/>
  <c r="E139" i="23"/>
  <c r="B49" i="23"/>
  <c r="C42" i="23"/>
  <c r="D45" i="23"/>
  <c r="G137" i="23"/>
  <c r="D140" i="23"/>
  <c r="D139" i="23"/>
  <c r="B47" i="23"/>
  <c r="C43" i="23"/>
  <c r="E143" i="23"/>
  <c r="I143" i="23"/>
  <c r="C143" i="23"/>
  <c r="D143" i="23"/>
  <c r="F143" i="23"/>
  <c r="J143" i="23"/>
  <c r="L143" i="23"/>
  <c r="G143" i="23"/>
  <c r="K143" i="23"/>
  <c r="H143" i="23"/>
  <c r="E135" i="23"/>
  <c r="I135" i="23"/>
  <c r="F135" i="23"/>
  <c r="J135" i="23"/>
  <c r="D135" i="23"/>
  <c r="L135" i="23"/>
  <c r="G135" i="23"/>
  <c r="K135" i="23"/>
  <c r="C135" i="23"/>
  <c r="H135" i="23"/>
  <c r="C138" i="23"/>
  <c r="F141" i="23"/>
  <c r="I138" i="23"/>
  <c r="E138" i="23"/>
  <c r="G136" i="23"/>
  <c r="C141" i="23"/>
  <c r="C137" i="23"/>
  <c r="I141" i="23"/>
  <c r="E141" i="23"/>
  <c r="J140" i="23"/>
  <c r="F140" i="23"/>
  <c r="K139" i="23"/>
  <c r="G139" i="23"/>
  <c r="L138" i="23"/>
  <c r="H138" i="23"/>
  <c r="D138" i="23"/>
  <c r="I137" i="23"/>
  <c r="E137" i="23"/>
  <c r="J136" i="23"/>
  <c r="F136" i="23"/>
  <c r="E146" i="23"/>
  <c r="F146" i="23" s="1"/>
  <c r="G146" i="23" s="1"/>
  <c r="H146" i="23" s="1"/>
  <c r="H147" i="23" s="1"/>
  <c r="K140" i="23"/>
  <c r="H139" i="23"/>
  <c r="J137" i="23"/>
  <c r="K136" i="23"/>
  <c r="C140" i="23"/>
  <c r="C136" i="23"/>
  <c r="L141" i="23"/>
  <c r="H141" i="23"/>
  <c r="D141" i="23"/>
  <c r="I140" i="23"/>
  <c r="E140" i="23"/>
  <c r="J139" i="23"/>
  <c r="F139" i="23"/>
  <c r="K138" i="23"/>
  <c r="G138" i="23"/>
  <c r="L137" i="23"/>
  <c r="H137" i="23"/>
  <c r="D137" i="23"/>
  <c r="I136" i="23"/>
  <c r="E136" i="23"/>
  <c r="D145" i="23"/>
  <c r="E145" i="23" s="1"/>
  <c r="F145" i="23" s="1"/>
  <c r="G145" i="23" s="1"/>
  <c r="J141" i="23"/>
  <c r="G140" i="23"/>
  <c r="F137" i="23"/>
  <c r="C139" i="23"/>
  <c r="K141" i="23"/>
  <c r="L140" i="23"/>
  <c r="H140" i="23"/>
  <c r="I139" i="23"/>
  <c r="J138" i="23"/>
  <c r="K137" i="23"/>
  <c r="L136" i="23"/>
  <c r="H136" i="23"/>
  <c r="B98" i="23"/>
  <c r="E97" i="23"/>
  <c r="D106" i="23"/>
  <c r="B105" i="23"/>
  <c r="E109" i="23"/>
  <c r="I126" i="23"/>
  <c r="J126" i="23" s="1"/>
  <c r="K126" i="23" s="1"/>
  <c r="C118" i="23"/>
  <c r="D117" i="23"/>
  <c r="D119" i="23"/>
  <c r="C116" i="23"/>
  <c r="D116" i="23"/>
  <c r="C117" i="23"/>
  <c r="D124" i="23"/>
  <c r="D120" i="23"/>
  <c r="E115" i="23"/>
  <c r="E117" i="23" s="1"/>
  <c r="D122" i="23"/>
  <c r="D118" i="23"/>
  <c r="C124" i="23"/>
  <c r="C119" i="23"/>
  <c r="D121" i="23"/>
  <c r="C120" i="23"/>
  <c r="C183" i="23"/>
  <c r="D13" i="7" s="1"/>
  <c r="D32" i="7"/>
  <c r="E32" i="7" s="1"/>
  <c r="F32" i="7" s="1"/>
  <c r="G32" i="7" s="1"/>
  <c r="H32" i="7" s="1"/>
  <c r="I32" i="7" s="1"/>
  <c r="J32" i="7" s="1"/>
  <c r="K32" i="7" s="1"/>
  <c r="L32" i="7" s="1"/>
  <c r="M32" i="7" s="1"/>
  <c r="H159" i="23"/>
  <c r="D157" i="23"/>
  <c r="H85" i="23"/>
  <c r="J156" i="23"/>
  <c r="G157" i="23"/>
  <c r="I154" i="23"/>
  <c r="F157" i="23"/>
  <c r="C155" i="23"/>
  <c r="E154" i="23"/>
  <c r="C158" i="23"/>
  <c r="L157" i="23"/>
  <c r="C172" i="23"/>
  <c r="H82" i="23"/>
  <c r="D81" i="23"/>
  <c r="F85" i="23"/>
  <c r="H84" i="23"/>
  <c r="D85" i="23"/>
  <c r="I82" i="23"/>
  <c r="E85" i="23"/>
  <c r="D82" i="23"/>
  <c r="F86" i="23"/>
  <c r="C179" i="23"/>
  <c r="K81" i="23"/>
  <c r="G84" i="23"/>
  <c r="E88" i="23"/>
  <c r="C165" i="23"/>
  <c r="D12" i="7" s="1"/>
  <c r="C177" i="23"/>
  <c r="E182" i="23"/>
  <c r="F84" i="23"/>
  <c r="C176" i="23"/>
  <c r="E80" i="23"/>
  <c r="E86" i="23"/>
  <c r="L82" i="23"/>
  <c r="C157" i="23"/>
  <c r="C175" i="23"/>
  <c r="L85" i="23"/>
  <c r="J82" i="23"/>
  <c r="I155" i="23"/>
  <c r="C174" i="23"/>
  <c r="C171" i="23"/>
  <c r="C173" i="23"/>
  <c r="L80" i="23"/>
  <c r="J80" i="23"/>
  <c r="E163" i="23"/>
  <c r="L86" i="23"/>
  <c r="J81" i="23"/>
  <c r="K86" i="23"/>
  <c r="B153" i="23"/>
  <c r="C84" i="23"/>
  <c r="J86" i="23"/>
  <c r="K85" i="23"/>
  <c r="L84" i="23"/>
  <c r="D84" i="23"/>
  <c r="G82" i="23"/>
  <c r="H81" i="23"/>
  <c r="I80" i="23"/>
  <c r="F88" i="23"/>
  <c r="C154" i="23"/>
  <c r="E84" i="23"/>
  <c r="I86" i="23"/>
  <c r="J85" i="23"/>
  <c r="K84" i="23"/>
  <c r="I83" i="23"/>
  <c r="F82" i="23"/>
  <c r="G81" i="23"/>
  <c r="H80" i="23"/>
  <c r="L155" i="23"/>
  <c r="J83" i="23"/>
  <c r="C86" i="23"/>
  <c r="K80" i="23"/>
  <c r="I81" i="23"/>
  <c r="H86" i="23"/>
  <c r="I85" i="23"/>
  <c r="J84" i="23"/>
  <c r="E83" i="23"/>
  <c r="E82" i="23"/>
  <c r="F81" i="23"/>
  <c r="G80" i="23"/>
  <c r="L154" i="23"/>
  <c r="D80" i="23"/>
  <c r="D86" i="23"/>
  <c r="G86" i="23"/>
  <c r="I84" i="23"/>
  <c r="E81" i="23"/>
  <c r="F80" i="23"/>
  <c r="C81" i="23"/>
  <c r="C80" i="23"/>
  <c r="G85" i="23"/>
  <c r="K82" i="23"/>
  <c r="L81" i="23"/>
  <c r="C159" i="23"/>
  <c r="L159" i="23"/>
  <c r="G83" i="23"/>
  <c r="H83" i="23"/>
  <c r="F83" i="23"/>
  <c r="D83" i="23"/>
  <c r="K83" i="23"/>
  <c r="L83" i="23"/>
  <c r="C156" i="23"/>
  <c r="L156" i="23"/>
  <c r="H164" i="23"/>
  <c r="I164" i="23" s="1"/>
  <c r="J164" i="23" s="1"/>
  <c r="K164" i="23" s="1"/>
  <c r="L164" i="23" s="1"/>
  <c r="F91" i="23"/>
  <c r="E92" i="23"/>
  <c r="F8" i="7" s="1"/>
  <c r="D92" i="23"/>
  <c r="E8" i="7" s="1"/>
  <c r="C161" i="23"/>
  <c r="L161" i="23"/>
  <c r="L158" i="23"/>
  <c r="I88" i="23"/>
  <c r="C88" i="23"/>
  <c r="L88" i="23"/>
  <c r="D88" i="23"/>
  <c r="K88" i="23"/>
  <c r="J88" i="23"/>
  <c r="H88" i="23"/>
  <c r="G88" i="23"/>
  <c r="O84" i="23"/>
  <c r="B87" i="23" s="1"/>
  <c r="E198" i="23" l="1"/>
  <c r="E13" i="23"/>
  <c r="H149" i="23"/>
  <c r="I11" i="7"/>
  <c r="F198" i="23"/>
  <c r="I198" i="23"/>
  <c r="C98" i="23"/>
  <c r="E203" i="23"/>
  <c r="E201" i="23"/>
  <c r="F199" i="23"/>
  <c r="H198" i="23"/>
  <c r="E29" i="23"/>
  <c r="F23" i="23"/>
  <c r="F36" i="23" s="1"/>
  <c r="G5" i="7" s="1"/>
  <c r="E36" i="23"/>
  <c r="F5" i="7" s="1"/>
  <c r="E147" i="23"/>
  <c r="E161" i="23"/>
  <c r="E155" i="23"/>
  <c r="E159" i="23"/>
  <c r="E156" i="23"/>
  <c r="E25" i="23"/>
  <c r="E32" i="23"/>
  <c r="E27" i="23"/>
  <c r="F24" i="23"/>
  <c r="F32" i="23"/>
  <c r="F25" i="23"/>
  <c r="F26" i="23"/>
  <c r="F30" i="23"/>
  <c r="F27" i="23"/>
  <c r="E128" i="23"/>
  <c r="F10" i="7" s="1"/>
  <c r="I146" i="23"/>
  <c r="J146" i="23" s="1"/>
  <c r="E31" i="23"/>
  <c r="D31" i="23"/>
  <c r="H35" i="23"/>
  <c r="D98" i="23"/>
  <c r="D49" i="23"/>
  <c r="E49" i="23"/>
  <c r="C49" i="23"/>
  <c r="E47" i="23"/>
  <c r="C47" i="23"/>
  <c r="B48" i="23"/>
  <c r="B51" i="23" s="1"/>
  <c r="D47" i="23"/>
  <c r="F41" i="23"/>
  <c r="F49" i="23" s="1"/>
  <c r="E44" i="23"/>
  <c r="E42" i="23"/>
  <c r="E46" i="23"/>
  <c r="E50" i="23"/>
  <c r="E54" i="23"/>
  <c r="F6" i="7" s="1"/>
  <c r="E43" i="23"/>
  <c r="E110" i="23"/>
  <c r="D161" i="23"/>
  <c r="D147" i="23"/>
  <c r="G147" i="23"/>
  <c r="F147" i="23"/>
  <c r="E99" i="23"/>
  <c r="E106" i="23"/>
  <c r="F97" i="23"/>
  <c r="C105" i="23"/>
  <c r="E105" i="23"/>
  <c r="D105" i="23"/>
  <c r="E98" i="23"/>
  <c r="F109" i="23"/>
  <c r="F156" i="23"/>
  <c r="E120" i="23"/>
  <c r="F159" i="23"/>
  <c r="E124" i="23"/>
  <c r="B160" i="23"/>
  <c r="B123" i="23"/>
  <c r="F158" i="23"/>
  <c r="E116" i="23"/>
  <c r="F115" i="23"/>
  <c r="F128" i="23" s="1"/>
  <c r="G10" i="7" s="1"/>
  <c r="E118" i="23"/>
  <c r="E121" i="23"/>
  <c r="E122" i="23"/>
  <c r="F161" i="23"/>
  <c r="E119" i="23"/>
  <c r="L126" i="23"/>
  <c r="I158" i="23"/>
  <c r="I161" i="23"/>
  <c r="E158" i="23"/>
  <c r="E157" i="23"/>
  <c r="F155" i="23"/>
  <c r="F154" i="23"/>
  <c r="D165" i="23"/>
  <c r="E12" i="7" s="1"/>
  <c r="G155" i="23"/>
  <c r="J157" i="23"/>
  <c r="D158" i="23"/>
  <c r="H158" i="23"/>
  <c r="H156" i="23"/>
  <c r="D154" i="23"/>
  <c r="I159" i="23"/>
  <c r="G158" i="23"/>
  <c r="G156" i="23"/>
  <c r="G154" i="23"/>
  <c r="G159" i="23"/>
  <c r="G161" i="23"/>
  <c r="I157" i="23"/>
  <c r="I156" i="23"/>
  <c r="F182" i="23"/>
  <c r="F163" i="23"/>
  <c r="E165" i="23"/>
  <c r="F12" i="7" s="1"/>
  <c r="J158" i="23"/>
  <c r="K154" i="23"/>
  <c r="K159" i="23"/>
  <c r="K157" i="23"/>
  <c r="E87" i="23"/>
  <c r="F87" i="23"/>
  <c r="D87" i="23"/>
  <c r="G87" i="23"/>
  <c r="L87" i="23"/>
  <c r="H87" i="23"/>
  <c r="J87" i="23"/>
  <c r="K87" i="23"/>
  <c r="K89" i="23" s="1"/>
  <c r="I87" i="23"/>
  <c r="I89" i="23" s="1"/>
  <c r="C87" i="23"/>
  <c r="C89" i="23" s="1"/>
  <c r="C94" i="23" s="1"/>
  <c r="K158" i="23"/>
  <c r="K161" i="23"/>
  <c r="J159" i="23"/>
  <c r="J155" i="23"/>
  <c r="K153" i="23"/>
  <c r="D153" i="23"/>
  <c r="L153" i="23"/>
  <c r="J153" i="23"/>
  <c r="E153" i="23"/>
  <c r="C153" i="23"/>
  <c r="H153" i="23"/>
  <c r="F153" i="23"/>
  <c r="G153" i="23"/>
  <c r="I153" i="23"/>
  <c r="K156" i="23"/>
  <c r="H154" i="23"/>
  <c r="H155" i="23"/>
  <c r="K155" i="23"/>
  <c r="D159" i="23"/>
  <c r="J161" i="23"/>
  <c r="B89" i="23"/>
  <c r="H161" i="23"/>
  <c r="D156" i="23"/>
  <c r="H157" i="23"/>
  <c r="D155" i="23"/>
  <c r="J154" i="23"/>
  <c r="G91" i="23"/>
  <c r="F92" i="23"/>
  <c r="G8" i="7" s="1"/>
  <c r="D71" i="23"/>
  <c r="C60" i="23"/>
  <c r="B101" i="23"/>
  <c r="C9" i="23"/>
  <c r="F70" i="23"/>
  <c r="G70" i="23" s="1"/>
  <c r="H70" i="23" s="1"/>
  <c r="I70" i="23" s="1"/>
  <c r="J70" i="23" s="1"/>
  <c r="K70" i="23" s="1"/>
  <c r="L70" i="23" s="1"/>
  <c r="C68" i="23"/>
  <c r="B66" i="23"/>
  <c r="B104" i="23" s="1"/>
  <c r="B62" i="23"/>
  <c r="B100" i="23" s="1"/>
  <c r="B61" i="23"/>
  <c r="B65" i="23"/>
  <c r="B103" i="23" s="1"/>
  <c r="D5" i="23"/>
  <c r="D17" i="23"/>
  <c r="C6" i="23"/>
  <c r="D19" i="7" s="1"/>
  <c r="B7" i="23"/>
  <c r="C7" i="23" s="1"/>
  <c r="P16" i="23"/>
  <c r="P15" i="23"/>
  <c r="Q15" i="23" s="1"/>
  <c r="O16" i="23"/>
  <c r="G16" i="23"/>
  <c r="H16" i="23" s="1"/>
  <c r="I16" i="23" s="1"/>
  <c r="J16" i="23" s="1"/>
  <c r="K16" i="23" s="1"/>
  <c r="L16" i="23" s="1"/>
  <c r="F16" i="23"/>
  <c r="E16" i="23"/>
  <c r="D16" i="23"/>
  <c r="C16" i="23"/>
  <c r="B14" i="23"/>
  <c r="B12" i="23"/>
  <c r="C12" i="23" s="1"/>
  <c r="B11" i="23"/>
  <c r="C11" i="23" s="1"/>
  <c r="B8" i="23"/>
  <c r="N6" i="23"/>
  <c r="F11" i="20"/>
  <c r="G11" i="20" s="1"/>
  <c r="E9" i="1"/>
  <c r="E8" i="1"/>
  <c r="E7" i="1"/>
  <c r="E6" i="1"/>
  <c r="E5" i="1"/>
  <c r="E4" i="1"/>
  <c r="E3" i="1"/>
  <c r="F3" i="1" s="1"/>
  <c r="F29" i="22"/>
  <c r="E29" i="22"/>
  <c r="F23" i="20"/>
  <c r="G23" i="20" s="1"/>
  <c r="F22" i="20"/>
  <c r="G22" i="20" s="1"/>
  <c r="F21" i="20"/>
  <c r="G21" i="20" s="1"/>
  <c r="F20" i="20"/>
  <c r="G20" i="20" s="1"/>
  <c r="F19" i="20"/>
  <c r="G19" i="20" s="1"/>
  <c r="F18" i="20"/>
  <c r="G18" i="20" s="1"/>
  <c r="F17" i="20"/>
  <c r="G17" i="20" s="1"/>
  <c r="F16" i="20"/>
  <c r="G16" i="20" s="1"/>
  <c r="F15" i="20"/>
  <c r="G15" i="20" s="1"/>
  <c r="F14" i="20"/>
  <c r="G14" i="20" s="1"/>
  <c r="F13" i="20"/>
  <c r="G13" i="20" s="1"/>
  <c r="F12" i="20"/>
  <c r="F10" i="20"/>
  <c r="G10" i="20" s="1"/>
  <c r="F7" i="20"/>
  <c r="F8" i="20" s="1"/>
  <c r="G8" i="20" s="1"/>
  <c r="D7" i="20"/>
  <c r="G4" i="20"/>
  <c r="F3" i="20"/>
  <c r="G3" i="20" s="1"/>
  <c r="F2" i="20"/>
  <c r="G2" i="20" s="1"/>
  <c r="L18" i="22"/>
  <c r="L19" i="22"/>
  <c r="L20" i="22"/>
  <c r="L21" i="22"/>
  <c r="E30" i="22"/>
  <c r="F30" i="22" s="1"/>
  <c r="N15" i="22"/>
  <c r="L12" i="22"/>
  <c r="L13" i="22"/>
  <c r="L14" i="22"/>
  <c r="L16" i="22"/>
  <c r="L17" i="22"/>
  <c r="L11" i="22"/>
  <c r="E27" i="22"/>
  <c r="F27" i="22" s="1"/>
  <c r="E26" i="22"/>
  <c r="F26" i="22" s="1"/>
  <c r="F25" i="22"/>
  <c r="D16" i="22"/>
  <c r="E17" i="22"/>
  <c r="E15" i="22"/>
  <c r="E18" i="22" s="1"/>
  <c r="E16" i="22"/>
  <c r="E14" i="22"/>
  <c r="F14" i="22" s="1"/>
  <c r="L6" i="22"/>
  <c r="K6" i="22"/>
  <c r="E9" i="22"/>
  <c r="F9" i="22" s="1"/>
  <c r="E8" i="22"/>
  <c r="F8" i="22" s="1"/>
  <c r="F4" i="22"/>
  <c r="G12" i="20"/>
  <c r="D4" i="1"/>
  <c r="D5" i="1" s="1"/>
  <c r="F5" i="1" s="1"/>
  <c r="F4" i="1"/>
  <c r="D6" i="1"/>
  <c r="D7" i="1"/>
  <c r="F7" i="1" s="1"/>
  <c r="D83" i="7"/>
  <c r="B6" i="3"/>
  <c r="E4" i="20"/>
  <c r="E8" i="20" s="1"/>
  <c r="E9" i="20" s="1"/>
  <c r="E10" i="20" s="1"/>
  <c r="E12" i="20" s="1"/>
  <c r="M102" i="7"/>
  <c r="F63" i="6"/>
  <c r="G63" i="6" s="1"/>
  <c r="H63" i="6" s="1"/>
  <c r="I63" i="6" s="1"/>
  <c r="J63" i="6" s="1"/>
  <c r="K63" i="6" s="1"/>
  <c r="L63" i="6" s="1"/>
  <c r="M63" i="6" s="1"/>
  <c r="E89" i="7"/>
  <c r="F89" i="7"/>
  <c r="G89" i="7"/>
  <c r="H89" i="7"/>
  <c r="I89" i="7"/>
  <c r="J89" i="7"/>
  <c r="K89" i="7"/>
  <c r="L89" i="7"/>
  <c r="D89" i="7"/>
  <c r="F78" i="7"/>
  <c r="G78" i="7"/>
  <c r="I78" i="7"/>
  <c r="H78" i="7"/>
  <c r="J78" i="7" s="1"/>
  <c r="C3" i="5"/>
  <c r="C4" i="5"/>
  <c r="C31" i="5" s="1"/>
  <c r="C6" i="5"/>
  <c r="B3" i="5"/>
  <c r="B4" i="5"/>
  <c r="B5" i="5"/>
  <c r="B6" i="5"/>
  <c r="G166" i="15"/>
  <c r="F71" i="14"/>
  <c r="G75" i="13"/>
  <c r="G65" i="12"/>
  <c r="F59" i="12"/>
  <c r="F58" i="12"/>
  <c r="F57" i="12"/>
  <c r="F56" i="12"/>
  <c r="F55" i="12"/>
  <c r="F54" i="12"/>
  <c r="F53" i="12"/>
  <c r="F51" i="12"/>
  <c r="F50" i="12"/>
  <c r="F49" i="12"/>
  <c r="F48" i="12"/>
  <c r="F47" i="12"/>
  <c r="F46" i="12"/>
  <c r="F45" i="12"/>
  <c r="F43" i="12"/>
  <c r="F42" i="12"/>
  <c r="F41" i="12"/>
  <c r="F40" i="12"/>
  <c r="F39" i="12"/>
  <c r="F38" i="12"/>
  <c r="F37" i="12"/>
  <c r="F36" i="12"/>
  <c r="F35" i="12"/>
  <c r="F34" i="12"/>
  <c r="F32" i="12"/>
  <c r="F31" i="12"/>
  <c r="F30" i="12"/>
  <c r="F29" i="12"/>
  <c r="F28" i="12"/>
  <c r="F27" i="12"/>
  <c r="F26" i="12"/>
  <c r="F25" i="12"/>
  <c r="F24" i="12"/>
  <c r="F20" i="12"/>
  <c r="F19" i="12"/>
  <c r="F18" i="12"/>
  <c r="F17" i="12"/>
  <c r="F15" i="12"/>
  <c r="F13" i="12"/>
  <c r="F12" i="12"/>
  <c r="F10" i="12"/>
  <c r="F9" i="12"/>
  <c r="F8" i="12"/>
  <c r="F7" i="12"/>
  <c r="A6" i="5"/>
  <c r="A19" i="5" s="1"/>
  <c r="A25" i="5" s="1"/>
  <c r="A33" i="5" s="1"/>
  <c r="A40" i="5" s="1"/>
  <c r="A5" i="5"/>
  <c r="A18" i="5" s="1"/>
  <c r="A24" i="5" s="1"/>
  <c r="A32" i="5" s="1"/>
  <c r="A39" i="5" s="1"/>
  <c r="A4" i="5"/>
  <c r="A17" i="5" s="1"/>
  <c r="A23" i="5" s="1"/>
  <c r="A31" i="5" s="1"/>
  <c r="A38" i="5" s="1"/>
  <c r="A3" i="5"/>
  <c r="A15" i="5" s="1"/>
  <c r="A22" i="5" s="1"/>
  <c r="A30" i="5" s="1"/>
  <c r="A37" i="5" s="1"/>
  <c r="C5" i="5"/>
  <c r="C149" i="7"/>
  <c r="E207" i="7"/>
  <c r="E220" i="7" s="1"/>
  <c r="G207" i="7"/>
  <c r="G220" i="7" s="1"/>
  <c r="I207" i="7"/>
  <c r="I220" i="7" s="1"/>
  <c r="K207" i="7"/>
  <c r="K220" i="7" s="1"/>
  <c r="F207" i="7"/>
  <c r="F220" i="7" s="1"/>
  <c r="H207" i="7"/>
  <c r="H220" i="7" s="1"/>
  <c r="J207" i="7"/>
  <c r="J220" i="7" s="1"/>
  <c r="L207" i="7"/>
  <c r="L220" i="7" s="1"/>
  <c r="D207" i="7"/>
  <c r="D220" i="7" s="1"/>
  <c r="F4" i="6"/>
  <c r="L4" i="6"/>
  <c r="E78" i="7"/>
  <c r="M167" i="7"/>
  <c r="M158" i="7"/>
  <c r="F6" i="6"/>
  <c r="F5" i="6"/>
  <c r="F7" i="6"/>
  <c r="D166" i="7"/>
  <c r="F9" i="6"/>
  <c r="F8" i="6"/>
  <c r="D150" i="7"/>
  <c r="D133" i="7"/>
  <c r="D203" i="7" s="1"/>
  <c r="L5" i="6"/>
  <c r="L6" i="6"/>
  <c r="L7" i="6"/>
  <c r="L8" i="6"/>
  <c r="L9" i="6"/>
  <c r="K114" i="7"/>
  <c r="L114" i="7"/>
  <c r="F149" i="23" l="1"/>
  <c r="G11" i="7"/>
  <c r="F9" i="7"/>
  <c r="F13" i="23"/>
  <c r="D8" i="1"/>
  <c r="F105" i="23"/>
  <c r="G149" i="23"/>
  <c r="H11" i="7"/>
  <c r="F31" i="23"/>
  <c r="F29" i="23"/>
  <c r="G23" i="23"/>
  <c r="G24" i="23" s="1"/>
  <c r="E149" i="23"/>
  <c r="F11" i="7"/>
  <c r="D149" i="23"/>
  <c r="E11" i="7"/>
  <c r="F6" i="1"/>
  <c r="G199" i="23"/>
  <c r="F201" i="23"/>
  <c r="F203" i="23" s="1"/>
  <c r="I147" i="23"/>
  <c r="G27" i="23"/>
  <c r="G31" i="23"/>
  <c r="G25" i="23"/>
  <c r="G29" i="23"/>
  <c r="G36" i="23"/>
  <c r="H5" i="7" s="1"/>
  <c r="F110" i="23"/>
  <c r="I35" i="23"/>
  <c r="E51" i="23"/>
  <c r="E56" i="23" s="1"/>
  <c r="C51" i="23"/>
  <c r="C56" i="23" s="1"/>
  <c r="F51" i="23"/>
  <c r="D51" i="23"/>
  <c r="D56" i="23" s="1"/>
  <c r="D48" i="23"/>
  <c r="E48" i="23"/>
  <c r="C48" i="23"/>
  <c r="F48" i="23"/>
  <c r="G41" i="23"/>
  <c r="G51" i="23" s="1"/>
  <c r="F54" i="23"/>
  <c r="G6" i="7" s="1"/>
  <c r="F44" i="23"/>
  <c r="F45" i="23"/>
  <c r="F50" i="23"/>
  <c r="F43" i="23"/>
  <c r="F42" i="23"/>
  <c r="F46" i="23"/>
  <c r="F47" i="23"/>
  <c r="B178" i="23"/>
  <c r="C178" i="23" s="1"/>
  <c r="B142" i="23"/>
  <c r="J147" i="23"/>
  <c r="K146" i="23"/>
  <c r="B180" i="23"/>
  <c r="B182" i="23" s="1"/>
  <c r="E101" i="23"/>
  <c r="D101" i="23"/>
  <c r="C101" i="23"/>
  <c r="F101" i="23"/>
  <c r="D103" i="23"/>
  <c r="E103" i="23"/>
  <c r="C103" i="23"/>
  <c r="F103" i="23"/>
  <c r="E100" i="23"/>
  <c r="F100" i="23"/>
  <c r="C100" i="23"/>
  <c r="D100" i="23"/>
  <c r="G97" i="23"/>
  <c r="F106" i="23"/>
  <c r="F99" i="23"/>
  <c r="F98" i="23"/>
  <c r="G104" i="23"/>
  <c r="E104" i="23"/>
  <c r="D104" i="23"/>
  <c r="C104" i="23"/>
  <c r="F104" i="23"/>
  <c r="G109" i="23"/>
  <c r="C123" i="23"/>
  <c r="D123" i="23"/>
  <c r="E123" i="23"/>
  <c r="B125" i="23"/>
  <c r="F123" i="23"/>
  <c r="G115" i="23"/>
  <c r="G128" i="23" s="1"/>
  <c r="H10" i="7" s="1"/>
  <c r="F120" i="23"/>
  <c r="F122" i="23"/>
  <c r="F124" i="23"/>
  <c r="F118" i="23"/>
  <c r="F119" i="23"/>
  <c r="F117" i="23"/>
  <c r="F121" i="23"/>
  <c r="F116" i="23"/>
  <c r="D176" i="23"/>
  <c r="D173" i="23"/>
  <c r="D183" i="23"/>
  <c r="D172" i="23"/>
  <c r="D174" i="23"/>
  <c r="D177" i="23"/>
  <c r="D171" i="23"/>
  <c r="D179" i="23"/>
  <c r="D175" i="23"/>
  <c r="D89" i="23"/>
  <c r="D94" i="23" s="1"/>
  <c r="F89" i="23"/>
  <c r="F94" i="23" s="1"/>
  <c r="E89" i="23"/>
  <c r="E94" i="23" s="1"/>
  <c r="G89" i="23"/>
  <c r="D14" i="23"/>
  <c r="J89" i="23"/>
  <c r="H89" i="23"/>
  <c r="G182" i="23"/>
  <c r="L89" i="23"/>
  <c r="D50" i="6"/>
  <c r="G163" i="23"/>
  <c r="F165" i="23"/>
  <c r="G12" i="7" s="1"/>
  <c r="K160" i="23"/>
  <c r="K162" i="23" s="1"/>
  <c r="D160" i="23"/>
  <c r="D162" i="23" s="1"/>
  <c r="D167" i="23" s="1"/>
  <c r="L160" i="23"/>
  <c r="L162" i="23" s="1"/>
  <c r="C160" i="23"/>
  <c r="C162" i="23" s="1"/>
  <c r="C167" i="23" s="1"/>
  <c r="E160" i="23"/>
  <c r="E162" i="23" s="1"/>
  <c r="E167" i="23" s="1"/>
  <c r="F160" i="23"/>
  <c r="F162" i="23" s="1"/>
  <c r="G160" i="23"/>
  <c r="G162" i="23" s="1"/>
  <c r="H160" i="23"/>
  <c r="H162" i="23" s="1"/>
  <c r="I160" i="23"/>
  <c r="I162" i="23" s="1"/>
  <c r="J160" i="23"/>
  <c r="J162" i="23" s="1"/>
  <c r="B162" i="23"/>
  <c r="H91" i="23"/>
  <c r="G92" i="23"/>
  <c r="G7" i="20"/>
  <c r="F35" i="20" s="1"/>
  <c r="F9" i="20"/>
  <c r="G9" i="20" s="1"/>
  <c r="D62" i="23"/>
  <c r="D7" i="23"/>
  <c r="D63" i="23"/>
  <c r="C72" i="23"/>
  <c r="D7" i="7" s="1"/>
  <c r="D9" i="23"/>
  <c r="D6" i="23"/>
  <c r="C14" i="23"/>
  <c r="D27" i="7" s="1"/>
  <c r="D12" i="23"/>
  <c r="C63" i="23"/>
  <c r="D22" i="7" s="1"/>
  <c r="E71" i="23"/>
  <c r="F71" i="23" s="1"/>
  <c r="D72" i="23"/>
  <c r="E7" i="7" s="1"/>
  <c r="D18" i="23"/>
  <c r="E4" i="7" s="1"/>
  <c r="E17" i="23"/>
  <c r="C8" i="23"/>
  <c r="D8" i="23"/>
  <c r="E21" i="7" s="1"/>
  <c r="C62" i="23"/>
  <c r="D61" i="23"/>
  <c r="C61" i="23"/>
  <c r="D20" i="7" s="1"/>
  <c r="D60" i="23"/>
  <c r="Q16" i="23"/>
  <c r="Q17" i="23" s="1"/>
  <c r="D11" i="23"/>
  <c r="D68" i="23"/>
  <c r="E5" i="23"/>
  <c r="D66" i="23"/>
  <c r="C18" i="23"/>
  <c r="D4" i="7" s="1"/>
  <c r="C66" i="23"/>
  <c r="D25" i="7" s="1"/>
  <c r="D65" i="23"/>
  <c r="C65" i="23"/>
  <c r="D24" i="7" s="1"/>
  <c r="L22" i="22"/>
  <c r="F28" i="22" s="1"/>
  <c r="F31" i="22" s="1"/>
  <c r="F15" i="22"/>
  <c r="F16" i="22"/>
  <c r="D17" i="22"/>
  <c r="M6" i="22"/>
  <c r="E14" i="20"/>
  <c r="E15" i="20" s="1"/>
  <c r="E16" i="20" s="1"/>
  <c r="E17" i="20" s="1"/>
  <c r="E18" i="20" s="1"/>
  <c r="E13" i="20"/>
  <c r="I6" i="1"/>
  <c r="I7" i="1"/>
  <c r="I5" i="1"/>
  <c r="I4" i="1"/>
  <c r="G10" i="1"/>
  <c r="D9" i="1" l="1"/>
  <c r="F9" i="1" s="1"/>
  <c r="I9" i="1" s="1"/>
  <c r="F8" i="1"/>
  <c r="D21" i="7"/>
  <c r="E19" i="7"/>
  <c r="E20" i="7"/>
  <c r="E27" i="7"/>
  <c r="J149" i="23"/>
  <c r="K11" i="7"/>
  <c r="G30" i="23"/>
  <c r="G32" i="23"/>
  <c r="H23" i="23"/>
  <c r="H36" i="23" s="1"/>
  <c r="I5" i="7" s="1"/>
  <c r="D16" i="7"/>
  <c r="E24" i="7"/>
  <c r="E22" i="7"/>
  <c r="G103" i="23"/>
  <c r="G26" i="23"/>
  <c r="I149" i="23"/>
  <c r="J11" i="7"/>
  <c r="G13" i="23"/>
  <c r="E25" i="7"/>
  <c r="G9" i="7"/>
  <c r="F56" i="23"/>
  <c r="H199" i="23"/>
  <c r="G201" i="23"/>
  <c r="G203" i="23" s="1"/>
  <c r="G35" i="20"/>
  <c r="G36" i="20" s="1"/>
  <c r="G48" i="23"/>
  <c r="D180" i="23"/>
  <c r="I23" i="23"/>
  <c r="I36" i="23" s="1"/>
  <c r="J5" i="7" s="1"/>
  <c r="H26" i="23"/>
  <c r="H30" i="23"/>
  <c r="H27" i="23"/>
  <c r="H31" i="23"/>
  <c r="H24" i="23"/>
  <c r="H32" i="23"/>
  <c r="H25" i="23"/>
  <c r="H29" i="23"/>
  <c r="J35" i="23"/>
  <c r="C180" i="23"/>
  <c r="C185" i="23" s="1"/>
  <c r="H41" i="23"/>
  <c r="G44" i="23"/>
  <c r="G46" i="23"/>
  <c r="G45" i="23"/>
  <c r="G43" i="23"/>
  <c r="G54" i="23"/>
  <c r="G50" i="23"/>
  <c r="G42" i="23"/>
  <c r="G49" i="23"/>
  <c r="G47" i="23"/>
  <c r="D178" i="23"/>
  <c r="G110" i="23"/>
  <c r="F142" i="23"/>
  <c r="J142" i="23"/>
  <c r="C142" i="23"/>
  <c r="D26" i="7" s="1"/>
  <c r="G142" i="23"/>
  <c r="K142" i="23"/>
  <c r="E142" i="23"/>
  <c r="D142" i="23"/>
  <c r="E26" i="7" s="1"/>
  <c r="H142" i="23"/>
  <c r="L142" i="23"/>
  <c r="I142" i="23"/>
  <c r="B144" i="23"/>
  <c r="K147" i="23"/>
  <c r="L146" i="23"/>
  <c r="L147" i="23" s="1"/>
  <c r="G100" i="23"/>
  <c r="H97" i="23"/>
  <c r="G106" i="23"/>
  <c r="G98" i="23"/>
  <c r="G105" i="23"/>
  <c r="G99" i="23"/>
  <c r="G101" i="23"/>
  <c r="H109" i="23"/>
  <c r="G116" i="23"/>
  <c r="G117" i="23"/>
  <c r="G118" i="23"/>
  <c r="G120" i="23"/>
  <c r="G121" i="23"/>
  <c r="G122" i="23"/>
  <c r="G124" i="23"/>
  <c r="G119" i="23"/>
  <c r="G123" i="23"/>
  <c r="H115" i="23"/>
  <c r="H128" i="23" s="1"/>
  <c r="I10" i="7" s="1"/>
  <c r="D125" i="23"/>
  <c r="D130" i="23" s="1"/>
  <c r="E125" i="23"/>
  <c r="E130" i="23" s="1"/>
  <c r="C125" i="23"/>
  <c r="C130" i="23" s="1"/>
  <c r="F125" i="23"/>
  <c r="F130" i="23" s="1"/>
  <c r="G125" i="23"/>
  <c r="G130" i="23" s="1"/>
  <c r="G94" i="23"/>
  <c r="H8" i="7"/>
  <c r="E61" i="23"/>
  <c r="H59" i="23"/>
  <c r="H182" i="23"/>
  <c r="D185" i="23"/>
  <c r="E13" i="7"/>
  <c r="E16" i="7" s="1"/>
  <c r="H163" i="23"/>
  <c r="G165" i="23"/>
  <c r="H12" i="7" s="1"/>
  <c r="F167" i="23"/>
  <c r="I91" i="23"/>
  <c r="H92" i="23"/>
  <c r="E72" i="23"/>
  <c r="F7" i="7" s="1"/>
  <c r="E62" i="23"/>
  <c r="E6" i="23"/>
  <c r="F5" i="23"/>
  <c r="E68" i="23"/>
  <c r="E11" i="23"/>
  <c r="E14" i="23"/>
  <c r="E60" i="23"/>
  <c r="E9" i="23"/>
  <c r="E8" i="23"/>
  <c r="B10" i="23"/>
  <c r="B28" i="23" s="1"/>
  <c r="B64" i="23"/>
  <c r="B102" i="23" s="1"/>
  <c r="B107" i="23" s="1"/>
  <c r="E7" i="23"/>
  <c r="E63" i="23"/>
  <c r="E18" i="23"/>
  <c r="F4" i="7" s="1"/>
  <c r="F17" i="23"/>
  <c r="E12" i="23"/>
  <c r="E65" i="23"/>
  <c r="E66" i="23"/>
  <c r="G71" i="23"/>
  <c r="F17" i="22"/>
  <c r="D18" i="22"/>
  <c r="F18" i="22" s="1"/>
  <c r="F10" i="22"/>
  <c r="H13" i="23" l="1"/>
  <c r="F21" i="7"/>
  <c r="L149" i="23"/>
  <c r="M11" i="7"/>
  <c r="F21" i="22"/>
  <c r="K149" i="23"/>
  <c r="L11" i="7"/>
  <c r="H9" i="7"/>
  <c r="F10" i="1"/>
  <c r="I8" i="1"/>
  <c r="G56" i="23"/>
  <c r="H6" i="7"/>
  <c r="I199" i="23"/>
  <c r="H201" i="23"/>
  <c r="H203" i="23" s="1"/>
  <c r="D13" i="4"/>
  <c r="J23" i="23"/>
  <c r="J36" i="23" s="1"/>
  <c r="K5" i="7" s="1"/>
  <c r="I25" i="23"/>
  <c r="I29" i="23"/>
  <c r="I26" i="23"/>
  <c r="I30" i="23"/>
  <c r="I27" i="23"/>
  <c r="I31" i="23"/>
  <c r="I24" i="23"/>
  <c r="I28" i="23"/>
  <c r="I32" i="23"/>
  <c r="C28" i="23"/>
  <c r="C33" i="23" s="1"/>
  <c r="C38" i="23" s="1"/>
  <c r="E28" i="23"/>
  <c r="E33" i="23" s="1"/>
  <c r="E38" i="23" s="1"/>
  <c r="D28" i="23"/>
  <c r="D33" i="23" s="1"/>
  <c r="D38" i="23" s="1"/>
  <c r="B33" i="23"/>
  <c r="F28" i="23"/>
  <c r="F33" i="23" s="1"/>
  <c r="F38" i="23" s="1"/>
  <c r="G28" i="23"/>
  <c r="G33" i="23" s="1"/>
  <c r="G38" i="23" s="1"/>
  <c r="H110" i="23"/>
  <c r="H28" i="23"/>
  <c r="H33" i="23" s="1"/>
  <c r="H38" i="23" s="1"/>
  <c r="K35" i="23"/>
  <c r="I41" i="23"/>
  <c r="H44" i="23"/>
  <c r="H46" i="23"/>
  <c r="H43" i="23"/>
  <c r="H50" i="23"/>
  <c r="H54" i="23"/>
  <c r="I6" i="7" s="1"/>
  <c r="H45" i="23"/>
  <c r="H42" i="23"/>
  <c r="H49" i="23"/>
  <c r="H47" i="23"/>
  <c r="H51" i="23"/>
  <c r="H48" i="23"/>
  <c r="D144" i="23"/>
  <c r="H144" i="23"/>
  <c r="L144" i="23"/>
  <c r="G144" i="23"/>
  <c r="E144" i="23"/>
  <c r="I144" i="23"/>
  <c r="C144" i="23"/>
  <c r="K144" i="23"/>
  <c r="F144" i="23"/>
  <c r="J144" i="23"/>
  <c r="I97" i="23"/>
  <c r="H106" i="23"/>
  <c r="H99" i="23"/>
  <c r="H98" i="23"/>
  <c r="H105" i="23"/>
  <c r="H101" i="23"/>
  <c r="H107" i="23" s="1"/>
  <c r="H100" i="23"/>
  <c r="H104" i="23"/>
  <c r="H103" i="23"/>
  <c r="D102" i="23"/>
  <c r="D107" i="23" s="1"/>
  <c r="D112" i="23" s="1"/>
  <c r="H102" i="23"/>
  <c r="E102" i="23"/>
  <c r="E107" i="23" s="1"/>
  <c r="E112" i="23" s="1"/>
  <c r="C102" i="23"/>
  <c r="C107" i="23" s="1"/>
  <c r="C112" i="23" s="1"/>
  <c r="F102" i="23"/>
  <c r="F107" i="23" s="1"/>
  <c r="F112" i="23" s="1"/>
  <c r="G102" i="23"/>
  <c r="G107" i="23" s="1"/>
  <c r="G112" i="23" s="1"/>
  <c r="F72" i="23"/>
  <c r="G7" i="7" s="1"/>
  <c r="G167" i="23"/>
  <c r="I109" i="23"/>
  <c r="I115" i="23"/>
  <c r="I128" i="23" s="1"/>
  <c r="J10" i="7" s="1"/>
  <c r="H116" i="23"/>
  <c r="H117" i="23"/>
  <c r="H119" i="23"/>
  <c r="H120" i="23"/>
  <c r="H121" i="23"/>
  <c r="H123" i="23"/>
  <c r="H124" i="23"/>
  <c r="H125" i="23"/>
  <c r="H130" i="23" s="1"/>
  <c r="H118" i="23"/>
  <c r="H122" i="23"/>
  <c r="F35" i="22"/>
  <c r="D8" i="4" s="1"/>
  <c r="H94" i="23"/>
  <c r="I8" i="7"/>
  <c r="I59" i="23"/>
  <c r="E172" i="23"/>
  <c r="F20" i="7" s="1"/>
  <c r="E176" i="23"/>
  <c r="F24" i="7" s="1"/>
  <c r="E179" i="23"/>
  <c r="F27" i="7" s="1"/>
  <c r="E175" i="23"/>
  <c r="E174" i="23"/>
  <c r="F22" i="7" s="1"/>
  <c r="E171" i="23"/>
  <c r="F19" i="7" s="1"/>
  <c r="E173" i="23"/>
  <c r="E177" i="23"/>
  <c r="F25" i="7" s="1"/>
  <c r="E183" i="23"/>
  <c r="E178" i="23"/>
  <c r="F26" i="7" s="1"/>
  <c r="E180" i="23"/>
  <c r="I182" i="23"/>
  <c r="F179" i="23"/>
  <c r="F171" i="23"/>
  <c r="F176" i="23"/>
  <c r="F175" i="23"/>
  <c r="F173" i="23"/>
  <c r="F172" i="23"/>
  <c r="F177" i="23"/>
  <c r="F174" i="23"/>
  <c r="F178" i="23"/>
  <c r="G26" i="7" s="1"/>
  <c r="F180" i="23"/>
  <c r="F183" i="23"/>
  <c r="H165" i="23"/>
  <c r="I163" i="23"/>
  <c r="J91" i="23"/>
  <c r="I92" i="23"/>
  <c r="D64" i="23"/>
  <c r="E64" i="23"/>
  <c r="F64" i="23"/>
  <c r="C64" i="23"/>
  <c r="B69" i="23"/>
  <c r="F6" i="23"/>
  <c r="G19" i="7" s="1"/>
  <c r="F60" i="23"/>
  <c r="F61" i="23"/>
  <c r="F7" i="23"/>
  <c r="F8" i="23"/>
  <c r="G21" i="7" s="1"/>
  <c r="F68" i="23"/>
  <c r="F14" i="23"/>
  <c r="F62" i="23"/>
  <c r="F11" i="23"/>
  <c r="G24" i="7" s="1"/>
  <c r="F63" i="23"/>
  <c r="F65" i="23"/>
  <c r="F9" i="23"/>
  <c r="G5" i="23"/>
  <c r="F12" i="23"/>
  <c r="G25" i="7" s="1"/>
  <c r="F66" i="23"/>
  <c r="E10" i="23"/>
  <c r="F10" i="23"/>
  <c r="G23" i="7" s="1"/>
  <c r="C10" i="23"/>
  <c r="D10" i="23"/>
  <c r="B15" i="23"/>
  <c r="F18" i="23"/>
  <c r="G4" i="7" s="1"/>
  <c r="G17" i="23"/>
  <c r="H71" i="23"/>
  <c r="H10" i="1"/>
  <c r="I10" i="1" s="1"/>
  <c r="D16" i="4" s="1"/>
  <c r="I3" i="1"/>
  <c r="B33" i="5"/>
  <c r="D23" i="7" l="1"/>
  <c r="D29" i="7" s="1"/>
  <c r="F23" i="7"/>
  <c r="G22" i="7"/>
  <c r="G20" i="7"/>
  <c r="I102" i="23"/>
  <c r="E23" i="7"/>
  <c r="G27" i="7"/>
  <c r="H112" i="23"/>
  <c r="I9" i="7"/>
  <c r="I13" i="23"/>
  <c r="J199" i="23"/>
  <c r="I201" i="23"/>
  <c r="I203" i="23" s="1"/>
  <c r="D10" i="4"/>
  <c r="D20" i="4" s="1"/>
  <c r="F8" i="4"/>
  <c r="G18" i="23"/>
  <c r="H4" i="7" s="1"/>
  <c r="K23" i="23"/>
  <c r="K36" i="23" s="1"/>
  <c r="L5" i="7" s="1"/>
  <c r="J24" i="23"/>
  <c r="J28" i="23"/>
  <c r="J32" i="23"/>
  <c r="J25" i="23"/>
  <c r="J29" i="23"/>
  <c r="J26" i="23"/>
  <c r="J30" i="23"/>
  <c r="J27" i="23"/>
  <c r="J31" i="23"/>
  <c r="I33" i="23"/>
  <c r="I38" i="23" s="1"/>
  <c r="L35" i="23"/>
  <c r="H56" i="23"/>
  <c r="I110" i="23"/>
  <c r="J41" i="23"/>
  <c r="I50" i="23"/>
  <c r="I44" i="23"/>
  <c r="I42" i="23"/>
  <c r="I46" i="23"/>
  <c r="I54" i="23"/>
  <c r="J6" i="7" s="1"/>
  <c r="I45" i="23"/>
  <c r="I43" i="23"/>
  <c r="I49" i="23"/>
  <c r="I47" i="23"/>
  <c r="I51" i="23"/>
  <c r="I48" i="23"/>
  <c r="J97" i="23"/>
  <c r="I99" i="23"/>
  <c r="I106" i="23"/>
  <c r="I98" i="23"/>
  <c r="I107" i="23" s="1"/>
  <c r="I105" i="23"/>
  <c r="I101" i="23"/>
  <c r="I103" i="23"/>
  <c r="I100" i="23"/>
  <c r="I104" i="23"/>
  <c r="J109" i="23"/>
  <c r="I118" i="23"/>
  <c r="I119" i="23"/>
  <c r="I120" i="23"/>
  <c r="I121" i="23"/>
  <c r="I122" i="23"/>
  <c r="I123" i="23"/>
  <c r="I124" i="23"/>
  <c r="I117" i="23"/>
  <c r="J115" i="23"/>
  <c r="J128" i="23" s="1"/>
  <c r="K10" i="7" s="1"/>
  <c r="I116" i="23"/>
  <c r="I125" i="23"/>
  <c r="I130" i="23" s="1"/>
  <c r="E185" i="23"/>
  <c r="F13" i="7"/>
  <c r="F16" i="7" s="1"/>
  <c r="D15" i="23"/>
  <c r="D20" i="23" s="1"/>
  <c r="E29" i="7"/>
  <c r="I94" i="23"/>
  <c r="J8" i="7"/>
  <c r="J182" i="23"/>
  <c r="J59" i="23"/>
  <c r="C15" i="23"/>
  <c r="C20" i="23" s="1"/>
  <c r="G13" i="7"/>
  <c r="G16" i="7" s="1"/>
  <c r="F185" i="23"/>
  <c r="E15" i="23"/>
  <c r="E20" i="23" s="1"/>
  <c r="F29" i="7"/>
  <c r="H167" i="23"/>
  <c r="I12" i="7"/>
  <c r="G72" i="23"/>
  <c r="H7" i="7" s="1"/>
  <c r="I165" i="23"/>
  <c r="J163" i="23"/>
  <c r="K91" i="23"/>
  <c r="J92" i="23"/>
  <c r="G64" i="23"/>
  <c r="F15" i="23"/>
  <c r="F20" i="23" s="1"/>
  <c r="H17" i="23"/>
  <c r="G9" i="23"/>
  <c r="G68" i="23"/>
  <c r="G60" i="23"/>
  <c r="G62" i="23"/>
  <c r="G61" i="23"/>
  <c r="G63" i="23"/>
  <c r="G65" i="23"/>
  <c r="G8" i="23"/>
  <c r="G66" i="23"/>
  <c r="G7" i="23"/>
  <c r="G10" i="23"/>
  <c r="G12" i="23"/>
  <c r="G11" i="23"/>
  <c r="G6" i="23"/>
  <c r="H5" i="23"/>
  <c r="G14" i="23"/>
  <c r="G69" i="23"/>
  <c r="D69" i="23"/>
  <c r="D74" i="23" s="1"/>
  <c r="C69" i="23"/>
  <c r="C74" i="23" s="1"/>
  <c r="F69" i="23"/>
  <c r="F74" i="23" s="1"/>
  <c r="E69" i="23"/>
  <c r="E74" i="23" s="1"/>
  <c r="I71" i="23"/>
  <c r="C33" i="5"/>
  <c r="B40" i="5"/>
  <c r="B38" i="5"/>
  <c r="C38" i="5" s="1"/>
  <c r="B17" i="5"/>
  <c r="I112" i="23" l="1"/>
  <c r="J9" i="7"/>
  <c r="J13" i="23"/>
  <c r="K199" i="23"/>
  <c r="J201" i="23"/>
  <c r="J203" i="23" s="1"/>
  <c r="F9" i="4"/>
  <c r="F10" i="4" s="1"/>
  <c r="D19" i="4"/>
  <c r="D21" i="4" s="1"/>
  <c r="J33" i="23"/>
  <c r="J38" i="23" s="1"/>
  <c r="J110" i="23"/>
  <c r="I56" i="23"/>
  <c r="L23" i="23"/>
  <c r="L36" i="23" s="1"/>
  <c r="M5" i="7" s="1"/>
  <c r="K27" i="23"/>
  <c r="K31" i="23"/>
  <c r="K24" i="23"/>
  <c r="K28" i="23"/>
  <c r="K32" i="23"/>
  <c r="K25" i="23"/>
  <c r="K29" i="23"/>
  <c r="K26" i="23"/>
  <c r="K30" i="23"/>
  <c r="K41" i="23"/>
  <c r="J44" i="23"/>
  <c r="J45" i="23"/>
  <c r="J54" i="23"/>
  <c r="K6" i="7" s="1"/>
  <c r="J43" i="23"/>
  <c r="J50" i="23"/>
  <c r="J42" i="23"/>
  <c r="J46" i="23"/>
  <c r="J47" i="23"/>
  <c r="J49" i="23"/>
  <c r="J51" i="23"/>
  <c r="J48" i="23"/>
  <c r="K97" i="23"/>
  <c r="J99" i="23"/>
  <c r="J106" i="23"/>
  <c r="J98" i="23"/>
  <c r="J107" i="23" s="1"/>
  <c r="J105" i="23"/>
  <c r="J103" i="23"/>
  <c r="J104" i="23"/>
  <c r="J101" i="23"/>
  <c r="J100" i="23"/>
  <c r="J102" i="23"/>
  <c r="K109" i="23"/>
  <c r="J117" i="23"/>
  <c r="J124" i="23"/>
  <c r="K115" i="23"/>
  <c r="K128" i="23" s="1"/>
  <c r="L10" i="7" s="1"/>
  <c r="J122" i="23"/>
  <c r="J121" i="23"/>
  <c r="J118" i="23"/>
  <c r="J119" i="23"/>
  <c r="J125" i="23"/>
  <c r="J130" i="23" s="1"/>
  <c r="J123" i="23"/>
  <c r="J116" i="23"/>
  <c r="J120" i="23"/>
  <c r="G29" i="7"/>
  <c r="J94" i="23"/>
  <c r="K8" i="7"/>
  <c r="H72" i="23"/>
  <c r="I7" i="7" s="1"/>
  <c r="K59" i="23"/>
  <c r="G74" i="23"/>
  <c r="I167" i="23"/>
  <c r="J12" i="7"/>
  <c r="G176" i="23"/>
  <c r="H24" i="7" s="1"/>
  <c r="G171" i="23"/>
  <c r="H19" i="7" s="1"/>
  <c r="G173" i="23"/>
  <c r="H21" i="7" s="1"/>
  <c r="G172" i="23"/>
  <c r="H20" i="7" s="1"/>
  <c r="G177" i="23"/>
  <c r="H25" i="7" s="1"/>
  <c r="G174" i="23"/>
  <c r="H22" i="7" s="1"/>
  <c r="G179" i="23"/>
  <c r="H27" i="7" s="1"/>
  <c r="G175" i="23"/>
  <c r="H23" i="7" s="1"/>
  <c r="G178" i="23"/>
  <c r="H26" i="7" s="1"/>
  <c r="G180" i="23"/>
  <c r="G183" i="23"/>
  <c r="K182" i="23"/>
  <c r="C40" i="5"/>
  <c r="D33" i="5" s="1"/>
  <c r="D40" i="5" s="1"/>
  <c r="J165" i="23"/>
  <c r="K163" i="23"/>
  <c r="L91" i="23"/>
  <c r="L92" i="23" s="1"/>
  <c r="K92" i="23"/>
  <c r="H69" i="23"/>
  <c r="G15" i="23"/>
  <c r="G20" i="23" s="1"/>
  <c r="H60" i="23"/>
  <c r="H9" i="23"/>
  <c r="H66" i="23"/>
  <c r="H68" i="23"/>
  <c r="H65" i="23"/>
  <c r="H63" i="23"/>
  <c r="H8" i="23"/>
  <c r="H62" i="23"/>
  <c r="H61" i="23"/>
  <c r="H7" i="23"/>
  <c r="H10" i="23"/>
  <c r="H11" i="23"/>
  <c r="I5" i="23"/>
  <c r="H64" i="23"/>
  <c r="H12" i="23"/>
  <c r="H14" i="23"/>
  <c r="H6" i="23"/>
  <c r="I17" i="23"/>
  <c r="H18" i="23"/>
  <c r="I4" i="7" s="1"/>
  <c r="J71" i="23"/>
  <c r="B15" i="5"/>
  <c r="D31" i="5"/>
  <c r="D38" i="5" s="1"/>
  <c r="E193" i="7"/>
  <c r="F193" i="7"/>
  <c r="H17" i="5"/>
  <c r="D17" i="5"/>
  <c r="G17" i="5"/>
  <c r="L17" i="5"/>
  <c r="F17" i="5"/>
  <c r="E17" i="5"/>
  <c r="J17" i="5"/>
  <c r="C17" i="5"/>
  <c r="I17" i="5"/>
  <c r="K17" i="5"/>
  <c r="B23" i="5"/>
  <c r="E199" i="7"/>
  <c r="E214" i="7"/>
  <c r="I27" i="7" l="1"/>
  <c r="J112" i="23"/>
  <c r="K9" i="7"/>
  <c r="K13" i="23"/>
  <c r="L199" i="23"/>
  <c r="L201" i="23" s="1"/>
  <c r="L203" i="23" s="1"/>
  <c r="K201" i="23"/>
  <c r="K203" i="23" s="1"/>
  <c r="B37" i="3"/>
  <c r="B34" i="3"/>
  <c r="H33" i="7"/>
  <c r="L33" i="7"/>
  <c r="M33" i="7"/>
  <c r="E33" i="7"/>
  <c r="I33" i="7"/>
  <c r="F33" i="7"/>
  <c r="K33" i="7"/>
  <c r="J33" i="7"/>
  <c r="D33" i="7"/>
  <c r="G33" i="7"/>
  <c r="J56" i="23"/>
  <c r="K33" i="23"/>
  <c r="K38" i="23" s="1"/>
  <c r="L26" i="23"/>
  <c r="L30" i="23"/>
  <c r="L27" i="23"/>
  <c r="L31" i="23"/>
  <c r="L24" i="23"/>
  <c r="L28" i="23"/>
  <c r="L32" i="23"/>
  <c r="L25" i="23"/>
  <c r="L29" i="23"/>
  <c r="L41" i="23"/>
  <c r="K44" i="23"/>
  <c r="K43" i="23"/>
  <c r="K54" i="23"/>
  <c r="L6" i="7" s="1"/>
  <c r="K50" i="23"/>
  <c r="K42" i="23"/>
  <c r="K45" i="23"/>
  <c r="K46" i="23"/>
  <c r="K47" i="23"/>
  <c r="K49" i="23"/>
  <c r="K51" i="23"/>
  <c r="K48" i="23"/>
  <c r="K110" i="23"/>
  <c r="L97" i="23"/>
  <c r="K106" i="23"/>
  <c r="K99" i="23"/>
  <c r="K98" i="23"/>
  <c r="K107" i="23" s="1"/>
  <c r="K105" i="23"/>
  <c r="K103" i="23"/>
  <c r="K100" i="23"/>
  <c r="K104" i="23"/>
  <c r="K101" i="23"/>
  <c r="K102" i="23"/>
  <c r="L109" i="23"/>
  <c r="K116" i="23"/>
  <c r="K119" i="23"/>
  <c r="K118" i="23"/>
  <c r="K120" i="23"/>
  <c r="K117" i="23"/>
  <c r="K122" i="23"/>
  <c r="K124" i="23"/>
  <c r="K121" i="23"/>
  <c r="K123" i="23"/>
  <c r="L115" i="23"/>
  <c r="L128" i="23" s="1"/>
  <c r="M10" i="7" s="1"/>
  <c r="K125" i="23"/>
  <c r="K130" i="23" s="1"/>
  <c r="H74" i="23"/>
  <c r="F11" i="6"/>
  <c r="F10" i="6"/>
  <c r="H15" i="5"/>
  <c r="B30" i="5"/>
  <c r="C30" i="5" s="1"/>
  <c r="H29" i="7"/>
  <c r="I72" i="23"/>
  <c r="J7" i="7" s="1"/>
  <c r="L94" i="23"/>
  <c r="M8" i="7"/>
  <c r="L59" i="23"/>
  <c r="J167" i="23"/>
  <c r="K12" i="7"/>
  <c r="L182" i="23"/>
  <c r="H177" i="23"/>
  <c r="I25" i="7" s="1"/>
  <c r="H176" i="23"/>
  <c r="I24" i="7" s="1"/>
  <c r="H172" i="23"/>
  <c r="I20" i="7" s="1"/>
  <c r="H171" i="23"/>
  <c r="I19" i="7" s="1"/>
  <c r="H173" i="23"/>
  <c r="I21" i="7" s="1"/>
  <c r="H179" i="23"/>
  <c r="H174" i="23"/>
  <c r="I22" i="7" s="1"/>
  <c r="H175" i="23"/>
  <c r="I23" i="7" s="1"/>
  <c r="H178" i="23"/>
  <c r="I26" i="7" s="1"/>
  <c r="H180" i="23"/>
  <c r="H183" i="23"/>
  <c r="G185" i="23"/>
  <c r="H13" i="7"/>
  <c r="H16" i="7" s="1"/>
  <c r="K94" i="23"/>
  <c r="L8" i="7"/>
  <c r="K165" i="23"/>
  <c r="L163" i="23"/>
  <c r="B22" i="5"/>
  <c r="F15" i="5"/>
  <c r="C15" i="5"/>
  <c r="I60" i="23"/>
  <c r="I66" i="23"/>
  <c r="I9" i="23"/>
  <c r="I62" i="23"/>
  <c r="I65" i="23"/>
  <c r="I68" i="23"/>
  <c r="I61" i="23"/>
  <c r="I8" i="23"/>
  <c r="I63" i="23"/>
  <c r="I64" i="23"/>
  <c r="I6" i="23"/>
  <c r="I7" i="23"/>
  <c r="I10" i="23"/>
  <c r="I14" i="23"/>
  <c r="J5" i="23"/>
  <c r="I11" i="23"/>
  <c r="I12" i="23"/>
  <c r="I69" i="23"/>
  <c r="J17" i="23"/>
  <c r="I18" i="23"/>
  <c r="J4" i="7" s="1"/>
  <c r="H15" i="23"/>
  <c r="H20" i="23" s="1"/>
  <c r="K71" i="23"/>
  <c r="C23" i="5"/>
  <c r="D23" i="5" s="1"/>
  <c r="E23" i="5" s="1"/>
  <c r="F23" i="5" s="1"/>
  <c r="G23" i="5" s="1"/>
  <c r="H23" i="5" s="1"/>
  <c r="I23" i="5" s="1"/>
  <c r="J23" i="5" s="1"/>
  <c r="K23" i="5" s="1"/>
  <c r="L23" i="5" s="1"/>
  <c r="I15" i="5"/>
  <c r="J15" i="5"/>
  <c r="L15" i="5"/>
  <c r="K15" i="5"/>
  <c r="E15" i="5"/>
  <c r="D15" i="5"/>
  <c r="G15" i="5"/>
  <c r="C154" i="7"/>
  <c r="B18" i="5"/>
  <c r="J18" i="5" s="1"/>
  <c r="C72" i="7"/>
  <c r="D35" i="3"/>
  <c r="D193" i="7"/>
  <c r="E33" i="5"/>
  <c r="E40" i="5" s="1"/>
  <c r="E67" i="6"/>
  <c r="E68" i="6" s="1"/>
  <c r="F67" i="6"/>
  <c r="F68" i="6" s="1"/>
  <c r="D199" i="7"/>
  <c r="D214" i="7"/>
  <c r="G193" i="7"/>
  <c r="E31" i="5"/>
  <c r="E38" i="5" s="1"/>
  <c r="L13" i="23" l="1"/>
  <c r="K112" i="23"/>
  <c r="L9" i="7"/>
  <c r="I74" i="23"/>
  <c r="B36" i="3"/>
  <c r="C73" i="7" s="1"/>
  <c r="L110" i="23"/>
  <c r="K56" i="23"/>
  <c r="L33" i="23"/>
  <c r="L38" i="23" s="1"/>
  <c r="L44" i="23"/>
  <c r="L54" i="23"/>
  <c r="M6" i="7" s="1"/>
  <c r="L50" i="23"/>
  <c r="L45" i="23"/>
  <c r="L42" i="23"/>
  <c r="L46" i="23"/>
  <c r="L43" i="23"/>
  <c r="L49" i="23"/>
  <c r="L47" i="23"/>
  <c r="L48" i="23"/>
  <c r="L51" i="23"/>
  <c r="L106" i="23"/>
  <c r="L99" i="23"/>
  <c r="L98" i="23"/>
  <c r="L107" i="23" s="1"/>
  <c r="L105" i="23"/>
  <c r="L100" i="23"/>
  <c r="L104" i="23"/>
  <c r="L101" i="23"/>
  <c r="L103" i="23"/>
  <c r="L102" i="23"/>
  <c r="L119" i="23"/>
  <c r="L124" i="23"/>
  <c r="L121" i="23"/>
  <c r="L123" i="23"/>
  <c r="L118" i="23"/>
  <c r="L125" i="23"/>
  <c r="L130" i="23" s="1"/>
  <c r="L116" i="23"/>
  <c r="L122" i="23"/>
  <c r="L117" i="23"/>
  <c r="L120" i="23"/>
  <c r="C22" i="5"/>
  <c r="D22" i="5" s="1"/>
  <c r="E22" i="5" s="1"/>
  <c r="F22" i="5" s="1"/>
  <c r="G22" i="5" s="1"/>
  <c r="H22" i="5" s="1"/>
  <c r="I22" i="5" s="1"/>
  <c r="J22" i="5" s="1"/>
  <c r="K22" i="5" s="1"/>
  <c r="L22" i="5" s="1"/>
  <c r="B37" i="5"/>
  <c r="C37" i="5" s="1"/>
  <c r="D30" i="5" s="1"/>
  <c r="D37" i="5" s="1"/>
  <c r="E30" i="5" s="1"/>
  <c r="E37" i="5" s="1"/>
  <c r="E50" i="6"/>
  <c r="E80" i="7" s="1"/>
  <c r="I29" i="7"/>
  <c r="J72" i="23"/>
  <c r="K7" i="7" s="1"/>
  <c r="H185" i="23"/>
  <c r="I13" i="7"/>
  <c r="I16" i="7" s="1"/>
  <c r="K167" i="23"/>
  <c r="L12" i="7"/>
  <c r="I176" i="23"/>
  <c r="J24" i="7" s="1"/>
  <c r="I177" i="23"/>
  <c r="J25" i="7" s="1"/>
  <c r="I173" i="23"/>
  <c r="J21" i="7" s="1"/>
  <c r="I175" i="23"/>
  <c r="J23" i="7" s="1"/>
  <c r="I171" i="23"/>
  <c r="J19" i="7" s="1"/>
  <c r="I172" i="23"/>
  <c r="J20" i="7" s="1"/>
  <c r="I179" i="23"/>
  <c r="J27" i="7" s="1"/>
  <c r="I174" i="23"/>
  <c r="J22" i="7" s="1"/>
  <c r="I178" i="23"/>
  <c r="J26" i="7" s="1"/>
  <c r="I180" i="23"/>
  <c r="I183" i="23"/>
  <c r="L165" i="23"/>
  <c r="J60" i="23"/>
  <c r="J62" i="23"/>
  <c r="J9" i="23"/>
  <c r="J63" i="23"/>
  <c r="J66" i="23"/>
  <c r="J68" i="23"/>
  <c r="J65" i="23"/>
  <c r="J61" i="23"/>
  <c r="J8" i="23"/>
  <c r="J64" i="23"/>
  <c r="J69" i="23"/>
  <c r="J6" i="23"/>
  <c r="J11" i="23"/>
  <c r="K5" i="23"/>
  <c r="J7" i="23"/>
  <c r="J10" i="23"/>
  <c r="J12" i="23"/>
  <c r="J14" i="23"/>
  <c r="K17" i="23"/>
  <c r="J18" i="23"/>
  <c r="K4" i="7" s="1"/>
  <c r="I15" i="23"/>
  <c r="I20" i="23" s="1"/>
  <c r="L71" i="23"/>
  <c r="F19" i="5"/>
  <c r="E18" i="5"/>
  <c r="H18" i="5"/>
  <c r="G18" i="5"/>
  <c r="C18" i="5"/>
  <c r="K18" i="5"/>
  <c r="B32" i="5"/>
  <c r="B39" i="5" s="1"/>
  <c r="B24" i="5"/>
  <c r="I18" i="5"/>
  <c r="D18" i="5"/>
  <c r="L18" i="5"/>
  <c r="F18" i="5"/>
  <c r="D93" i="7"/>
  <c r="F33" i="5"/>
  <c r="F40" i="5" s="1"/>
  <c r="G67" i="6"/>
  <c r="G68" i="6" s="1"/>
  <c r="D67" i="6"/>
  <c r="F31" i="5"/>
  <c r="F38" i="5"/>
  <c r="E70" i="6"/>
  <c r="E71" i="6" s="1"/>
  <c r="E44" i="7" s="1"/>
  <c r="H193" i="7"/>
  <c r="F70" i="6"/>
  <c r="F71" i="6" s="1"/>
  <c r="F44" i="7" s="1"/>
  <c r="F79" i="7"/>
  <c r="L112" i="23" l="1"/>
  <c r="M9" i="7"/>
  <c r="K24" i="7"/>
  <c r="J74" i="23"/>
  <c r="D4" i="6"/>
  <c r="Q27" i="6" s="1"/>
  <c r="B10" i="3"/>
  <c r="F21" i="6" s="1"/>
  <c r="K1" i="6"/>
  <c r="D36" i="3"/>
  <c r="D94" i="7"/>
  <c r="L56" i="23"/>
  <c r="E133" i="7"/>
  <c r="E203" i="7" s="1"/>
  <c r="E150" i="7"/>
  <c r="E166" i="7"/>
  <c r="E94" i="7"/>
  <c r="J29" i="7"/>
  <c r="J176" i="23"/>
  <c r="J175" i="23"/>
  <c r="K23" i="7" s="1"/>
  <c r="J173" i="23"/>
  <c r="K21" i="7" s="1"/>
  <c r="J174" i="23"/>
  <c r="K22" i="7" s="1"/>
  <c r="J177" i="23"/>
  <c r="K25" i="7" s="1"/>
  <c r="J172" i="23"/>
  <c r="K20" i="7" s="1"/>
  <c r="J171" i="23"/>
  <c r="K19" i="7" s="1"/>
  <c r="J179" i="23"/>
  <c r="K27" i="7" s="1"/>
  <c r="J178" i="23"/>
  <c r="K26" i="7" s="1"/>
  <c r="J180" i="23"/>
  <c r="J183" i="23"/>
  <c r="L167" i="23"/>
  <c r="M12" i="7"/>
  <c r="K72" i="23"/>
  <c r="L7" i="7" s="1"/>
  <c r="I185" i="23"/>
  <c r="J13" i="7"/>
  <c r="J16" i="7" s="1"/>
  <c r="C24" i="5"/>
  <c r="D24" i="5" s="1"/>
  <c r="E24" i="5" s="1"/>
  <c r="F24" i="5" s="1"/>
  <c r="G24" i="5" s="1"/>
  <c r="H24" i="5" s="1"/>
  <c r="I24" i="5" s="1"/>
  <c r="J24" i="5" s="1"/>
  <c r="K24" i="5" s="1"/>
  <c r="L24" i="5" s="1"/>
  <c r="J19" i="5"/>
  <c r="J20" i="5" s="1"/>
  <c r="K45" i="7" s="1"/>
  <c r="K55" i="7" s="1"/>
  <c r="K143" i="7" s="1"/>
  <c r="K160" i="7" s="1"/>
  <c r="K63" i="23"/>
  <c r="K68" i="23"/>
  <c r="K60" i="23"/>
  <c r="K9" i="23"/>
  <c r="K61" i="23"/>
  <c r="K8" i="23"/>
  <c r="K66" i="23"/>
  <c r="K65" i="23"/>
  <c r="K62" i="23"/>
  <c r="K64" i="23"/>
  <c r="K69" i="23"/>
  <c r="K14" i="23"/>
  <c r="L5" i="23"/>
  <c r="K10" i="23"/>
  <c r="K6" i="23"/>
  <c r="K7" i="23"/>
  <c r="K11" i="23"/>
  <c r="K12" i="23"/>
  <c r="J15" i="23"/>
  <c r="J20" i="23" s="1"/>
  <c r="L17" i="23"/>
  <c r="K18" i="23"/>
  <c r="L4" i="7" s="1"/>
  <c r="L19" i="5"/>
  <c r="L20" i="5" s="1"/>
  <c r="M45" i="7" s="1"/>
  <c r="M55" i="7" s="1"/>
  <c r="D19" i="5"/>
  <c r="D20" i="5" s="1"/>
  <c r="E45" i="7" s="1"/>
  <c r="E67" i="7" s="1"/>
  <c r="C35" i="3"/>
  <c r="I19" i="5"/>
  <c r="I20" i="5" s="1"/>
  <c r="J45" i="7" s="1"/>
  <c r="J202" i="7" s="1"/>
  <c r="H19" i="5"/>
  <c r="H20" i="5" s="1"/>
  <c r="I45" i="7" s="1"/>
  <c r="I55" i="7" s="1"/>
  <c r="I143" i="7" s="1"/>
  <c r="I160" i="7" s="1"/>
  <c r="B25" i="5"/>
  <c r="K19" i="5"/>
  <c r="K20" i="5" s="1"/>
  <c r="L45" i="7" s="1"/>
  <c r="L178" i="7" s="1"/>
  <c r="L179" i="7" s="1"/>
  <c r="E19" i="5"/>
  <c r="E20" i="5" s="1"/>
  <c r="F45" i="7" s="1"/>
  <c r="F67" i="7" s="1"/>
  <c r="G19" i="5"/>
  <c r="G20" i="5" s="1"/>
  <c r="H45" i="7" s="1"/>
  <c r="H55" i="7" s="1"/>
  <c r="H143" i="7" s="1"/>
  <c r="H160" i="7" s="1"/>
  <c r="C19" i="5"/>
  <c r="C20" i="5" s="1"/>
  <c r="D45" i="7" s="1"/>
  <c r="D178" i="7" s="1"/>
  <c r="C32" i="5"/>
  <c r="C34" i="5" s="1"/>
  <c r="D56" i="7" s="1"/>
  <c r="C36" i="3"/>
  <c r="C37" i="3"/>
  <c r="F20" i="5"/>
  <c r="G45" i="7" s="1"/>
  <c r="G67" i="7" s="1"/>
  <c r="E93" i="7"/>
  <c r="G33" i="5"/>
  <c r="G40" i="5" s="1"/>
  <c r="C71" i="7"/>
  <c r="D34" i="3"/>
  <c r="F149" i="7"/>
  <c r="D68" i="6"/>
  <c r="D70" i="6"/>
  <c r="D71" i="6" s="1"/>
  <c r="D44" i="7" s="1"/>
  <c r="G70" i="6"/>
  <c r="G71" i="6" s="1"/>
  <c r="G44" i="7" s="1"/>
  <c r="G79" i="7"/>
  <c r="J193" i="7"/>
  <c r="F201" i="7"/>
  <c r="F216" i="7" s="1"/>
  <c r="F121" i="7"/>
  <c r="F132" i="7" s="1"/>
  <c r="F30" i="5"/>
  <c r="F37" i="5" s="1"/>
  <c r="H67" i="6"/>
  <c r="H68" i="6" s="1"/>
  <c r="E121" i="7"/>
  <c r="E132" i="7" s="1"/>
  <c r="E201" i="7"/>
  <c r="E216" i="7" s="1"/>
  <c r="I193" i="7"/>
  <c r="G31" i="5"/>
  <c r="G38" i="5" s="1"/>
  <c r="F25" i="6" l="1"/>
  <c r="F36" i="6"/>
  <c r="Q19" i="6"/>
  <c r="Q14" i="6"/>
  <c r="O25" i="6"/>
  <c r="K74" i="23"/>
  <c r="F17" i="6"/>
  <c r="F23" i="6"/>
  <c r="F22" i="6"/>
  <c r="F37" i="6"/>
  <c r="F27" i="6"/>
  <c r="F16" i="6"/>
  <c r="F28" i="6"/>
  <c r="F41" i="6"/>
  <c r="F38" i="6"/>
  <c r="F13" i="6"/>
  <c r="F42" i="6"/>
  <c r="F35" i="6"/>
  <c r="F18" i="6"/>
  <c r="F43" i="6"/>
  <c r="F15" i="6"/>
  <c r="F14" i="6"/>
  <c r="F30" i="6"/>
  <c r="F19" i="6"/>
  <c r="F33" i="6"/>
  <c r="F40" i="6"/>
  <c r="Q15" i="6"/>
  <c r="P14" i="6"/>
  <c r="Q25" i="6"/>
  <c r="C53" i="6"/>
  <c r="D53" i="6" s="1"/>
  <c r="E53" i="6" s="1"/>
  <c r="Q30" i="6"/>
  <c r="Q31" i="6"/>
  <c r="Q16" i="6"/>
  <c r="O12" i="6"/>
  <c r="O21" i="6"/>
  <c r="O23" i="6"/>
  <c r="P21" i="6"/>
  <c r="F24" i="6"/>
  <c r="F34" i="6"/>
  <c r="F26" i="6"/>
  <c r="F20" i="6"/>
  <c r="F12" i="6"/>
  <c r="F31" i="6"/>
  <c r="F29" i="6"/>
  <c r="F39" i="6"/>
  <c r="P22" i="6"/>
  <c r="P25" i="6"/>
  <c r="P29" i="6"/>
  <c r="O20" i="6"/>
  <c r="Q12" i="6"/>
  <c r="O24" i="6"/>
  <c r="Q18" i="6"/>
  <c r="O26" i="6"/>
  <c r="O29" i="6"/>
  <c r="P26" i="6"/>
  <c r="P28" i="6"/>
  <c r="F32" i="6"/>
  <c r="P13" i="6"/>
  <c r="P30" i="6"/>
  <c r="O28" i="6"/>
  <c r="P12" i="6"/>
  <c r="P18" i="6"/>
  <c r="Q21" i="6"/>
  <c r="O19" i="6"/>
  <c r="P15" i="6"/>
  <c r="O27" i="6"/>
  <c r="P31" i="6"/>
  <c r="Q28" i="6"/>
  <c r="O15" i="6"/>
  <c r="O17" i="6"/>
  <c r="Q20" i="6"/>
  <c r="O18" i="6"/>
  <c r="Q24" i="6"/>
  <c r="P27" i="6"/>
  <c r="E4" i="6"/>
  <c r="Q17" i="6"/>
  <c r="G4" i="6"/>
  <c r="D5" i="6" s="1"/>
  <c r="G5" i="6" s="1"/>
  <c r="D6" i="6" s="1"/>
  <c r="P20" i="6"/>
  <c r="Q26" i="6"/>
  <c r="P24" i="6"/>
  <c r="Q23" i="6"/>
  <c r="O30" i="6"/>
  <c r="O16" i="6"/>
  <c r="Q13" i="6"/>
  <c r="O13" i="6"/>
  <c r="P19" i="6"/>
  <c r="O31" i="6"/>
  <c r="P23" i="6"/>
  <c r="Q22" i="6"/>
  <c r="Q29" i="6"/>
  <c r="O14" i="6"/>
  <c r="O22" i="6"/>
  <c r="J4" i="6"/>
  <c r="K4" i="6" s="1"/>
  <c r="P16" i="6"/>
  <c r="P17" i="6"/>
  <c r="K174" i="23"/>
  <c r="L22" i="7" s="1"/>
  <c r="K176" i="23"/>
  <c r="L24" i="7" s="1"/>
  <c r="K175" i="23"/>
  <c r="L23" i="7" s="1"/>
  <c r="K171" i="23"/>
  <c r="L19" i="7" s="1"/>
  <c r="K172" i="23"/>
  <c r="L20" i="7" s="1"/>
  <c r="K179" i="23"/>
  <c r="L27" i="7" s="1"/>
  <c r="K173" i="23"/>
  <c r="L21" i="7" s="1"/>
  <c r="K177" i="23"/>
  <c r="L25" i="7" s="1"/>
  <c r="K178" i="23"/>
  <c r="L26" i="7" s="1"/>
  <c r="K180" i="23"/>
  <c r="K183" i="23"/>
  <c r="J185" i="23"/>
  <c r="K13" i="7"/>
  <c r="K16" i="7" s="1"/>
  <c r="L176" i="23"/>
  <c r="L173" i="23"/>
  <c r="L174" i="23"/>
  <c r="L171" i="23"/>
  <c r="L179" i="23"/>
  <c r="L175" i="23"/>
  <c r="L172" i="23"/>
  <c r="L177" i="23"/>
  <c r="L178" i="23"/>
  <c r="M26" i="7" s="1"/>
  <c r="L180" i="23"/>
  <c r="L183" i="23"/>
  <c r="K29" i="7"/>
  <c r="C39" i="5"/>
  <c r="D32" i="5" s="1"/>
  <c r="D34" i="5" s="1"/>
  <c r="E56" i="7" s="1"/>
  <c r="K202" i="7"/>
  <c r="K67" i="7"/>
  <c r="K178" i="7"/>
  <c r="K179" i="7" s="1"/>
  <c r="K15" i="23"/>
  <c r="K20" i="23" s="1"/>
  <c r="L63" i="23"/>
  <c r="L9" i="23"/>
  <c r="L60" i="23"/>
  <c r="L62" i="23"/>
  <c r="L61" i="23"/>
  <c r="L68" i="23"/>
  <c r="L8" i="23"/>
  <c r="L65" i="23"/>
  <c r="L66" i="23"/>
  <c r="L64" i="23"/>
  <c r="L69" i="23"/>
  <c r="L7" i="23"/>
  <c r="M20" i="7" s="1"/>
  <c r="L10" i="23"/>
  <c r="M23" i="7" s="1"/>
  <c r="L12" i="23"/>
  <c r="M25" i="7" s="1"/>
  <c r="L6" i="23"/>
  <c r="M19" i="7" s="1"/>
  <c r="L11" i="23"/>
  <c r="M24" i="7" s="1"/>
  <c r="L14" i="23"/>
  <c r="M27" i="7" s="1"/>
  <c r="L18" i="23"/>
  <c r="M4" i="7" s="1"/>
  <c r="L72" i="23"/>
  <c r="M7" i="7" s="1"/>
  <c r="D55" i="7"/>
  <c r="D143" i="7" s="1"/>
  <c r="D160" i="7" s="1"/>
  <c r="D67" i="7"/>
  <c r="C25" i="5"/>
  <c r="D25" i="5" s="1"/>
  <c r="E25" i="5" s="1"/>
  <c r="F25" i="5" s="1"/>
  <c r="G25" i="5" s="1"/>
  <c r="H25" i="5" s="1"/>
  <c r="I25" i="5" s="1"/>
  <c r="J25" i="5" s="1"/>
  <c r="K25" i="5" s="1"/>
  <c r="L25" i="5" s="1"/>
  <c r="J55" i="7"/>
  <c r="J143" i="7" s="1"/>
  <c r="J160" i="7" s="1"/>
  <c r="D202" i="7"/>
  <c r="D99" i="7"/>
  <c r="C34" i="3"/>
  <c r="H67" i="7"/>
  <c r="H202" i="7"/>
  <c r="H178" i="7"/>
  <c r="H179" i="7" s="1"/>
  <c r="F178" i="7"/>
  <c r="F179" i="7" s="1"/>
  <c r="L55" i="7"/>
  <c r="L143" i="7" s="1"/>
  <c r="L160" i="7" s="1"/>
  <c r="L67" i="7"/>
  <c r="J67" i="7"/>
  <c r="J178" i="7"/>
  <c r="J179" i="7" s="1"/>
  <c r="L202" i="7"/>
  <c r="F202" i="7"/>
  <c r="F55" i="7"/>
  <c r="F143" i="7" s="1"/>
  <c r="F160" i="7" s="1"/>
  <c r="I202" i="7"/>
  <c r="G178" i="7"/>
  <c r="G179" i="7" s="1"/>
  <c r="I178" i="7"/>
  <c r="I179" i="7" s="1"/>
  <c r="I67" i="7"/>
  <c r="G202" i="7"/>
  <c r="E55" i="7"/>
  <c r="E143" i="7" s="1"/>
  <c r="E160" i="7" s="1"/>
  <c r="E202" i="7"/>
  <c r="G55" i="7"/>
  <c r="G143" i="7" s="1"/>
  <c r="G160" i="7" s="1"/>
  <c r="E178" i="7"/>
  <c r="E179" i="7" s="1"/>
  <c r="F93" i="7"/>
  <c r="G30" i="5"/>
  <c r="G37" i="5" s="1"/>
  <c r="H31" i="5"/>
  <c r="H38" i="5" s="1"/>
  <c r="G149" i="7"/>
  <c r="H33" i="5"/>
  <c r="H40" i="5" s="1"/>
  <c r="J67" i="6"/>
  <c r="J68" i="6" s="1"/>
  <c r="G121" i="7"/>
  <c r="G132" i="7" s="1"/>
  <c r="G201" i="7"/>
  <c r="G216" i="7" s="1"/>
  <c r="H70" i="6"/>
  <c r="H71" i="6" s="1"/>
  <c r="H44" i="7" s="1"/>
  <c r="H79" i="7"/>
  <c r="C165" i="7"/>
  <c r="C167" i="7" s="1"/>
  <c r="D91" i="7"/>
  <c r="C75" i="7"/>
  <c r="C78" i="7" s="1"/>
  <c r="D79" i="7"/>
  <c r="E79" i="7"/>
  <c r="I67" i="6"/>
  <c r="I68" i="6" s="1"/>
  <c r="D121" i="7"/>
  <c r="D201" i="7"/>
  <c r="M21" i="7" l="1"/>
  <c r="M22" i="7"/>
  <c r="F50" i="6"/>
  <c r="F80" i="7" s="1"/>
  <c r="F94" i="7" s="1"/>
  <c r="H50" i="6"/>
  <c r="H80" i="7" s="1"/>
  <c r="H166" i="7" s="1"/>
  <c r="I50" i="6"/>
  <c r="I80" i="7" s="1"/>
  <c r="I166" i="7" s="1"/>
  <c r="C42" i="5"/>
  <c r="D36" i="7" s="1"/>
  <c r="D38" i="7" s="1"/>
  <c r="L50" i="6"/>
  <c r="L80" i="7" s="1"/>
  <c r="L150" i="7" s="1"/>
  <c r="M50" i="6"/>
  <c r="G50" i="6"/>
  <c r="G80" i="7" s="1"/>
  <c r="M4" i="6"/>
  <c r="J5" i="6" s="1"/>
  <c r="K5" i="6" s="1"/>
  <c r="E5" i="6"/>
  <c r="K50" i="6"/>
  <c r="K80" i="7" s="1"/>
  <c r="K133" i="7" s="1"/>
  <c r="K203" i="7" s="1"/>
  <c r="J50" i="6"/>
  <c r="J80" i="7" s="1"/>
  <c r="E6" i="6"/>
  <c r="G6" i="6"/>
  <c r="D7" i="6" s="1"/>
  <c r="C148" i="7"/>
  <c r="C151" i="7" s="1"/>
  <c r="C228" i="7"/>
  <c r="C81" i="7"/>
  <c r="C84" i="7" s="1"/>
  <c r="K185" i="23"/>
  <c r="L13" i="7"/>
  <c r="L16" i="7" s="1"/>
  <c r="L29" i="7"/>
  <c r="L185" i="23"/>
  <c r="M13" i="7"/>
  <c r="M16" i="7" s="1"/>
  <c r="D39" i="5"/>
  <c r="E32" i="5" s="1"/>
  <c r="E34" i="5" s="1"/>
  <c r="F56" i="7" s="1"/>
  <c r="L74" i="23"/>
  <c r="L15" i="23"/>
  <c r="L20" i="23" s="1"/>
  <c r="E99" i="7"/>
  <c r="F99" i="7" s="1"/>
  <c r="G93" i="7"/>
  <c r="I31" i="5"/>
  <c r="I38" i="5" s="1"/>
  <c r="I33" i="5"/>
  <c r="I40" i="5" s="1"/>
  <c r="H30" i="5"/>
  <c r="H37" i="5" s="1"/>
  <c r="D132" i="7"/>
  <c r="H149" i="7"/>
  <c r="J79" i="7"/>
  <c r="J70" i="6"/>
  <c r="J71" i="6" s="1"/>
  <c r="J44" i="7" s="1"/>
  <c r="D216" i="7"/>
  <c r="I70" i="6"/>
  <c r="I71" i="6" s="1"/>
  <c r="I44" i="7" s="1"/>
  <c r="I79" i="7"/>
  <c r="E149" i="7"/>
  <c r="E151" i="7" s="1"/>
  <c r="E81" i="7"/>
  <c r="K193" i="7"/>
  <c r="H121" i="7"/>
  <c r="H132" i="7" s="1"/>
  <c r="H201" i="7"/>
  <c r="H216" i="7" s="1"/>
  <c r="D101" i="7"/>
  <c r="D149" i="7"/>
  <c r="D151" i="7" s="1"/>
  <c r="D81" i="7"/>
  <c r="L193" i="7"/>
  <c r="D98" i="7"/>
  <c r="D111" i="7"/>
  <c r="E91" i="7"/>
  <c r="H81" i="7" l="1"/>
  <c r="F53" i="6"/>
  <c r="D40" i="7"/>
  <c r="D176" i="7" s="1"/>
  <c r="D177" i="7"/>
  <c r="F150" i="7"/>
  <c r="F151" i="7" s="1"/>
  <c r="F166" i="7"/>
  <c r="G94" i="7"/>
  <c r="H94" i="7" s="1"/>
  <c r="F81" i="7"/>
  <c r="F133" i="7"/>
  <c r="F203" i="7" s="1"/>
  <c r="G133" i="7"/>
  <c r="G203" i="7" s="1"/>
  <c r="D179" i="7"/>
  <c r="H133" i="7"/>
  <c r="H203" i="7" s="1"/>
  <c r="H150" i="7"/>
  <c r="H151" i="7" s="1"/>
  <c r="I133" i="7"/>
  <c r="I203" i="7" s="1"/>
  <c r="G53" i="6"/>
  <c r="H53" i="6" s="1"/>
  <c r="I53" i="6" s="1"/>
  <c r="J53" i="6" s="1"/>
  <c r="K53" i="6" s="1"/>
  <c r="L53" i="6" s="1"/>
  <c r="M53" i="6" s="1"/>
  <c r="I150" i="7"/>
  <c r="L166" i="7"/>
  <c r="L133" i="7"/>
  <c r="L203" i="7" s="1"/>
  <c r="G166" i="7"/>
  <c r="G81" i="7"/>
  <c r="G150" i="7"/>
  <c r="G151" i="7" s="1"/>
  <c r="M5" i="6"/>
  <c r="J6" i="6" s="1"/>
  <c r="K6" i="6" s="1"/>
  <c r="K166" i="7"/>
  <c r="K150" i="7"/>
  <c r="J150" i="7"/>
  <c r="J133" i="7"/>
  <c r="J203" i="7" s="1"/>
  <c r="J166" i="7"/>
  <c r="G7" i="6"/>
  <c r="D8" i="6" s="1"/>
  <c r="E7" i="6"/>
  <c r="D49" i="6" s="1"/>
  <c r="D42" i="5"/>
  <c r="E36" i="7" s="1"/>
  <c r="E38" i="7" s="1"/>
  <c r="D42" i="7"/>
  <c r="M67" i="6"/>
  <c r="M68" i="6" s="1"/>
  <c r="M70" i="6" s="1"/>
  <c r="M71" i="6" s="1"/>
  <c r="M44" i="7" s="1"/>
  <c r="M29" i="7"/>
  <c r="H93" i="7"/>
  <c r="J31" i="5"/>
  <c r="J38" i="5" s="1"/>
  <c r="J33" i="5"/>
  <c r="J40" i="5" s="1"/>
  <c r="J149" i="7"/>
  <c r="J81" i="7"/>
  <c r="I30" i="5"/>
  <c r="I37" i="5" s="1"/>
  <c r="E39" i="5"/>
  <c r="D100" i="7"/>
  <c r="E98" i="7"/>
  <c r="E101" i="7"/>
  <c r="I121" i="7"/>
  <c r="I132" i="7" s="1"/>
  <c r="I201" i="7"/>
  <c r="I216" i="7" s="1"/>
  <c r="I149" i="7"/>
  <c r="I81" i="7"/>
  <c r="L67" i="6"/>
  <c r="L68" i="6" s="1"/>
  <c r="IT16" i="7"/>
  <c r="G99" i="7"/>
  <c r="F91" i="7"/>
  <c r="E111" i="7"/>
  <c r="K67" i="6"/>
  <c r="K68" i="6" s="1"/>
  <c r="J201" i="7"/>
  <c r="J216" i="7" s="1"/>
  <c r="J121" i="7"/>
  <c r="J132" i="7" s="1"/>
  <c r="E40" i="7" l="1"/>
  <c r="E42" i="7" s="1"/>
  <c r="E177" i="7"/>
  <c r="I151" i="7"/>
  <c r="M6" i="6"/>
  <c r="J7" i="6" s="1"/>
  <c r="M7" i="6" s="1"/>
  <c r="J8" i="6" s="1"/>
  <c r="J151" i="7"/>
  <c r="G8" i="6"/>
  <c r="D9" i="6" s="1"/>
  <c r="E8" i="6"/>
  <c r="D43" i="7"/>
  <c r="D113" i="7" s="1"/>
  <c r="D51" i="6"/>
  <c r="D191" i="7"/>
  <c r="D195" i="7" s="1"/>
  <c r="D181" i="7"/>
  <c r="D183" i="7" s="1"/>
  <c r="D185" i="7" s="1"/>
  <c r="D187" i="7" s="1"/>
  <c r="D189" i="7" s="1"/>
  <c r="I94" i="7"/>
  <c r="D118" i="7"/>
  <c r="D129" i="7" s="1"/>
  <c r="D112" i="7"/>
  <c r="D109" i="7"/>
  <c r="I93" i="7"/>
  <c r="K33" i="5"/>
  <c r="K40" i="5" s="1"/>
  <c r="K31" i="5"/>
  <c r="K38" i="5" s="1"/>
  <c r="K79" i="7"/>
  <c r="K70" i="6"/>
  <c r="K71" i="6" s="1"/>
  <c r="K44" i="7" s="1"/>
  <c r="G91" i="7"/>
  <c r="F111" i="7"/>
  <c r="H99" i="7"/>
  <c r="L70" i="6"/>
  <c r="L71" i="6" s="1"/>
  <c r="L44" i="7" s="1"/>
  <c r="L79" i="7"/>
  <c r="F32" i="5"/>
  <c r="F34" i="5" s="1"/>
  <c r="G56" i="7" s="1"/>
  <c r="E42" i="5"/>
  <c r="F36" i="7" s="1"/>
  <c r="J30" i="5"/>
  <c r="J37" i="5" s="1"/>
  <c r="F101" i="7"/>
  <c r="E100" i="7"/>
  <c r="F98" i="7"/>
  <c r="K7" i="6" l="1"/>
  <c r="E176" i="7"/>
  <c r="E181" i="7" s="1"/>
  <c r="E183" i="7" s="1"/>
  <c r="E185" i="7" s="1"/>
  <c r="E187" i="7" s="1"/>
  <c r="E189" i="7" s="1"/>
  <c r="D46" i="7"/>
  <c r="D54" i="7" s="1"/>
  <c r="D57" i="7" s="1"/>
  <c r="K8" i="6"/>
  <c r="M8" i="6"/>
  <c r="J9" i="6" s="1"/>
  <c r="D144" i="7"/>
  <c r="D120" i="7"/>
  <c r="D200" i="7"/>
  <c r="D215" i="7" s="1"/>
  <c r="G9" i="6"/>
  <c r="D10" i="6" s="1"/>
  <c r="E9" i="6"/>
  <c r="F38" i="7"/>
  <c r="F199" i="7"/>
  <c r="F214" i="7"/>
  <c r="J94" i="7"/>
  <c r="E118" i="7"/>
  <c r="E129" i="7" s="1"/>
  <c r="E109" i="7"/>
  <c r="E112" i="7"/>
  <c r="J93" i="7"/>
  <c r="L33" i="5"/>
  <c r="L40" i="5" s="1"/>
  <c r="L31" i="5"/>
  <c r="L38" i="5" s="1"/>
  <c r="F39" i="5"/>
  <c r="I99" i="7"/>
  <c r="F100" i="7"/>
  <c r="G98" i="7"/>
  <c r="K149" i="7"/>
  <c r="K151" i="7" s="1"/>
  <c r="K81" i="7"/>
  <c r="K30" i="5"/>
  <c r="K37" i="5" s="1"/>
  <c r="L81" i="7"/>
  <c r="L149" i="7"/>
  <c r="L151" i="7" s="1"/>
  <c r="H91" i="7"/>
  <c r="G111" i="7"/>
  <c r="G101" i="7"/>
  <c r="L121" i="7"/>
  <c r="L132" i="7" s="1"/>
  <c r="L201" i="7"/>
  <c r="L216" i="7" s="1"/>
  <c r="K121" i="7"/>
  <c r="K132" i="7" s="1"/>
  <c r="K201" i="7"/>
  <c r="K216" i="7" s="1"/>
  <c r="E191" i="7" l="1"/>
  <c r="E195" i="7" s="1"/>
  <c r="F40" i="7"/>
  <c r="F176" i="7" s="1"/>
  <c r="F177" i="7"/>
  <c r="E10" i="6"/>
  <c r="G10" i="6"/>
  <c r="D11" i="6" s="1"/>
  <c r="M9" i="6"/>
  <c r="J10" i="6" s="1"/>
  <c r="K10" i="6" s="1"/>
  <c r="L10" i="6" s="1"/>
  <c r="M10" i="6" s="1"/>
  <c r="J11" i="6" s="1"/>
  <c r="K11" i="6" s="1"/>
  <c r="L11" i="6" s="1"/>
  <c r="M11" i="6" s="1"/>
  <c r="J12" i="6" s="1"/>
  <c r="K12" i="6" s="1"/>
  <c r="L12" i="6" s="1"/>
  <c r="M12" i="6" s="1"/>
  <c r="J13" i="6" s="1"/>
  <c r="K13" i="6" s="1"/>
  <c r="L13" i="6" s="1"/>
  <c r="M13" i="6" s="1"/>
  <c r="J14" i="6" s="1"/>
  <c r="K14" i="6" s="1"/>
  <c r="L14" i="6" s="1"/>
  <c r="M14" i="6" s="1"/>
  <c r="J15" i="6" s="1"/>
  <c r="K15" i="6" s="1"/>
  <c r="L15" i="6" s="1"/>
  <c r="M15" i="6" s="1"/>
  <c r="J16" i="6" s="1"/>
  <c r="K16" i="6" s="1"/>
  <c r="L16" i="6" s="1"/>
  <c r="M16" i="6" s="1"/>
  <c r="J17" i="6" s="1"/>
  <c r="K17" i="6" s="1"/>
  <c r="L17" i="6" s="1"/>
  <c r="M17" i="6" s="1"/>
  <c r="J18" i="6" s="1"/>
  <c r="K18" i="6" s="1"/>
  <c r="L18" i="6" s="1"/>
  <c r="M18" i="6" s="1"/>
  <c r="J19" i="6" s="1"/>
  <c r="K9" i="6"/>
  <c r="D131" i="7"/>
  <c r="D134" i="7" s="1"/>
  <c r="D136" i="7" s="1"/>
  <c r="D114" i="7" s="1"/>
  <c r="D122" i="7"/>
  <c r="D124" i="7" s="1"/>
  <c r="K94" i="7"/>
  <c r="D60" i="7"/>
  <c r="D58" i="7" s="1"/>
  <c r="D47" i="7" s="1"/>
  <c r="K93" i="7"/>
  <c r="G32" i="5"/>
  <c r="G34" i="5" s="1"/>
  <c r="H56" i="7" s="1"/>
  <c r="F42" i="5"/>
  <c r="G36" i="7" s="1"/>
  <c r="H101" i="7"/>
  <c r="I91" i="7"/>
  <c r="H111" i="7"/>
  <c r="L30" i="5"/>
  <c r="H98" i="7"/>
  <c r="G100" i="7"/>
  <c r="J99" i="7"/>
  <c r="F42" i="7" l="1"/>
  <c r="F109" i="7" s="1"/>
  <c r="G11" i="6"/>
  <c r="D12" i="6" s="1"/>
  <c r="E11" i="6"/>
  <c r="E49" i="6" s="1"/>
  <c r="F191" i="7"/>
  <c r="F195" i="7" s="1"/>
  <c r="F181" i="7"/>
  <c r="F183" i="7" s="1"/>
  <c r="F185" i="7" s="1"/>
  <c r="F187" i="7" s="1"/>
  <c r="F189" i="7" s="1"/>
  <c r="D204" i="7"/>
  <c r="D205" i="7" s="1"/>
  <c r="D209" i="7" s="1"/>
  <c r="D217" i="7"/>
  <c r="D218" i="7" s="1"/>
  <c r="D222" i="7" s="1"/>
  <c r="D48" i="7"/>
  <c r="G38" i="7"/>
  <c r="G199" i="7"/>
  <c r="G214" i="7"/>
  <c r="L94" i="7"/>
  <c r="L93" i="7"/>
  <c r="K19" i="6"/>
  <c r="L19" i="6" s="1"/>
  <c r="M19" i="6" s="1"/>
  <c r="J20" i="6" s="1"/>
  <c r="J91" i="7"/>
  <c r="I111" i="7"/>
  <c r="I101" i="7"/>
  <c r="G39" i="5"/>
  <c r="L37" i="5"/>
  <c r="H100" i="7"/>
  <c r="I98" i="7"/>
  <c r="K99" i="7"/>
  <c r="F112" i="7" l="1"/>
  <c r="F118" i="7"/>
  <c r="F129" i="7" s="1"/>
  <c r="G40" i="7"/>
  <c r="G176" i="7" s="1"/>
  <c r="G177" i="7"/>
  <c r="E51" i="6"/>
  <c r="E43" i="7"/>
  <c r="E12" i="6"/>
  <c r="G12" i="6"/>
  <c r="D13" i="6" s="1"/>
  <c r="D92" i="7"/>
  <c r="D66" i="7"/>
  <c r="D50" i="7"/>
  <c r="D110" i="7"/>
  <c r="D142" i="7"/>
  <c r="M94" i="7"/>
  <c r="M93" i="7"/>
  <c r="K20" i="6"/>
  <c r="L20" i="6" s="1"/>
  <c r="M20" i="6" s="1"/>
  <c r="J21" i="6" s="1"/>
  <c r="K91" i="7"/>
  <c r="J111" i="7"/>
  <c r="I100" i="7"/>
  <c r="J98" i="7"/>
  <c r="J101" i="7"/>
  <c r="L99" i="7"/>
  <c r="H32" i="5"/>
  <c r="H34" i="5" s="1"/>
  <c r="I56" i="7" s="1"/>
  <c r="G42" i="5"/>
  <c r="H36" i="7" s="1"/>
  <c r="G42" i="7" l="1"/>
  <c r="G118" i="7" s="1"/>
  <c r="G129" i="7" s="1"/>
  <c r="G13" i="6"/>
  <c r="D14" i="6" s="1"/>
  <c r="E13" i="6"/>
  <c r="E144" i="7"/>
  <c r="E113" i="7"/>
  <c r="E200" i="7"/>
  <c r="E215" i="7" s="1"/>
  <c r="E120" i="7"/>
  <c r="E46" i="7"/>
  <c r="D145" i="7"/>
  <c r="D154" i="7" s="1"/>
  <c r="D229" i="7" s="1"/>
  <c r="D159" i="7"/>
  <c r="D162" i="7" s="1"/>
  <c r="D167" i="7" s="1"/>
  <c r="G191" i="7"/>
  <c r="G195" i="7" s="1"/>
  <c r="G181" i="7"/>
  <c r="G183" i="7" s="1"/>
  <c r="G185" i="7" s="1"/>
  <c r="G187" i="7" s="1"/>
  <c r="G189" i="7" s="1"/>
  <c r="H38" i="7"/>
  <c r="H199" i="7"/>
  <c r="H214" i="7"/>
  <c r="D68" i="7"/>
  <c r="D95" i="7"/>
  <c r="H39" i="5"/>
  <c r="H42" i="5" s="1"/>
  <c r="I36" i="7" s="1"/>
  <c r="K101" i="7"/>
  <c r="K21" i="6"/>
  <c r="L21" i="6" s="1"/>
  <c r="M21" i="6" s="1"/>
  <c r="J22" i="6" s="1"/>
  <c r="J100" i="7"/>
  <c r="K98" i="7"/>
  <c r="M99" i="7"/>
  <c r="L91" i="7"/>
  <c r="K111" i="7"/>
  <c r="G112" i="7" l="1"/>
  <c r="G109" i="7"/>
  <c r="H40" i="7"/>
  <c r="H176" i="7" s="1"/>
  <c r="H177" i="7"/>
  <c r="E122" i="7"/>
  <c r="E124" i="7" s="1"/>
  <c r="E131" i="7"/>
  <c r="E134" i="7" s="1"/>
  <c r="E136" i="7" s="1"/>
  <c r="E114" i="7" s="1"/>
  <c r="E54" i="7"/>
  <c r="E57" i="7" s="1"/>
  <c r="E60" i="7" s="1"/>
  <c r="E58" i="7" s="1"/>
  <c r="E47" i="7" s="1"/>
  <c r="G14" i="6"/>
  <c r="D15" i="6" s="1"/>
  <c r="E14" i="6"/>
  <c r="D75" i="7"/>
  <c r="H42" i="7"/>
  <c r="I38" i="7"/>
  <c r="I214" i="7"/>
  <c r="I199" i="7"/>
  <c r="D230" i="7"/>
  <c r="I32" i="5"/>
  <c r="I34" i="5" s="1"/>
  <c r="J56" i="7" s="1"/>
  <c r="K22" i="6"/>
  <c r="L22" i="6" s="1"/>
  <c r="M22" i="6" s="1"/>
  <c r="J23" i="6" s="1"/>
  <c r="L101" i="7"/>
  <c r="M91" i="7"/>
  <c r="L111" i="7"/>
  <c r="K100" i="7"/>
  <c r="L98" i="7"/>
  <c r="I40" i="7" l="1"/>
  <c r="I42" i="7" s="1"/>
  <c r="I177" i="7"/>
  <c r="E217" i="7"/>
  <c r="E218" i="7" s="1"/>
  <c r="E222" i="7" s="1"/>
  <c r="E204" i="7"/>
  <c r="E205" i="7" s="1"/>
  <c r="E209" i="7" s="1"/>
  <c r="E48" i="7"/>
  <c r="G15" i="6"/>
  <c r="D16" i="6" s="1"/>
  <c r="E15" i="6"/>
  <c r="F49" i="6" s="1"/>
  <c r="D231" i="7"/>
  <c r="D232" i="7"/>
  <c r="H191" i="7"/>
  <c r="H195" i="7" s="1"/>
  <c r="H181" i="7"/>
  <c r="H183" i="7" s="1"/>
  <c r="H185" i="7" s="1"/>
  <c r="H187" i="7" s="1"/>
  <c r="H189" i="7" s="1"/>
  <c r="H118" i="7"/>
  <c r="H129" i="7" s="1"/>
  <c r="H109" i="7"/>
  <c r="H112" i="7"/>
  <c r="D84" i="7"/>
  <c r="I39" i="5"/>
  <c r="J32" i="5" s="1"/>
  <c r="J34" i="5" s="1"/>
  <c r="K56" i="7" s="1"/>
  <c r="M98" i="7"/>
  <c r="L100" i="7"/>
  <c r="K23" i="6"/>
  <c r="L23" i="6" s="1"/>
  <c r="M23" i="6" s="1"/>
  <c r="J24" i="6" s="1"/>
  <c r="M101" i="7"/>
  <c r="I176" i="7" l="1"/>
  <c r="I181" i="7" s="1"/>
  <c r="I183" i="7" s="1"/>
  <c r="I185" i="7" s="1"/>
  <c r="I187" i="7" s="1"/>
  <c r="I189" i="7" s="1"/>
  <c r="E66" i="7"/>
  <c r="E92" i="7"/>
  <c r="E95" i="7" s="1"/>
  <c r="E50" i="7"/>
  <c r="E110" i="7"/>
  <c r="E142" i="7"/>
  <c r="E145" i="7" s="1"/>
  <c r="E154" i="7" s="1"/>
  <c r="E229" i="7" s="1"/>
  <c r="F51" i="6"/>
  <c r="F43" i="7"/>
  <c r="E16" i="6"/>
  <c r="G16" i="6"/>
  <c r="D17" i="6" s="1"/>
  <c r="I118" i="7"/>
  <c r="I129" i="7" s="1"/>
  <c r="I109" i="7"/>
  <c r="I112" i="7"/>
  <c r="D85" i="7"/>
  <c r="J39" i="5"/>
  <c r="K32" i="5" s="1"/>
  <c r="K34" i="5" s="1"/>
  <c r="L56" i="7" s="1"/>
  <c r="I42" i="5"/>
  <c r="J36" i="7" s="1"/>
  <c r="K24" i="6"/>
  <c r="L24" i="6" s="1"/>
  <c r="M24" i="6" s="1"/>
  <c r="J25" i="6" s="1"/>
  <c r="M100" i="7"/>
  <c r="I191" i="7" l="1"/>
  <c r="I195" i="7" s="1"/>
  <c r="E159" i="7"/>
  <c r="E162" i="7" s="1"/>
  <c r="E167" i="7" s="1"/>
  <c r="E68" i="7"/>
  <c r="E17" i="6"/>
  <c r="G17" i="6"/>
  <c r="D18" i="6" s="1"/>
  <c r="F144" i="7"/>
  <c r="F46" i="7"/>
  <c r="F113" i="7"/>
  <c r="F200" i="7"/>
  <c r="F215" i="7" s="1"/>
  <c r="F120" i="7"/>
  <c r="M154" i="7"/>
  <c r="M103" i="7"/>
  <c r="O98" i="7"/>
  <c r="E83" i="7"/>
  <c r="D102" i="7"/>
  <c r="J38" i="7"/>
  <c r="J214" i="7"/>
  <c r="J199" i="7"/>
  <c r="E230" i="7"/>
  <c r="K39" i="5"/>
  <c r="L32" i="5" s="1"/>
  <c r="L34" i="5" s="1"/>
  <c r="M56" i="7" s="1"/>
  <c r="J42" i="5"/>
  <c r="K36" i="7" s="1"/>
  <c r="K25" i="6"/>
  <c r="L25" i="6" s="1"/>
  <c r="M25" i="6" s="1"/>
  <c r="J26" i="6" s="1"/>
  <c r="J40" i="7" l="1"/>
  <c r="J176" i="7" s="1"/>
  <c r="J177" i="7"/>
  <c r="E75" i="7"/>
  <c r="E84" i="7" s="1"/>
  <c r="E85" i="7" s="1"/>
  <c r="G18" i="6"/>
  <c r="D19" i="6" s="1"/>
  <c r="E18" i="6"/>
  <c r="F54" i="7"/>
  <c r="F57" i="7" s="1"/>
  <c r="F60" i="7" s="1"/>
  <c r="F58" i="7" s="1"/>
  <c r="F47" i="7" s="1"/>
  <c r="F217" i="7" s="1"/>
  <c r="F218" i="7" s="1"/>
  <c r="F222" i="7" s="1"/>
  <c r="F131" i="7"/>
  <c r="F134" i="7" s="1"/>
  <c r="F136" i="7" s="1"/>
  <c r="F114" i="7" s="1"/>
  <c r="F122" i="7"/>
  <c r="F124" i="7" s="1"/>
  <c r="J42" i="7"/>
  <c r="E232" i="7"/>
  <c r="E231" i="7"/>
  <c r="D103" i="7"/>
  <c r="K38" i="7"/>
  <c r="K199" i="7"/>
  <c r="K214" i="7"/>
  <c r="K42" i="5"/>
  <c r="L36" i="7" s="1"/>
  <c r="L39" i="5"/>
  <c r="L42" i="5" s="1"/>
  <c r="M36" i="7" s="1"/>
  <c r="M38" i="7" s="1"/>
  <c r="M40" i="7" s="1"/>
  <c r="M42" i="7" s="1"/>
  <c r="K26" i="6"/>
  <c r="L26" i="6" s="1"/>
  <c r="M26" i="6" s="1"/>
  <c r="J27" i="6" s="1"/>
  <c r="K40" i="7" l="1"/>
  <c r="K42" i="7" s="1"/>
  <c r="K177" i="7"/>
  <c r="F48" i="7"/>
  <c r="F92" i="7" s="1"/>
  <c r="F204" i="7"/>
  <c r="F205" i="7" s="1"/>
  <c r="F209" i="7" s="1"/>
  <c r="G19" i="6"/>
  <c r="D20" i="6" s="1"/>
  <c r="E19" i="6"/>
  <c r="G49" i="6" s="1"/>
  <c r="F83" i="7"/>
  <c r="E102" i="7"/>
  <c r="D104" i="7"/>
  <c r="L38" i="7"/>
  <c r="L214" i="7"/>
  <c r="L199" i="7"/>
  <c r="J181" i="7"/>
  <c r="J183" i="7" s="1"/>
  <c r="J185" i="7" s="1"/>
  <c r="J187" i="7" s="1"/>
  <c r="J189" i="7" s="1"/>
  <c r="J191" i="7"/>
  <c r="J195" i="7" s="1"/>
  <c r="J109" i="7"/>
  <c r="J118" i="7"/>
  <c r="J129" i="7" s="1"/>
  <c r="J112" i="7"/>
  <c r="K27" i="6"/>
  <c r="L27" i="6" s="1"/>
  <c r="M27" i="6" s="1"/>
  <c r="J28" i="6" s="1"/>
  <c r="K176" i="7" l="1"/>
  <c r="K191" i="7" s="1"/>
  <c r="K195" i="7" s="1"/>
  <c r="L40" i="7"/>
  <c r="L176" i="7" s="1"/>
  <c r="L177" i="7"/>
  <c r="F142" i="7"/>
  <c r="F159" i="7" s="1"/>
  <c r="F162" i="7" s="1"/>
  <c r="F167" i="7" s="1"/>
  <c r="F50" i="7"/>
  <c r="F110" i="7"/>
  <c r="F66" i="7"/>
  <c r="F68" i="7" s="1"/>
  <c r="G43" i="7"/>
  <c r="G51" i="6"/>
  <c r="E20" i="6"/>
  <c r="G20" i="6"/>
  <c r="D21" i="6" s="1"/>
  <c r="K118" i="7"/>
  <c r="K129" i="7" s="1"/>
  <c r="K109" i="7"/>
  <c r="K112" i="7"/>
  <c r="E103" i="7"/>
  <c r="F95" i="7"/>
  <c r="K181" i="7"/>
  <c r="K183" i="7" s="1"/>
  <c r="K185" i="7" s="1"/>
  <c r="K187" i="7" s="1"/>
  <c r="K189" i="7" s="1"/>
  <c r="K28" i="6"/>
  <c r="L28" i="6" s="1"/>
  <c r="M28" i="6" s="1"/>
  <c r="J29" i="6" s="1"/>
  <c r="L42" i="7" l="1"/>
  <c r="L118" i="7" s="1"/>
  <c r="L129" i="7" s="1"/>
  <c r="F145" i="7"/>
  <c r="F154" i="7" s="1"/>
  <c r="F229" i="7" s="1"/>
  <c r="F230" i="7" s="1"/>
  <c r="E21" i="6"/>
  <c r="G21" i="6"/>
  <c r="D22" i="6" s="1"/>
  <c r="G120" i="7"/>
  <c r="G46" i="7"/>
  <c r="G144" i="7"/>
  <c r="G200" i="7"/>
  <c r="G215" i="7" s="1"/>
  <c r="G113" i="7"/>
  <c r="F75" i="7"/>
  <c r="E104" i="7"/>
  <c r="K29" i="6"/>
  <c r="L29" i="6" s="1"/>
  <c r="M29" i="6" s="1"/>
  <c r="J30" i="6" s="1"/>
  <c r="L109" i="7" l="1"/>
  <c r="L112" i="7"/>
  <c r="G54" i="7"/>
  <c r="G57" i="7" s="1"/>
  <c r="G60" i="7" s="1"/>
  <c r="G58" i="7" s="1"/>
  <c r="G47" i="7" s="1"/>
  <c r="G217" i="7" s="1"/>
  <c r="G218" i="7" s="1"/>
  <c r="G222" i="7" s="1"/>
  <c r="G122" i="7"/>
  <c r="G124" i="7" s="1"/>
  <c r="G131" i="7"/>
  <c r="G134" i="7" s="1"/>
  <c r="G136" i="7" s="1"/>
  <c r="G114" i="7" s="1"/>
  <c r="G22" i="6"/>
  <c r="D23" i="6" s="1"/>
  <c r="E22" i="6"/>
  <c r="F84" i="7"/>
  <c r="F231" i="7"/>
  <c r="F232" i="7"/>
  <c r="K30" i="6"/>
  <c r="L30" i="6" s="1"/>
  <c r="M30" i="6" s="1"/>
  <c r="J31" i="6" s="1"/>
  <c r="G48" i="7" l="1"/>
  <c r="G204" i="7"/>
  <c r="G205" i="7" s="1"/>
  <c r="G209" i="7" s="1"/>
  <c r="E23" i="6"/>
  <c r="H49" i="6" s="1"/>
  <c r="G23" i="6"/>
  <c r="D24" i="6" s="1"/>
  <c r="F85" i="7"/>
  <c r="K31" i="6"/>
  <c r="L31" i="6" s="1"/>
  <c r="M31" i="6" s="1"/>
  <c r="J32" i="6" s="1"/>
  <c r="G110" i="7" l="1"/>
  <c r="G50" i="7"/>
  <c r="G92" i="7"/>
  <c r="G95" i="7" s="1"/>
  <c r="G66" i="7"/>
  <c r="G142" i="7"/>
  <c r="G145" i="7" s="1"/>
  <c r="G154" i="7" s="1"/>
  <c r="G229" i="7" s="1"/>
  <c r="G24" i="6"/>
  <c r="D25" i="6" s="1"/>
  <c r="E24" i="6"/>
  <c r="H51" i="6"/>
  <c r="H43" i="7"/>
  <c r="G83" i="7"/>
  <c r="F102" i="7"/>
  <c r="K32" i="6"/>
  <c r="L32" i="6" s="1"/>
  <c r="M32" i="6" s="1"/>
  <c r="J33" i="6" s="1"/>
  <c r="G159" i="7" l="1"/>
  <c r="G162" i="7" s="1"/>
  <c r="G167" i="7" s="1"/>
  <c r="G68" i="7"/>
  <c r="H200" i="7"/>
  <c r="H215" i="7" s="1"/>
  <c r="H120" i="7"/>
  <c r="H144" i="7"/>
  <c r="H46" i="7"/>
  <c r="H113" i="7"/>
  <c r="G25" i="6"/>
  <c r="D26" i="6" s="1"/>
  <c r="E25" i="6"/>
  <c r="G230" i="7"/>
  <c r="F103" i="7"/>
  <c r="K33" i="6"/>
  <c r="L33" i="6" s="1"/>
  <c r="M33" i="6" s="1"/>
  <c r="J34" i="6" s="1"/>
  <c r="G75" i="7" l="1"/>
  <c r="G26" i="6"/>
  <c r="D27" i="6" s="1"/>
  <c r="E26" i="6"/>
  <c r="H122" i="7"/>
  <c r="H124" i="7" s="1"/>
  <c r="H131" i="7"/>
  <c r="H134" i="7" s="1"/>
  <c r="H136" i="7" s="1"/>
  <c r="H114" i="7" s="1"/>
  <c r="H54" i="7"/>
  <c r="H57" i="7" s="1"/>
  <c r="H60" i="7" s="1"/>
  <c r="H58" i="7" s="1"/>
  <c r="H47" i="7" s="1"/>
  <c r="H217" i="7" s="1"/>
  <c r="H218" i="7" s="1"/>
  <c r="H222" i="7" s="1"/>
  <c r="F104" i="7"/>
  <c r="G232" i="7"/>
  <c r="G231" i="7"/>
  <c r="K34" i="6"/>
  <c r="L34" i="6" s="1"/>
  <c r="M34" i="6" s="1"/>
  <c r="J35" i="6" s="1"/>
  <c r="G84" i="7" l="1"/>
  <c r="H48" i="7"/>
  <c r="H50" i="7" s="1"/>
  <c r="H204" i="7"/>
  <c r="H205" i="7" s="1"/>
  <c r="H209" i="7" s="1"/>
  <c r="E27" i="6"/>
  <c r="I49" i="6" s="1"/>
  <c r="G27" i="6"/>
  <c r="D28" i="6" s="1"/>
  <c r="K35" i="6"/>
  <c r="L35" i="6" s="1"/>
  <c r="M35" i="6" s="1"/>
  <c r="J36" i="6" s="1"/>
  <c r="G85" i="7" l="1"/>
  <c r="H83" i="7" s="1"/>
  <c r="H142" i="7"/>
  <c r="H145" i="7" s="1"/>
  <c r="H154" i="7" s="1"/>
  <c r="H229" i="7" s="1"/>
  <c r="H92" i="7"/>
  <c r="H66" i="7"/>
  <c r="H68" i="7" s="1"/>
  <c r="H110" i="7"/>
  <c r="G28" i="6"/>
  <c r="D29" i="6" s="1"/>
  <c r="E28" i="6"/>
  <c r="I51" i="6"/>
  <c r="I43" i="7"/>
  <c r="K36" i="6"/>
  <c r="L36" i="6" s="1"/>
  <c r="M36" i="6" s="1"/>
  <c r="J37" i="6" s="1"/>
  <c r="G102" i="7" l="1"/>
  <c r="G103" i="7" s="1"/>
  <c r="H95" i="7"/>
  <c r="H159" i="7"/>
  <c r="H162" i="7" s="1"/>
  <c r="H167" i="7" s="1"/>
  <c r="I200" i="7"/>
  <c r="I215" i="7" s="1"/>
  <c r="I46" i="7"/>
  <c r="I120" i="7"/>
  <c r="I144" i="7"/>
  <c r="I113" i="7"/>
  <c r="E29" i="6"/>
  <c r="G29" i="6"/>
  <c r="D30" i="6" s="1"/>
  <c r="H230" i="7"/>
  <c r="H75" i="7"/>
  <c r="K37" i="6"/>
  <c r="L37" i="6" s="1"/>
  <c r="M37" i="6" s="1"/>
  <c r="J38" i="6" s="1"/>
  <c r="I122" i="7" l="1"/>
  <c r="I124" i="7" s="1"/>
  <c r="I131" i="7"/>
  <c r="I134" i="7" s="1"/>
  <c r="I54" i="7"/>
  <c r="I57" i="7" s="1"/>
  <c r="I60" i="7" s="1"/>
  <c r="I58" i="7" s="1"/>
  <c r="I47" i="7" s="1"/>
  <c r="G30" i="6"/>
  <c r="D31" i="6" s="1"/>
  <c r="E30" i="6"/>
  <c r="G104" i="7"/>
  <c r="H232" i="7"/>
  <c r="C241" i="7" s="1"/>
  <c r="H231" i="7"/>
  <c r="H84" i="7"/>
  <c r="K38" i="6"/>
  <c r="L38" i="6" s="1"/>
  <c r="M38" i="6" s="1"/>
  <c r="J39" i="6" s="1"/>
  <c r="I48" i="7" l="1"/>
  <c r="I204" i="7"/>
  <c r="I205" i="7" s="1"/>
  <c r="I209" i="7" s="1"/>
  <c r="I217" i="7"/>
  <c r="I218" i="7" s="1"/>
  <c r="I222" i="7" s="1"/>
  <c r="E31" i="6"/>
  <c r="J49" i="6" s="1"/>
  <c r="G31" i="6"/>
  <c r="D32" i="6" s="1"/>
  <c r="D137" i="7"/>
  <c r="I136" i="7"/>
  <c r="I114" i="7" s="1"/>
  <c r="H85" i="7"/>
  <c r="K39" i="6"/>
  <c r="L39" i="6" s="1"/>
  <c r="M39" i="6" s="1"/>
  <c r="J40" i="6" s="1"/>
  <c r="D115" i="7" l="1"/>
  <c r="C239" i="7"/>
  <c r="G32" i="6"/>
  <c r="D33" i="6" s="1"/>
  <c r="E32" i="6"/>
  <c r="J51" i="6"/>
  <c r="J43" i="7"/>
  <c r="I66" i="7"/>
  <c r="I142" i="7"/>
  <c r="I110" i="7"/>
  <c r="I50" i="7"/>
  <c r="I92" i="7"/>
  <c r="I83" i="7"/>
  <c r="H102" i="7"/>
  <c r="K40" i="6"/>
  <c r="L40" i="6" s="1"/>
  <c r="M40" i="6" s="1"/>
  <c r="J41" i="6" s="1"/>
  <c r="I95" i="7" l="1"/>
  <c r="I68" i="7"/>
  <c r="G33" i="6"/>
  <c r="D34" i="6" s="1"/>
  <c r="E33" i="6"/>
  <c r="J144" i="7"/>
  <c r="J113" i="7"/>
  <c r="J200" i="7"/>
  <c r="J215" i="7" s="1"/>
  <c r="J46" i="7"/>
  <c r="J120" i="7"/>
  <c r="I159" i="7"/>
  <c r="I162" i="7" s="1"/>
  <c r="I167" i="7" s="1"/>
  <c r="I145" i="7"/>
  <c r="I154" i="7" s="1"/>
  <c r="I229" i="7" s="1"/>
  <c r="I230" i="7" s="1"/>
  <c r="H103" i="7"/>
  <c r="K41" i="6"/>
  <c r="L41" i="6" s="1"/>
  <c r="M41" i="6" s="1"/>
  <c r="J42" i="6" s="1"/>
  <c r="J131" i="7" l="1"/>
  <c r="J134" i="7" s="1"/>
  <c r="J136" i="7" s="1"/>
  <c r="J114" i="7" s="1"/>
  <c r="J122" i="7"/>
  <c r="E34" i="6"/>
  <c r="G34" i="6"/>
  <c r="D35" i="6" s="1"/>
  <c r="J54" i="7"/>
  <c r="J57" i="7" s="1"/>
  <c r="J60" i="7" s="1"/>
  <c r="J58" i="7" s="1"/>
  <c r="J47" i="7" s="1"/>
  <c r="I232" i="7"/>
  <c r="I231" i="7"/>
  <c r="I75" i="7"/>
  <c r="H104" i="7"/>
  <c r="K42" i="6"/>
  <c r="L42" i="6" s="1"/>
  <c r="M42" i="6" s="1"/>
  <c r="J43" i="6" s="1"/>
  <c r="I84" i="7" l="1"/>
  <c r="G35" i="6"/>
  <c r="D36" i="6" s="1"/>
  <c r="E35" i="6"/>
  <c r="K49" i="6" s="1"/>
  <c r="J124" i="7"/>
  <c r="D125" i="7"/>
  <c r="J217" i="7"/>
  <c r="J218" i="7" s="1"/>
  <c r="J222" i="7" s="1"/>
  <c r="J48" i="7"/>
  <c r="J204" i="7"/>
  <c r="J205" i="7" s="1"/>
  <c r="J209" i="7" s="1"/>
  <c r="K43" i="6"/>
  <c r="L43" i="6" s="1"/>
  <c r="M43" i="6" s="1"/>
  <c r="G36" i="6" l="1"/>
  <c r="D37" i="6" s="1"/>
  <c r="E36" i="6"/>
  <c r="J66" i="7"/>
  <c r="J50" i="7"/>
  <c r="J142" i="7"/>
  <c r="J92" i="7"/>
  <c r="J110" i="7"/>
  <c r="K43" i="7"/>
  <c r="K51" i="6"/>
  <c r="I85" i="7"/>
  <c r="J83" i="7" l="1"/>
  <c r="I102" i="7"/>
  <c r="J95" i="7"/>
  <c r="J68" i="7"/>
  <c r="J145" i="7"/>
  <c r="J154" i="7" s="1"/>
  <c r="J229" i="7" s="1"/>
  <c r="J230" i="7" s="1"/>
  <c r="J159" i="7"/>
  <c r="J162" i="7" s="1"/>
  <c r="J167" i="7" s="1"/>
  <c r="K144" i="7"/>
  <c r="K46" i="7"/>
  <c r="K120" i="7"/>
  <c r="K200" i="7"/>
  <c r="K215" i="7" s="1"/>
  <c r="K113" i="7"/>
  <c r="G37" i="6"/>
  <c r="D38" i="6" s="1"/>
  <c r="E37" i="6"/>
  <c r="K122" i="7" l="1"/>
  <c r="K124" i="7" s="1"/>
  <c r="K131" i="7"/>
  <c r="K134" i="7" s="1"/>
  <c r="J75" i="7"/>
  <c r="J231" i="7"/>
  <c r="J232" i="7"/>
  <c r="K54" i="7"/>
  <c r="K57" i="7" s="1"/>
  <c r="K60" i="7" s="1"/>
  <c r="K58" i="7" s="1"/>
  <c r="K47" i="7" s="1"/>
  <c r="I103" i="7"/>
  <c r="G38" i="6"/>
  <c r="D39" i="6" s="1"/>
  <c r="E38" i="6"/>
  <c r="E39" i="6" l="1"/>
  <c r="L49" i="6" s="1"/>
  <c r="G39" i="6"/>
  <c r="D40" i="6" s="1"/>
  <c r="J84" i="7"/>
  <c r="K217" i="7"/>
  <c r="K218" i="7" s="1"/>
  <c r="K222" i="7" s="1"/>
  <c r="K48" i="7"/>
  <c r="K204" i="7"/>
  <c r="K205" i="7" s="1"/>
  <c r="K209" i="7" s="1"/>
  <c r="I104" i="7"/>
  <c r="K142" i="7" l="1"/>
  <c r="K110" i="7"/>
  <c r="K50" i="7"/>
  <c r="K92" i="7"/>
  <c r="K66" i="7"/>
  <c r="J85" i="7"/>
  <c r="E40" i="6"/>
  <c r="G40" i="6"/>
  <c r="D41" i="6" s="1"/>
  <c r="L43" i="7"/>
  <c r="L51" i="6"/>
  <c r="L200" i="7" l="1"/>
  <c r="L215" i="7" s="1"/>
  <c r="L144" i="7"/>
  <c r="L46" i="7"/>
  <c r="L120" i="7"/>
  <c r="L113" i="7"/>
  <c r="K95" i="7"/>
  <c r="J102" i="7"/>
  <c r="K83" i="7"/>
  <c r="K68" i="7"/>
  <c r="E41" i="6"/>
  <c r="G41" i="6"/>
  <c r="D42" i="6" s="1"/>
  <c r="K145" i="7"/>
  <c r="K154" i="7" s="1"/>
  <c r="K229" i="7" s="1"/>
  <c r="K230" i="7" s="1"/>
  <c r="K232" i="7" s="1"/>
  <c r="K159" i="7"/>
  <c r="K162" i="7" s="1"/>
  <c r="K167" i="7" s="1"/>
  <c r="J103" i="7" l="1"/>
  <c r="K75" i="7"/>
  <c r="E42" i="6"/>
  <c r="G42" i="6"/>
  <c r="D43" i="6" s="1"/>
  <c r="L131" i="7"/>
  <c r="L134" i="7" s="1"/>
  <c r="L122" i="7"/>
  <c r="L124" i="7" s="1"/>
  <c r="K231" i="7"/>
  <c r="L54" i="7"/>
  <c r="L57" i="7" s="1"/>
  <c r="L60" i="7" s="1"/>
  <c r="L58" i="7" s="1"/>
  <c r="L47" i="7" s="1"/>
  <c r="L191" i="7"/>
  <c r="L195" i="7" s="1"/>
  <c r="L181" i="7"/>
  <c r="L183" i="7" s="1"/>
  <c r="L185" i="7" s="1"/>
  <c r="L187" i="7" s="1"/>
  <c r="L189" i="7" s="1"/>
  <c r="E43" i="6" l="1"/>
  <c r="M49" i="6" s="1"/>
  <c r="G43" i="6"/>
  <c r="J104" i="7"/>
  <c r="L48" i="7"/>
  <c r="L217" i="7"/>
  <c r="L218" i="7" s="1"/>
  <c r="L222" i="7" s="1"/>
  <c r="L204" i="7"/>
  <c r="L205" i="7" s="1"/>
  <c r="L209" i="7" s="1"/>
  <c r="K84" i="7"/>
  <c r="L142" i="7" l="1"/>
  <c r="L50" i="7"/>
  <c r="L110" i="7"/>
  <c r="L92" i="7"/>
  <c r="L66" i="7"/>
  <c r="K85" i="7"/>
  <c r="M43" i="7"/>
  <c r="M46" i="7" s="1"/>
  <c r="M54" i="7" s="1"/>
  <c r="M57" i="7" s="1"/>
  <c r="M58" i="7" s="1"/>
  <c r="M47" i="7" s="1"/>
  <c r="M48" i="7" s="1"/>
  <c r="M51" i="6"/>
  <c r="L83" i="7" l="1"/>
  <c r="K102" i="7"/>
  <c r="L95" i="7"/>
  <c r="M50" i="7"/>
  <c r="M92" i="7"/>
  <c r="L68" i="7"/>
  <c r="L145" i="7"/>
  <c r="L154" i="7" s="1"/>
  <c r="L159" i="7"/>
  <c r="L162" i="7" s="1"/>
  <c r="L167" i="7" s="1"/>
  <c r="L75" i="7" l="1"/>
  <c r="M95" i="7"/>
  <c r="K103" i="7"/>
  <c r="C155" i="7"/>
  <c r="L229" i="7"/>
  <c r="L230" i="7" s="1"/>
  <c r="C240" i="7" l="1"/>
  <c r="M104" i="7"/>
  <c r="K104" i="7"/>
  <c r="L84" i="7"/>
  <c r="L231" i="7"/>
  <c r="L232" i="7"/>
  <c r="L85" i="7" l="1"/>
  <c r="L102" i="7" l="1"/>
  <c r="L103" i="7" l="1"/>
  <c r="L104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Vikram.Singh</author>
  </authors>
  <commentList>
    <comment ref="M167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>Vikram.Singh:</t>
        </r>
        <r>
          <rPr>
            <sz val="8"/>
            <color indexed="81"/>
            <rFont val="Tahoma"/>
            <family val="2"/>
          </rPr>
          <t xml:space="preserve">
Terminal Value:
Assumption: Equal to Value of Net fixed Assets</t>
        </r>
      </text>
    </comment>
    <comment ref="C177" authorId="0" shapeId="0" xr:uid="{00000000-0006-0000-0600-000002000000}">
      <text>
        <r>
          <rPr>
            <b/>
            <sz val="8"/>
            <color indexed="81"/>
            <rFont val="Tahoma"/>
            <family val="2"/>
          </rPr>
          <t>Vikram.Singh:</t>
        </r>
        <r>
          <rPr>
            <sz val="8"/>
            <color indexed="81"/>
            <rFont val="Tahoma"/>
            <family val="2"/>
          </rPr>
          <t xml:space="preserve">
It is assumed that this % is contribution to fixed cost </t>
        </r>
      </text>
    </comment>
    <comment ref="B214" authorId="0" shapeId="0" xr:uid="{00000000-0006-0000-0600-000003000000}">
      <text>
        <r>
          <rPr>
            <b/>
            <sz val="8"/>
            <color indexed="81"/>
            <rFont val="Tahoma"/>
            <family val="2"/>
          </rPr>
          <t>Vikram.Singh:</t>
        </r>
        <r>
          <rPr>
            <sz val="8"/>
            <color indexed="81"/>
            <rFont val="Tahoma"/>
            <family val="2"/>
          </rPr>
          <t xml:space="preserve">
Excluding raw material &amp; payment to SPV</t>
        </r>
      </text>
    </comment>
  </commentList>
</comments>
</file>

<file path=xl/sharedStrings.xml><?xml version="1.0" encoding="utf-8"?>
<sst xmlns="http://schemas.openxmlformats.org/spreadsheetml/2006/main" count="1637" uniqueCount="690">
  <si>
    <t>Function Area</t>
  </si>
  <si>
    <t>Equipment Description</t>
  </si>
  <si>
    <t>Nos</t>
  </si>
  <si>
    <t>Unit Rate Rs</t>
  </si>
  <si>
    <t>Est Price Rs</t>
  </si>
  <si>
    <t>Base Price</t>
  </si>
  <si>
    <t>Computer, printer and table</t>
  </si>
  <si>
    <t>Ripening Rooms</t>
  </si>
  <si>
    <t xml:space="preserve">Almirah </t>
  </si>
  <si>
    <t>Office Chairs</t>
  </si>
  <si>
    <t>Office tables</t>
  </si>
  <si>
    <t>Computer tables</t>
  </si>
  <si>
    <t>Computer chairs</t>
  </si>
  <si>
    <t>Fire Extinguishers</t>
  </si>
  <si>
    <t>Raw Material</t>
  </si>
  <si>
    <t>MT</t>
  </si>
  <si>
    <t>Total</t>
  </si>
  <si>
    <t>Contribution</t>
  </si>
  <si>
    <t>Cost of Project</t>
  </si>
  <si>
    <t>Particulars</t>
  </si>
  <si>
    <t>Unit</t>
  </si>
  <si>
    <t>Acre</t>
  </si>
  <si>
    <t>Plant &amp; Machinery</t>
  </si>
  <si>
    <t>Total Utilities &amp; other Assets</t>
  </si>
  <si>
    <t>Contingencies</t>
  </si>
  <si>
    <t>Total Project Cost</t>
  </si>
  <si>
    <t>Means of Finance</t>
  </si>
  <si>
    <t>Proportion (%)</t>
  </si>
  <si>
    <t>Equity</t>
  </si>
  <si>
    <t>Long Term Debt</t>
  </si>
  <si>
    <t>Depreciation Rates</t>
  </si>
  <si>
    <t>Book Depr</t>
  </si>
  <si>
    <t>Tax Depr</t>
  </si>
  <si>
    <t>Office Furniture</t>
  </si>
  <si>
    <t>Miscellaneous Fixed Assets</t>
  </si>
  <si>
    <t>Book Depreciation-SLM</t>
  </si>
  <si>
    <t>Years</t>
  </si>
  <si>
    <t>Assets</t>
  </si>
  <si>
    <t>Value</t>
  </si>
  <si>
    <t>Depreciation</t>
  </si>
  <si>
    <t>Closing Bal</t>
  </si>
  <si>
    <t>Tax Depreciation-WDV</t>
  </si>
  <si>
    <t>EMI (Quarterly)</t>
  </si>
  <si>
    <t>Reducing Bal method</t>
  </si>
  <si>
    <t>EQI Method</t>
  </si>
  <si>
    <t xml:space="preserve">Quarter </t>
  </si>
  <si>
    <t>Opening Bal</t>
  </si>
  <si>
    <t>Interest</t>
  </si>
  <si>
    <t>principal</t>
  </si>
  <si>
    <t>Closing bal</t>
  </si>
  <si>
    <t>Reducing Bal. Method</t>
  </si>
  <si>
    <t>Year</t>
  </si>
  <si>
    <t>Annual interest paid</t>
  </si>
  <si>
    <t>principal Payment</t>
  </si>
  <si>
    <t>Total LTD payment</t>
  </si>
  <si>
    <t>Balance LTD</t>
  </si>
  <si>
    <t>Working Capital Loans</t>
  </si>
  <si>
    <t>Eligibility</t>
  </si>
  <si>
    <t>Interest Rate</t>
  </si>
  <si>
    <t>Working capital requirement :</t>
  </si>
  <si>
    <t>Raw Materials</t>
  </si>
  <si>
    <t>days</t>
  </si>
  <si>
    <t>Debtors</t>
  </si>
  <si>
    <t>Working Capital</t>
  </si>
  <si>
    <t>Total Working Capital</t>
  </si>
  <si>
    <t>Margin Money</t>
  </si>
  <si>
    <t>WC Borrowing</t>
  </si>
  <si>
    <t>Interest on WC</t>
  </si>
  <si>
    <t>Description</t>
  </si>
  <si>
    <t>Profitability Statement</t>
  </si>
  <si>
    <t>Capacity Utilization</t>
  </si>
  <si>
    <t>Revenue</t>
  </si>
  <si>
    <t>Expenses</t>
  </si>
  <si>
    <t>Raw material Cost</t>
  </si>
  <si>
    <t>Employee Cost</t>
  </si>
  <si>
    <t>Direct Labour</t>
  </si>
  <si>
    <t>Transport Cost</t>
  </si>
  <si>
    <t>Insurance</t>
  </si>
  <si>
    <t>Total Expenses</t>
  </si>
  <si>
    <t>EBITDA</t>
  </si>
  <si>
    <t>Interest Long Term Debt (LTD)</t>
  </si>
  <si>
    <t>Interest Working Capital borrowing</t>
  </si>
  <si>
    <t>PBT</t>
  </si>
  <si>
    <t>Tax</t>
  </si>
  <si>
    <t>Net Profit (PAT)</t>
  </si>
  <si>
    <t>Net Cash from Operations</t>
  </si>
  <si>
    <t>Tax Calculation</t>
  </si>
  <si>
    <t>Book Depreciation</t>
  </si>
  <si>
    <t>Tax depreciation</t>
  </si>
  <si>
    <t>Taxable Income</t>
  </si>
  <si>
    <t>Income Tax</t>
  </si>
  <si>
    <t>Cash flow statement</t>
  </si>
  <si>
    <t>Sources</t>
  </si>
  <si>
    <t>Cash from Operations</t>
  </si>
  <si>
    <t>PAT</t>
  </si>
  <si>
    <t>Add Depreciation</t>
  </si>
  <si>
    <t>Cash From Financing</t>
  </si>
  <si>
    <t>Grant</t>
  </si>
  <si>
    <t>Term Loan</t>
  </si>
  <si>
    <t>Increase in Working Capital Borrowing</t>
  </si>
  <si>
    <t>Total Cash inflow</t>
  </si>
  <si>
    <t>Uses</t>
  </si>
  <si>
    <t>Capital expenditure</t>
  </si>
  <si>
    <t>Increase in Working capital</t>
  </si>
  <si>
    <t>Repayment of principal</t>
  </si>
  <si>
    <t>Total Uses</t>
  </si>
  <si>
    <t>Opening Cash Balance</t>
  </si>
  <si>
    <t>Surplus/ Deficit</t>
  </si>
  <si>
    <t>Closing Cash Balance</t>
  </si>
  <si>
    <t>Balance Sheet</t>
  </si>
  <si>
    <t>Liabitilies</t>
  </si>
  <si>
    <t>Equity Capital</t>
  </si>
  <si>
    <t>Reserve &amp; Surplus</t>
  </si>
  <si>
    <t>Grant/ Subsidy</t>
  </si>
  <si>
    <t>Net Worth</t>
  </si>
  <si>
    <t>Working Capital Loan</t>
  </si>
  <si>
    <t>Total Liabilities</t>
  </si>
  <si>
    <t>Gross Fixed Assets</t>
  </si>
  <si>
    <t>Less Accumulated Dep.</t>
  </si>
  <si>
    <t>Net Fixed Assets</t>
  </si>
  <si>
    <t>Cash Bal</t>
  </si>
  <si>
    <t>Total Assets</t>
  </si>
  <si>
    <t>Financial Performance Indicators</t>
  </si>
  <si>
    <t>EBITDA Margin</t>
  </si>
  <si>
    <t>PAT margin</t>
  </si>
  <si>
    <t>Debt-Equity Ratio</t>
  </si>
  <si>
    <t>Debt to EBITDA ratio</t>
  </si>
  <si>
    <t>Interest Coverage Ratio</t>
  </si>
  <si>
    <t>DSCR</t>
  </si>
  <si>
    <t>Average DSCR</t>
  </si>
  <si>
    <t>Calculation -Interest Coverage Ratio</t>
  </si>
  <si>
    <t>Long term Debt (LTD)</t>
  </si>
  <si>
    <t>Working Capital Borrowing</t>
  </si>
  <si>
    <t>Total interest paid</t>
  </si>
  <si>
    <t>Average ICR</t>
  </si>
  <si>
    <t>Calculations DSCR</t>
  </si>
  <si>
    <t>Debt Payment</t>
  </si>
  <si>
    <t>LTD Interest</t>
  </si>
  <si>
    <t>Interest on Working capital borrowings</t>
  </si>
  <si>
    <t>principal payment</t>
  </si>
  <si>
    <t>Total Debt Payment</t>
  </si>
  <si>
    <t>Project IRR</t>
  </si>
  <si>
    <t>Inflow</t>
  </si>
  <si>
    <t>Add depreciation</t>
  </si>
  <si>
    <t>Total inflow</t>
  </si>
  <si>
    <t>Outflow</t>
  </si>
  <si>
    <t>Capital expenses</t>
  </si>
  <si>
    <t>Increase in Working Capital</t>
  </si>
  <si>
    <t>Principal Payment</t>
  </si>
  <si>
    <t>Total out flow</t>
  </si>
  <si>
    <t>Terminal Value</t>
  </si>
  <si>
    <t>IRR</t>
  </si>
  <si>
    <t>Equity IRR</t>
  </si>
  <si>
    <t>(MT)</t>
  </si>
  <si>
    <t>Total Cost</t>
  </si>
  <si>
    <t>Fixed Cost</t>
  </si>
  <si>
    <t>Fixed Component</t>
  </si>
  <si>
    <t>Total Fixed Cost</t>
  </si>
  <si>
    <t>Variable Cost</t>
  </si>
  <si>
    <t>Cost of Processing/ Unit</t>
  </si>
  <si>
    <t>Operating expenses</t>
  </si>
  <si>
    <t>Interest-LTD</t>
  </si>
  <si>
    <t>Interest-working capital borrowing</t>
  </si>
  <si>
    <t>Debt-principal Payment</t>
  </si>
  <si>
    <t>Total Cost of Processing</t>
  </si>
  <si>
    <t>Payback Period</t>
  </si>
  <si>
    <t>Capital investment</t>
  </si>
  <si>
    <t>Net cash inflow</t>
  </si>
  <si>
    <t>Cumulative cash inflow</t>
  </si>
  <si>
    <t>Is payback achieved</t>
  </si>
  <si>
    <t>Debt</t>
  </si>
  <si>
    <t>Technical</t>
  </si>
  <si>
    <t>Plant Machinery &amp; Equipments</t>
  </si>
  <si>
    <t>Finished Products</t>
  </si>
  <si>
    <t>Rental- Ripening Chambers</t>
  </si>
  <si>
    <t>Power &amp; Fuel</t>
  </si>
  <si>
    <t>Packaging cost</t>
  </si>
  <si>
    <t>Debt Assumptions</t>
  </si>
  <si>
    <t>Moratorium Period</t>
  </si>
  <si>
    <t>quarters</t>
  </si>
  <si>
    <t>Repayment period (years)</t>
  </si>
  <si>
    <t>Repayment period (Quarters)</t>
  </si>
  <si>
    <t>Rate of interest</t>
  </si>
  <si>
    <t>Long term Debt</t>
  </si>
  <si>
    <t>p.a.</t>
  </si>
  <si>
    <t>margin Money</t>
  </si>
  <si>
    <t>Requirement</t>
  </si>
  <si>
    <t>Raw material</t>
  </si>
  <si>
    <t>Income tax rate</t>
  </si>
  <si>
    <t>Means of finance</t>
  </si>
  <si>
    <t>Components</t>
  </si>
  <si>
    <t>Buildings-Plant (technical)</t>
  </si>
  <si>
    <t>Buildings-Non technical</t>
  </si>
  <si>
    <t>Total WDV</t>
  </si>
  <si>
    <t>Quarterly principal payment</t>
  </si>
  <si>
    <t>Cumulative taxable income</t>
  </si>
  <si>
    <t>Net Cash inflow</t>
  </si>
  <si>
    <t>Rental-Sorting/ grading/ packing</t>
  </si>
  <si>
    <t>Central Facility</t>
  </si>
  <si>
    <t>LS</t>
  </si>
  <si>
    <t>Central Facility Building</t>
  </si>
  <si>
    <t>Sr No</t>
  </si>
  <si>
    <t>Quantity</t>
  </si>
  <si>
    <t>Earth work excavation for foundation in all soils and sub soils to full depth</t>
  </si>
  <si>
    <t>Reinforced Cement Concrete 1:2:4</t>
  </si>
  <si>
    <t>Brick work in cement mortar</t>
  </si>
  <si>
    <t>Grano Flooring with 1:2:3 mix</t>
  </si>
  <si>
    <t xml:space="preserve">Contingencies and others </t>
  </si>
  <si>
    <t>cft</t>
  </si>
  <si>
    <t>sft</t>
  </si>
  <si>
    <t>Ripening Chamber</t>
  </si>
  <si>
    <t>Collection Centre 1 at Mettupalayam</t>
  </si>
  <si>
    <t>Pack House with Pre-cooling Facility</t>
  </si>
  <si>
    <t xml:space="preserve">Filling in basement with excavated earth </t>
  </si>
  <si>
    <t>Collection Centre 2 at Bodinayakanur</t>
  </si>
  <si>
    <t>Central Facility at Pudussery</t>
  </si>
  <si>
    <t>Sr No.</t>
  </si>
  <si>
    <t xml:space="preserve">Supply and Installation of Controlled Atmosphere Storages </t>
  </si>
  <si>
    <t>Spare Parts</t>
  </si>
  <si>
    <t>Supply of Gas Tight Doors</t>
  </si>
  <si>
    <t>LS for 8 number of doors</t>
  </si>
  <si>
    <t>Supply of Elastomeric Coating</t>
  </si>
  <si>
    <t>Roof Structure  ( in MT)</t>
  </si>
  <si>
    <t>sq m</t>
  </si>
  <si>
    <t xml:space="preserve"> MT</t>
  </si>
  <si>
    <t>Rate (INR)</t>
  </si>
  <si>
    <t>Fruits &amp; Vegetables Cold Storage and CA stores</t>
  </si>
  <si>
    <t xml:space="preserve">Insulation Panels (PUF) </t>
  </si>
  <si>
    <t>Floor Insulation with PUF 100mm</t>
  </si>
  <si>
    <t>Total Amount (INR)</t>
  </si>
  <si>
    <t>Wall Panels 80 mm</t>
  </si>
  <si>
    <t>Ceiling Panels 80mm</t>
  </si>
  <si>
    <t>Floor Insulation with PUF 80mm</t>
  </si>
  <si>
    <t>Panel - Walls, Ceiling and Partitions</t>
  </si>
  <si>
    <t>RibbStyle</t>
  </si>
  <si>
    <t>Bio-Conservation</t>
  </si>
  <si>
    <t>Ripening Manager</t>
  </si>
  <si>
    <t>Instrumentation Cable</t>
  </si>
  <si>
    <t>Set</t>
  </si>
  <si>
    <t>Panels and Equipments (Supply &amp; Erection)</t>
  </si>
  <si>
    <t>Pre-Cooling Rooms ( 2x10 MT)</t>
  </si>
  <si>
    <t xml:space="preserve">Plant &amp; Machinery </t>
  </si>
  <si>
    <t xml:space="preserve">Storage Racks </t>
  </si>
  <si>
    <t>1 set</t>
  </si>
  <si>
    <t>As per Quotation</t>
  </si>
  <si>
    <t xml:space="preserve"> </t>
  </si>
  <si>
    <t>Size 1200X1000X150 mm
Load Capacity - 1500 kgs</t>
  </si>
  <si>
    <t>nos</t>
  </si>
  <si>
    <t>Plastic Crates</t>
  </si>
  <si>
    <t>Electrical Equipments</t>
  </si>
  <si>
    <t>Supply Erection and Fixing of 22 KV 2P structure</t>
  </si>
  <si>
    <t>Supply &amp; Erection of 100/% A NI CT with MS Enclosure</t>
  </si>
  <si>
    <t>OLTC Panel</t>
  </si>
  <si>
    <t>Metering Box with wiring set</t>
  </si>
  <si>
    <t>Load Break Switch</t>
  </si>
  <si>
    <t>Power House</t>
  </si>
  <si>
    <t xml:space="preserve">Supply, Erection &amp; Commissioning </t>
  </si>
  <si>
    <t>Panel Boards</t>
  </si>
  <si>
    <t>Supply Erection &amp; Commissioning of MCB DB made up of 16SWG CRCA</t>
  </si>
  <si>
    <t>Supply, Erection &amp; Commissioning  of 100 KVAR  APFC Panel</t>
  </si>
  <si>
    <t>Genset Panel</t>
  </si>
  <si>
    <t>UG Cables</t>
  </si>
  <si>
    <t>3.5 C X 185 sqmm 22 KV HT A1 Arm Cable</t>
  </si>
  <si>
    <t>3.5 C X 400 sqmm A1 Arm Cable (between Transformer &amp; MV Panel)</t>
  </si>
  <si>
    <t>3.5 C X 240 sqmm A1 Arm Cable (between Genset &amp; MV Panel)</t>
  </si>
  <si>
    <t>3.5 C X 185 sqmm A1 Arm Cable (between  MV Panel &amp; APFC Panel)</t>
  </si>
  <si>
    <t>3.5 C X 35 sqmm A1 Arm Cable (between MV Panel &amp; MLSB &amp; MCB Power DB)</t>
  </si>
  <si>
    <t>2 C X 4 sqmm Cu Arm Cable (between  LSB  &amp; LDB)</t>
  </si>
  <si>
    <t>19 C X 1.5 sqmm Cu Arm Cable (between OLTC CP to RTCC)</t>
  </si>
  <si>
    <t xml:space="preserve">3 C X 2.5sqmm Cu Arm Cable </t>
  </si>
  <si>
    <t>3 C X 1.5 sqmm Cu Arm Cable (between LDB &amp; Street Lights)</t>
  </si>
  <si>
    <t>Supply &amp; Erection of End Termination</t>
  </si>
  <si>
    <t>22 KV X 185 sqmm Outdoor Cable Joints kit</t>
  </si>
  <si>
    <t>22 KV X 185 sqmm Indoor Cable Joints kit</t>
  </si>
  <si>
    <t>3.5 C X 400 sqmm</t>
  </si>
  <si>
    <t>3.5 C X 240 sqmm</t>
  </si>
  <si>
    <t>3.5 C X 185 sqmm</t>
  </si>
  <si>
    <t>3.5 C X 35 sqmm</t>
  </si>
  <si>
    <t>4 C X 10 sqmm</t>
  </si>
  <si>
    <t>2C X 4 sqmm</t>
  </si>
  <si>
    <t>19 C X 1.5sqmm</t>
  </si>
  <si>
    <t>3 C X 2.5sqmm , 3 C X 1.5 sqmm</t>
  </si>
  <si>
    <t>Earthing</t>
  </si>
  <si>
    <t>Earth Electrode for Transformer &amp; MV Panel, SSB, Genset &amp; Plant Earthing</t>
  </si>
  <si>
    <t>25 X 6 mm Cu Flat for Transformer Neutral Earthing</t>
  </si>
  <si>
    <t>25 X 3 mm Cu Flat for Transformer, MV Panel, SSB &amp; Plant Body Earthing</t>
  </si>
  <si>
    <t xml:space="preserve">No 8 SWG Copper </t>
  </si>
  <si>
    <t xml:space="preserve">No 10 SWG Copper </t>
  </si>
  <si>
    <t xml:space="preserve">No 18 SWG Copper </t>
  </si>
  <si>
    <t>Metal Halide Lamp with fitting include post (Outdoor) - 250 W</t>
  </si>
  <si>
    <t>Metal Halide Lamp with fitting with GI Bend Pipe 3'X11/2" - 250 W</t>
  </si>
  <si>
    <t>CFL Street light fitting with lamp &amp; pipe support - (1X36 W)</t>
  </si>
  <si>
    <t>36 W CFL Street light fitting, lamp with  15' height . 21/2' below the ground level GI Pipe Post, Bend</t>
  </si>
  <si>
    <t>250 W Flood Light with supporting brackets</t>
  </si>
  <si>
    <t>Metal Halide Lamp with fitting (Indoor) -250 W</t>
  </si>
  <si>
    <t xml:space="preserve">Metal Halide Lamp with fitting </t>
  </si>
  <si>
    <t>500 KVA Transformer with OLTC 22 KV/433 V, Outdoor</t>
  </si>
  <si>
    <t>set</t>
  </si>
  <si>
    <t>Multi Purpose Cold Storage</t>
  </si>
  <si>
    <t>Doors</t>
  </si>
  <si>
    <t>Gas tight Mounted on Rails</t>
  </si>
  <si>
    <t>Collection Centers</t>
  </si>
  <si>
    <t>Storage</t>
  </si>
  <si>
    <t>Refrigeration System</t>
  </si>
  <si>
    <t>D G Set</t>
  </si>
  <si>
    <t>160 KVA</t>
  </si>
  <si>
    <t xml:space="preserve">Material Handling Equipments </t>
  </si>
  <si>
    <t>Refrigerated Trucks</t>
  </si>
  <si>
    <t>Battery Operated Fork Lifts</t>
  </si>
  <si>
    <t>Manual Operated For lifts</t>
  </si>
  <si>
    <t>Weighbridge</t>
  </si>
  <si>
    <t>1612 Chassis BS II</t>
  </si>
  <si>
    <t>Truck Chassis</t>
  </si>
  <si>
    <t>Weighing Equipments</t>
  </si>
  <si>
    <t>60 MT capacity</t>
  </si>
  <si>
    <t xml:space="preserve">Weighing Machines </t>
  </si>
  <si>
    <t>2 MT</t>
  </si>
  <si>
    <t>Water Treatment Plant</t>
  </si>
  <si>
    <t xml:space="preserve">WTP </t>
  </si>
  <si>
    <t>Sale of Product</t>
  </si>
  <si>
    <t>Rental - spare capacity</t>
  </si>
  <si>
    <t>Contingency</t>
  </si>
  <si>
    <t>Rent Collection centres</t>
  </si>
  <si>
    <t>Civil Works</t>
  </si>
  <si>
    <t>Sensitivity Analysis</t>
  </si>
  <si>
    <t>Pay Back Period</t>
  </si>
  <si>
    <t>Existing</t>
  </si>
  <si>
    <t>Cost</t>
  </si>
  <si>
    <t>Movement in Both</t>
  </si>
  <si>
    <t>Multi Purpose  Cold Storage</t>
  </si>
  <si>
    <t>Supply, fixing of Puffed Panel (30mm)</t>
  </si>
  <si>
    <t>Roof Structure  (in MT)</t>
  </si>
  <si>
    <t>Supply, fixing of Puffed Panel (50mm)</t>
  </si>
  <si>
    <t>Item Description</t>
  </si>
  <si>
    <t>Cement Concrete 1:4:8</t>
  </si>
  <si>
    <t>Plastering with CM 1:6 in all floors including curing etc. complete complying with standard specifications</t>
  </si>
  <si>
    <t>Pre-Engineered Building</t>
  </si>
  <si>
    <t>Painting of roof structures</t>
  </si>
  <si>
    <t>Supply of joineries</t>
  </si>
  <si>
    <t>Transportation, Loading and Unloading</t>
  </si>
  <si>
    <t>Amount (Rs)</t>
  </si>
  <si>
    <t>Ground Floor</t>
  </si>
  <si>
    <t>Brick work in cement mortar 1:7 using country bricks</t>
  </si>
  <si>
    <t>Plastering with CM 1:7 in all floors including curing etc. complete complying with standard specifications</t>
  </si>
  <si>
    <t>Supplying and fixing country wood for Doors, Windows and Ventilators</t>
  </si>
  <si>
    <t>White Washing two coats in all the floors complete complying with standard specifications</t>
  </si>
  <si>
    <t>Painting two coats of new wood works</t>
  </si>
  <si>
    <t>Paving the floor with ceramic tiles with c.m. 1:6</t>
  </si>
  <si>
    <t>Lump Sum</t>
  </si>
  <si>
    <t>Provision for stair case</t>
  </si>
  <si>
    <t>Provision for Water Supply and Sanitation</t>
  </si>
  <si>
    <t>Provision for providing internal electrification arrangement to the light pipes</t>
  </si>
  <si>
    <t>First Floor</t>
  </si>
  <si>
    <t>Provision for overhead Tank</t>
  </si>
  <si>
    <t>Security cum Office Room</t>
  </si>
  <si>
    <t>Random Rubble Masonry in cement mortar 1:5 for foundation and basement</t>
  </si>
  <si>
    <t>Brick work in cement mortar 1:5 using country bricks</t>
  </si>
  <si>
    <t>Plastering with CM 1:5 in all floors including curing etc. complete complying with standard specifications</t>
  </si>
  <si>
    <t>Cement Mortar Flooring</t>
  </si>
  <si>
    <t>Weathering course with lime surki etc</t>
  </si>
  <si>
    <t>Collection Center (Bodinayakanur</t>
  </si>
  <si>
    <t>Supplying and fixing steel  Doors, Windows and Ventilators</t>
  </si>
  <si>
    <t>Painting two coats of new steel works</t>
  </si>
  <si>
    <t>Central Facility at Pudussery : Office Building</t>
  </si>
  <si>
    <t xml:space="preserve">Cement Concrete 1:4:8 for flooring including consolidating as per standard specification, curing tec. </t>
  </si>
  <si>
    <t>Reinforced Cement Concrete 1:2:4 using 20mm gauge machine broken hard granite stone jelly with necessary steel reinforcement</t>
  </si>
  <si>
    <t>Plastering with CM 1:5 mix 10mm thick including cost of al labor charges</t>
  </si>
  <si>
    <t>Providing ceramic Wall Tiles on toilet floors</t>
  </si>
  <si>
    <t>Weathering Course - Terracotta tiles with Lime surki and cement mortar</t>
  </si>
  <si>
    <t xml:space="preserve">Cement Concrete 1:5:10 for flooring including consolidating as per standard specification, curing tec. </t>
  </si>
  <si>
    <t>Supplying and Filling in foundation with fillings and in layers not more than 15 cm thick , well rammed, watered etc</t>
  </si>
  <si>
    <t>Plastering with CM 1:3 mix 10mm thick including cost of al labor charges</t>
  </si>
  <si>
    <t>Items</t>
  </si>
  <si>
    <t>Accessories including erection for above</t>
  </si>
  <si>
    <t>LS as per offer at Annexure of FFT Fresh Food Technology (I) Pvt Ltd</t>
  </si>
  <si>
    <t>Supply &amp; Installation of Humidification System</t>
  </si>
  <si>
    <t>Partition Panels 80mm</t>
  </si>
  <si>
    <t>PUF Floor Slabs</t>
  </si>
  <si>
    <t>Humidification</t>
  </si>
  <si>
    <t>Thermo log</t>
  </si>
  <si>
    <t>Ethylene Cylinder</t>
  </si>
  <si>
    <t>Transportation &amp; Freight</t>
  </si>
  <si>
    <t>Storage racks</t>
  </si>
  <si>
    <t>Layout 100'X70'X19.50'     
No of  racks in layout -  8    
No of Pallets per rack -  96  
 No of pallets in layout  - 768</t>
  </si>
  <si>
    <t>Layout 200'X88'X19.50'     
No of  racks in layout - 16    
No of Pallets per rack -  128  
 No of pallets in layout  - 2048</t>
  </si>
  <si>
    <t>Substation</t>
  </si>
  <si>
    <t xml:space="preserve">Supply, Fabrication &amp; Erection of Substation Yard Fencing </t>
  </si>
  <si>
    <t>Supply, Erection &amp; Commissioning of LSB made comprising of 125A TPN SFU-1 NO as Incomer and 63A TPN SFU - 6 Nos as outgoing</t>
  </si>
  <si>
    <t>Supply, Erection&amp; Commissioning of LDB made comprising of 32 A DB MCB  - 1 No as Incomer and 6A SP MCB - 8 Nos as outgoing</t>
  </si>
  <si>
    <t>meter</t>
  </si>
  <si>
    <t>4 C X 10 sqmm CU Arm Cable (from SSB1 &amp;2 to Ripening Chambers &amp; From SSB2 to cold rooms, pre cooler)</t>
  </si>
  <si>
    <t>Supply &amp; Erection of Earth Bus with 25X3 CU Flat and Bolt, Nut etc.</t>
  </si>
  <si>
    <t xml:space="preserve">Miscellaneous </t>
  </si>
  <si>
    <t>Electrical Inspectorate</t>
  </si>
  <si>
    <t>Design, Preparation &amp; Forwarding of Substation, MV Panel Room, Physical and Schematic layout drawings to Inspectorate for obtaing approval</t>
  </si>
  <si>
    <t>Forwarding completion report to the inspectorate, and approval for obating Safety Certificate</t>
  </si>
  <si>
    <t>Preparation of site plan drawing and submission to KSEB along with HT application load sanction, signing test report etc.</t>
  </si>
  <si>
    <t>PUF Insulated Reefer Container Body</t>
  </si>
  <si>
    <t>Suitable for Ashok Leyland Chassis</t>
  </si>
  <si>
    <t>50 KL capacity</t>
  </si>
  <si>
    <t>Lump sum</t>
  </si>
  <si>
    <t>Electrical</t>
  </si>
  <si>
    <t>Single leaf manual sliding door</t>
  </si>
  <si>
    <t>Panels Ceiling 150 mm</t>
  </si>
  <si>
    <t>Panesl wall  120mm</t>
  </si>
  <si>
    <t>Panesl Partition 100 mm</t>
  </si>
  <si>
    <t>Panels Corridor 80mm</t>
  </si>
  <si>
    <t>Freight</t>
  </si>
  <si>
    <t>Import Duty on items 3,4,5,6,7,8,9 above</t>
  </si>
  <si>
    <t>Panels and Equipments (Supply)</t>
  </si>
  <si>
    <t>Panels and Equipments (Erection)</t>
  </si>
  <si>
    <t>Accessories</t>
  </si>
  <si>
    <t>Automised Clear Sectional Door</t>
  </si>
  <si>
    <t>Dock Shelter</t>
  </si>
  <si>
    <t>Bodinayakanur</t>
  </si>
  <si>
    <t>Mettupalayam</t>
  </si>
  <si>
    <t>Pre-Cooling Rooms ( 1x10 MT)</t>
  </si>
  <si>
    <t>sqm</t>
  </si>
  <si>
    <t>Supply &amp; Installation of Refrigeartion  System</t>
  </si>
  <si>
    <t>Super Jumbo Crates</t>
  </si>
  <si>
    <t>810x568x425 mm</t>
  </si>
  <si>
    <t>595x395x256 mm</t>
  </si>
  <si>
    <t>Plastic Bins</t>
  </si>
  <si>
    <t>1200x1000x775 mm</t>
  </si>
  <si>
    <t>Lump Sum as per FFT offer</t>
  </si>
  <si>
    <t>ESTIMATED COST OF  TECHNICAL CIVIL WORKS</t>
  </si>
  <si>
    <t>Collection Center (Mettupalayam)</t>
  </si>
  <si>
    <t>COST ESTIMATES FOR MACHINERY AND EQUIPMENTS</t>
  </si>
  <si>
    <t>Service Tax on Erection Cost @10.30%</t>
  </si>
  <si>
    <t>Controlled Atmosphere Equipments &amp; System</t>
  </si>
  <si>
    <t>Other expenses like ripening costs etc.</t>
  </si>
  <si>
    <t xml:space="preserve">Year </t>
  </si>
  <si>
    <t>VAT</t>
  </si>
  <si>
    <t>S No</t>
  </si>
  <si>
    <t>Excise</t>
  </si>
  <si>
    <t>Equity IRR.</t>
  </si>
  <si>
    <t>Repayment.</t>
  </si>
  <si>
    <t>Net Cash Inflow.</t>
  </si>
  <si>
    <t>Int</t>
  </si>
  <si>
    <t>Principal</t>
  </si>
  <si>
    <t>Capacity Leased</t>
  </si>
  <si>
    <t>Capacity Installed (Freezer/MCMP/Ripen)</t>
  </si>
  <si>
    <t>Contribution/Unit Capacity (Rs/MT)</t>
  </si>
  <si>
    <t>Breakeven Capacity Utilisation</t>
  </si>
  <si>
    <t>Profit Margin/ Unit Capacity (Rs/MT)</t>
  </si>
  <si>
    <t>Capacity Leased (MT)</t>
  </si>
  <si>
    <t>Cost/MT (Rs)</t>
  </si>
  <si>
    <t>Cost/Unit MT (Rs)</t>
  </si>
  <si>
    <t>Capacity to be leased for breakeven(MT)</t>
  </si>
  <si>
    <t>Costs/Unit Capacity (Rs/MT)</t>
  </si>
  <si>
    <t>Break-Even Analysis for Distribution Center</t>
  </si>
  <si>
    <t>Average Lease Income/Unit Capacity (Rs/MT)</t>
  </si>
  <si>
    <t>No.</t>
  </si>
  <si>
    <t>C2</t>
  </si>
  <si>
    <t>C3</t>
  </si>
  <si>
    <t>Sales</t>
  </si>
  <si>
    <t>2025-26</t>
  </si>
  <si>
    <t>Variable Expenses</t>
  </si>
  <si>
    <t>Fixed Expenses</t>
  </si>
  <si>
    <t>Additional assets</t>
  </si>
  <si>
    <t>Debtors and inventory</t>
  </si>
  <si>
    <t>Capacity</t>
  </si>
  <si>
    <t>No.s</t>
  </si>
  <si>
    <t>Promoters Contribution</t>
  </si>
  <si>
    <t>P &amp;M</t>
  </si>
  <si>
    <t>Building</t>
  </si>
  <si>
    <t>MFA</t>
  </si>
  <si>
    <t>S.No.</t>
  </si>
  <si>
    <t>Equipments</t>
  </si>
  <si>
    <t xml:space="preserve">No. </t>
  </si>
  <si>
    <t xml:space="preserve">lot </t>
  </si>
  <si>
    <t>5 KL</t>
  </si>
  <si>
    <t>C4</t>
  </si>
  <si>
    <t>A1</t>
  </si>
  <si>
    <t>A2</t>
  </si>
  <si>
    <t>A3</t>
  </si>
  <si>
    <t>A4</t>
  </si>
  <si>
    <t>A5</t>
  </si>
  <si>
    <t>B1</t>
  </si>
  <si>
    <t>B2</t>
  </si>
  <si>
    <t>B3</t>
  </si>
  <si>
    <t>B4</t>
  </si>
  <si>
    <t>B5</t>
  </si>
  <si>
    <t>C1</t>
  </si>
  <si>
    <t>#</t>
  </si>
  <si>
    <t>RMT</t>
  </si>
  <si>
    <t>All weather boundary road for full property 8 m wide mcadamised with soil and stones wet and compressed with road roller</t>
  </si>
  <si>
    <t>Arterial road full length with one crossing at 1000 m from South east corner of property. Macadammised all weather road with one divider 1 m wide and coaltar topping with kerbs and infrastructure corridor for telecommunication electricity and water lines.</t>
  </si>
  <si>
    <t>All weather internal roads for full property 8 m wide mcadamised with soil and stones wet and compressed with road roller running from South to north at a distance of 200 m with storm water drainage, irrigation lines and two cross roads at 500 m distance each</t>
  </si>
  <si>
    <t xml:space="preserve">Guard posts all along the bounday at 1000 m distance </t>
  </si>
  <si>
    <t>A6</t>
  </si>
  <si>
    <t>Land clearing - clearing of bushes, removal of root mass and making suitable for operation by a tractor</t>
  </si>
  <si>
    <t>Ha</t>
  </si>
  <si>
    <t xml:space="preserve">MB Ploughing of arable land to a depth of 30 cm </t>
  </si>
  <si>
    <t>Disc/ Cultivator ploughing - cross - to breal soil lumps (if any)</t>
  </si>
  <si>
    <t>Manure application: manure cost, transportation, spreading in the field</t>
  </si>
  <si>
    <t>Planing and rotavator application for mixing of manure in the top soil</t>
  </si>
  <si>
    <t>SQM</t>
  </si>
  <si>
    <t>Tube well cabins with generator pump room and residence for operator approximately 30 SQMT each</t>
  </si>
  <si>
    <t>Warehouse</t>
  </si>
  <si>
    <t>Warehouse inclusive of area for deshelling</t>
  </si>
  <si>
    <t>Canteen</t>
  </si>
  <si>
    <t>Administration building, including Medical room, creche, offices, conference room, officers canteen</t>
  </si>
  <si>
    <t>GM</t>
  </si>
  <si>
    <t>Crop Mgr</t>
  </si>
  <si>
    <t>Field supervisors</t>
  </si>
  <si>
    <t>other permanent labour inc drivers</t>
  </si>
  <si>
    <t>FnA</t>
  </si>
  <si>
    <t>Workshop</t>
  </si>
  <si>
    <t>Deshelling</t>
  </si>
  <si>
    <t xml:space="preserve">Residential buldings  as per  details </t>
  </si>
  <si>
    <t>C5</t>
  </si>
  <si>
    <t>Utilities - Electrical Room, water tank diesel storage etc</t>
  </si>
  <si>
    <t>75-90 HP</t>
  </si>
  <si>
    <t xml:space="preserve">Tractors small
</t>
  </si>
  <si>
    <t>40-45 HP</t>
  </si>
  <si>
    <t xml:space="preserve">Ripper/ MB plough
</t>
  </si>
  <si>
    <t>suitable for large tractor</t>
  </si>
  <si>
    <t>Cultivator</t>
  </si>
  <si>
    <t>Rotavator</t>
  </si>
  <si>
    <t>Seed Drill with fertiliser applicator and/ or bund maker</t>
  </si>
  <si>
    <t>Multipurpose trolley</t>
  </si>
  <si>
    <t>100 cum</t>
  </si>
  <si>
    <t xml:space="preserve">Diesel Tank - to be attached to tractor
</t>
  </si>
  <si>
    <t xml:space="preserve">Diesel Storage 
</t>
  </si>
  <si>
    <t>10 KL</t>
  </si>
  <si>
    <t>Weigh Bridge</t>
  </si>
  <si>
    <t>60 MT</t>
  </si>
  <si>
    <t>Electric Generator/ transformer/ internal lines</t>
  </si>
  <si>
    <t>60 KVA</t>
  </si>
  <si>
    <t xml:space="preserve"> underground Irrigation pipes including valves</t>
  </si>
  <si>
    <t>300 mm main, 150 mm lateral</t>
  </si>
  <si>
    <t>suitable</t>
  </si>
  <si>
    <t xml:space="preserve">Sprinklers - Manual movement with one irrigation </t>
  </si>
  <si>
    <t>MUV</t>
  </si>
  <si>
    <t>no.</t>
  </si>
  <si>
    <t>Sprayers (Kubota)</t>
  </si>
  <si>
    <t>Workshop equipment and spares</t>
  </si>
  <si>
    <t>5% of equipment cost</t>
  </si>
  <si>
    <r>
      <t>Tractors Large</t>
    </r>
    <r>
      <rPr>
        <sz val="10"/>
        <rFont val="Arial"/>
        <family val="2"/>
      </rPr>
      <t xml:space="preserve">
</t>
    </r>
  </si>
  <si>
    <r>
      <t>Disc Plough</t>
    </r>
    <r>
      <rPr>
        <sz val="10"/>
        <color indexed="8"/>
        <rFont val="Arial"/>
        <family val="2"/>
      </rPr>
      <t xml:space="preserve">
</t>
    </r>
  </si>
  <si>
    <t>C6</t>
  </si>
  <si>
    <t>Collection centers in field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</si>
  <si>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</si>
  <si>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</si>
  <si>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</si>
  <si>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</si>
  <si>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</si>
  <si>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</si>
  <si>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</si>
  <si>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</si>
  <si>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</si>
  <si>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</si>
  <si>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Seed Coating machine (for seed treatment)</t>
  </si>
  <si>
    <t>500 Kg</t>
  </si>
  <si>
    <t>No</t>
  </si>
  <si>
    <t>Land preparation</t>
  </si>
  <si>
    <t>Cost/ Ha</t>
  </si>
  <si>
    <t>Seed Cost</t>
  </si>
  <si>
    <t>Seed treatment cost</t>
  </si>
  <si>
    <t>DAP</t>
  </si>
  <si>
    <t>Fertiliser basal/ Ha</t>
  </si>
  <si>
    <t>QTY</t>
  </si>
  <si>
    <t>Price</t>
  </si>
  <si>
    <t>Val/ Ha</t>
  </si>
  <si>
    <t>Pre emergent Herbicide spray</t>
  </si>
  <si>
    <t>Fertiliser (basal application)* urea in two doses</t>
  </si>
  <si>
    <t>Urea in two doses</t>
  </si>
  <si>
    <t>Fungicide and Insecticide spray</t>
  </si>
  <si>
    <t>Harvesting (incl labour)</t>
  </si>
  <si>
    <t>Yield</t>
  </si>
  <si>
    <t>Price / Kg</t>
  </si>
  <si>
    <t>Realisation</t>
  </si>
  <si>
    <t>Operating margin</t>
  </si>
  <si>
    <t>Sowing cost</t>
  </si>
  <si>
    <t>Sesame</t>
  </si>
  <si>
    <t>Diesel for irrigation</t>
  </si>
  <si>
    <t>Diesel consumption per hour</t>
  </si>
  <si>
    <t>Litre</t>
  </si>
  <si>
    <t xml:space="preserve">Diesel price </t>
  </si>
  <si>
    <t>Diese; cost /hour</t>
  </si>
  <si>
    <t>Diesel cost / Ha/ hour</t>
  </si>
  <si>
    <t>No. of irrigations / season</t>
  </si>
  <si>
    <t>Total diesel cost per season per Ha</t>
  </si>
  <si>
    <t>Okra</t>
  </si>
  <si>
    <t xml:space="preserve">Fertiliser </t>
  </si>
  <si>
    <t>Diesel for Irrigation</t>
  </si>
  <si>
    <t>Tomato</t>
  </si>
  <si>
    <t>Drip for Vegetables</t>
  </si>
  <si>
    <t xml:space="preserve">Distance 1.0 m </t>
  </si>
  <si>
    <t>B6</t>
  </si>
  <si>
    <t>Water tank for Drip Irrigation</t>
  </si>
  <si>
    <t>CUM</t>
  </si>
  <si>
    <t>Nursery cost</t>
  </si>
  <si>
    <t>Others - trelisses for climbers etc</t>
  </si>
  <si>
    <t>Okra - with drip and mulching</t>
  </si>
  <si>
    <t>Tomato - with drip and mulching</t>
  </si>
  <si>
    <t xml:space="preserve">Potato in winter season with irrigation </t>
  </si>
  <si>
    <t>Potato Planter</t>
  </si>
  <si>
    <t>Planter with fertiliser application</t>
  </si>
  <si>
    <t>Potato Harvester</t>
  </si>
  <si>
    <t>Harvester with mud shaker</t>
  </si>
  <si>
    <t>Seed treatment</t>
  </si>
  <si>
    <t>Sowing cost (diesel)</t>
  </si>
  <si>
    <t>Euro</t>
  </si>
  <si>
    <t>Groundnut</t>
  </si>
  <si>
    <t>Potato</t>
  </si>
  <si>
    <t>Seed treatment / Nursery  cost</t>
  </si>
  <si>
    <t>Salaries</t>
  </si>
  <si>
    <t>Maintenance</t>
  </si>
  <si>
    <t>Salaries (Permanent)</t>
  </si>
  <si>
    <t>Total Variable Costs</t>
  </si>
  <si>
    <t>Sales Manager</t>
  </si>
  <si>
    <t>Crop Manager</t>
  </si>
  <si>
    <t>Finance and Accounts</t>
  </si>
  <si>
    <t>Workshop Supervisor</t>
  </si>
  <si>
    <t>Warehouse Supervisor</t>
  </si>
  <si>
    <t>Deshelling Supervisor</t>
  </si>
  <si>
    <t>Canteen Supervisor</t>
  </si>
  <si>
    <t>Permant Labour (incl drivers)</t>
  </si>
  <si>
    <t>Total Fixed Costs</t>
  </si>
  <si>
    <t>Groundnut desheller</t>
  </si>
  <si>
    <t>Deshelling machine</t>
  </si>
  <si>
    <t>Entry gate and guard room</t>
  </si>
  <si>
    <t>Unit Price in Euros</t>
  </si>
  <si>
    <t>Total Price in Euros</t>
  </si>
  <si>
    <t xml:space="preserve">Project Head </t>
  </si>
  <si>
    <t>General Manager</t>
  </si>
  <si>
    <t>Marketing Head</t>
  </si>
  <si>
    <t>Sales Head</t>
  </si>
  <si>
    <t>Accounts and Finance Head</t>
  </si>
  <si>
    <t>Marketing &amp; Sales Support</t>
  </si>
  <si>
    <t xml:space="preserve">Finance &amp; Accounts Support </t>
  </si>
  <si>
    <t>Warehouse Staff</t>
  </si>
  <si>
    <t>De-shelling Staff</t>
  </si>
  <si>
    <t>Canteen Staff</t>
  </si>
  <si>
    <t xml:space="preserve">Labour </t>
  </si>
  <si>
    <t xml:space="preserve">HO Supervision </t>
  </si>
  <si>
    <t>Staff Travel</t>
  </si>
  <si>
    <t>Workshop Staff</t>
  </si>
  <si>
    <t>Project Engineering Services</t>
  </si>
  <si>
    <t>R&amp;D</t>
  </si>
  <si>
    <t>Sub-total</t>
  </si>
  <si>
    <t>Project Management Services</t>
  </si>
  <si>
    <t xml:space="preserve">Onion - with drip </t>
  </si>
  <si>
    <t>Sorghum for seed</t>
  </si>
  <si>
    <t>Cost/Ha</t>
  </si>
  <si>
    <t>Aubergine - with drip and mulching</t>
  </si>
  <si>
    <t>Others - trelisses for climbers, mulching etc</t>
  </si>
  <si>
    <t>Cost / Ha</t>
  </si>
  <si>
    <t>Wheat</t>
  </si>
  <si>
    <t>Post emergent Herbicide spray</t>
  </si>
  <si>
    <t>Cowpea</t>
  </si>
  <si>
    <t xml:space="preserve">Description </t>
  </si>
  <si>
    <t xml:space="preserve">Brick making machine </t>
  </si>
  <si>
    <t>2000-3000 bricks per hour</t>
  </si>
  <si>
    <t>Combine Harvesters</t>
  </si>
  <si>
    <t>Harvesters</t>
  </si>
  <si>
    <t>Fencing : Chain Linked fencing 2.6 in total, 0.6 m below ground with metal  stakes of 2. mt, 2 feet underground and 2 m above  ground</t>
  </si>
  <si>
    <t>30 cubic m / hour depth 60 m</t>
  </si>
  <si>
    <t>Tube wells inclusiveof  Boring and Pumps</t>
  </si>
  <si>
    <t>Generators (diesel)</t>
  </si>
  <si>
    <t>25 KVA</t>
  </si>
  <si>
    <t>Solar Panels with invertor and battery</t>
  </si>
  <si>
    <t>Packing lines</t>
  </si>
  <si>
    <t xml:space="preserve">Crates </t>
  </si>
  <si>
    <t xml:space="preserve">Potato Chips Line </t>
  </si>
  <si>
    <t xml:space="preserve">Cold Storage </t>
  </si>
  <si>
    <t>3000 MT</t>
  </si>
  <si>
    <t>Alfa Alfa</t>
  </si>
  <si>
    <t>Utilities &amp; Other assets</t>
  </si>
  <si>
    <t>Onion</t>
  </si>
  <si>
    <t>Aubergine</t>
  </si>
  <si>
    <t>PMC</t>
  </si>
  <si>
    <t>Vegetable Pack house</t>
  </si>
  <si>
    <t>Vegetable pack house for round/ long vegetables 10 MT/ Hr</t>
  </si>
  <si>
    <t xml:space="preserve">A. Site Development </t>
  </si>
  <si>
    <r>
      <t>B</t>
    </r>
    <r>
      <rPr>
        <sz val="10"/>
        <color indexed="8"/>
        <rFont val="Arial"/>
        <family val="2"/>
      </rPr>
      <t xml:space="preserve">. </t>
    </r>
    <r>
      <rPr>
        <b/>
        <sz val="10"/>
        <color indexed="8"/>
        <rFont val="Arial"/>
        <family val="2"/>
      </rPr>
      <t>Land Preparation</t>
    </r>
  </si>
  <si>
    <r>
      <t xml:space="preserve">C. </t>
    </r>
    <r>
      <rPr>
        <b/>
        <sz val="10"/>
        <color indexed="8"/>
        <rFont val="Arial"/>
        <family val="2"/>
      </rPr>
      <t>Buildings</t>
    </r>
  </si>
  <si>
    <t>Sorghum for Seed</t>
  </si>
  <si>
    <t>Item of Work</t>
  </si>
  <si>
    <t>Qty.</t>
  </si>
  <si>
    <t>Rate</t>
  </si>
  <si>
    <t>Amount</t>
  </si>
  <si>
    <t>Sub-Total</t>
  </si>
  <si>
    <t>Total Carried Over to Summary</t>
  </si>
  <si>
    <t>Total Price (Rs. In Euros)</t>
  </si>
  <si>
    <t>Sub Total</t>
  </si>
  <si>
    <t>Total Basic Infrastructure</t>
  </si>
  <si>
    <t>Pickup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</si>
</sst>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0.0"/>
    <numFmt numFmtId="168" formatCode="0.000"/>
  </numFmts>
  <fonts count="3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color indexed="8"/>
      <name val="Book Antiqu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Book Antiqua"/>
      <family val="2"/>
    </font>
    <font>
      <b/>
      <sz val="9"/>
      <color indexed="8"/>
      <name val="Arial"/>
      <family val="2"/>
    </font>
    <font>
      <sz val="8"/>
      <color indexed="8"/>
      <name val="Arial"/>
      <family val="2"/>
    </font>
    <font>
      <sz val="9"/>
      <color indexed="8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 tint="0.499984740745262"/>
      <name val="Arial"/>
      <family val="2"/>
    </font>
    <font>
      <b/>
      <sz val="10"/>
      <color theme="7" tint="-0.249977111117893"/>
      <name val="Arial"/>
      <family val="2"/>
    </font>
    <font>
      <b/>
      <u/>
      <sz val="10"/>
      <color indexed="8"/>
      <name val="Arial"/>
      <family val="2"/>
    </font>
    <font>
      <b/>
      <i/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theme="5"/>
      <name val="Arial"/>
      <family val="2"/>
    </font>
    <font>
      <b/>
      <u/>
      <sz val="10"/>
      <name val="Arial"/>
      <family val="2"/>
    </font>
    <font>
      <b/>
      <sz val="10"/>
      <color indexed="1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CCFF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77">
    <xf numFmtId="0" fontId="0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1" fillId="0" borderId="0"/>
    <xf numFmtId="0" fontId="2" fillId="0" borderId="0"/>
    <xf numFmtId="0" fontId="10" fillId="0" borderId="0"/>
    <xf numFmtId="9" fontId="1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</cellStyleXfs>
  <cellXfs count="519">
    <xf numFmtId="0" fontId="0" fillId="0" borderId="0" xfId="0"/>
    <xf numFmtId="164" fontId="0" fillId="0" borderId="1" xfId="1" applyFont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0" fillId="0" borderId="0" xfId="0" applyAlignment="1">
      <alignment horizontal="center"/>
    </xf>
    <xf numFmtId="0" fontId="3" fillId="0" borderId="1" xfId="4" applyFont="1" applyBorder="1" applyAlignment="1">
      <alignment horizontal="center" vertical="top"/>
    </xf>
    <xf numFmtId="0" fontId="3" fillId="0" borderId="1" xfId="4" applyFont="1" applyBorder="1" applyAlignment="1">
      <alignment horizontal="left" vertical="top" wrapText="1"/>
    </xf>
    <xf numFmtId="0" fontId="2" fillId="0" borderId="1" xfId="4" applyBorder="1" applyAlignment="1">
      <alignment horizontal="center" vertical="top"/>
    </xf>
    <xf numFmtId="2" fontId="2" fillId="0" borderId="1" xfId="4" applyNumberFormat="1" applyBorder="1" applyAlignment="1">
      <alignment horizontal="center" vertical="top"/>
    </xf>
    <xf numFmtId="0" fontId="3" fillId="0" borderId="1" xfId="4" applyFont="1" applyBorder="1" applyAlignment="1">
      <alignment horizontal="left" vertical="center" wrapText="1"/>
    </xf>
    <xf numFmtId="0" fontId="2" fillId="0" borderId="1" xfId="4" applyBorder="1" applyAlignment="1">
      <alignment vertical="top"/>
    </xf>
    <xf numFmtId="0" fontId="3" fillId="0" borderId="1" xfId="4" applyFont="1" applyBorder="1" applyAlignment="1">
      <alignment horizontal="left" vertical="top"/>
    </xf>
    <xf numFmtId="0" fontId="3" fillId="0" borderId="1" xfId="4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0" fillId="0" borderId="1" xfId="0" applyBorder="1" applyAlignment="1">
      <alignment wrapText="1"/>
    </xf>
    <xf numFmtId="164" fontId="0" fillId="0" borderId="1" xfId="1" applyFont="1" applyBorder="1" applyAlignment="1">
      <alignment horizontal="center" wrapText="1"/>
    </xf>
    <xf numFmtId="164" fontId="4" fillId="0" borderId="0" xfId="1" applyFont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164" fontId="4" fillId="0" borderId="1" xfId="1" applyFont="1" applyBorder="1" applyAlignment="1">
      <alignment horizontal="center" wrapText="1"/>
    </xf>
    <xf numFmtId="164" fontId="0" fillId="0" borderId="1" xfId="1" applyFont="1" applyBorder="1"/>
    <xf numFmtId="164" fontId="0" fillId="0" borderId="17" xfId="1" applyFont="1" applyFill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164" fontId="2" fillId="0" borderId="1" xfId="1" applyFont="1" applyBorder="1" applyAlignment="1">
      <alignment vertical="center" wrapText="1"/>
    </xf>
    <xf numFmtId="164" fontId="0" fillId="0" borderId="1" xfId="1" applyFont="1" applyBorder="1" applyAlignment="1">
      <alignment vertical="center" wrapText="1"/>
    </xf>
    <xf numFmtId="164" fontId="0" fillId="0" borderId="16" xfId="1" applyFont="1" applyBorder="1" applyAlignment="1">
      <alignment horizontal="center" vertical="center" wrapText="1"/>
    </xf>
    <xf numFmtId="164" fontId="0" fillId="0" borderId="1" xfId="1" applyFont="1" applyBorder="1" applyAlignment="1">
      <alignment horizontal="center" vertical="center" wrapText="1"/>
    </xf>
    <xf numFmtId="164" fontId="0" fillId="0" borderId="0" xfId="1" applyFont="1" applyAlignment="1">
      <alignment vertical="center" wrapText="1"/>
    </xf>
    <xf numFmtId="164" fontId="0" fillId="0" borderId="0" xfId="1" applyFont="1"/>
    <xf numFmtId="9" fontId="0" fillId="0" borderId="1" xfId="6" applyFont="1" applyBorder="1"/>
    <xf numFmtId="10" fontId="0" fillId="0" borderId="1" xfId="6" applyNumberFormat="1" applyFont="1" applyBorder="1"/>
    <xf numFmtId="0" fontId="9" fillId="0" borderId="1" xfId="0" applyFont="1" applyBorder="1" applyAlignment="1">
      <alignment wrapText="1"/>
    </xf>
    <xf numFmtId="0" fontId="9" fillId="0" borderId="1" xfId="0" applyFont="1" applyBorder="1"/>
    <xf numFmtId="165" fontId="2" fillId="0" borderId="1" xfId="0" applyNumberFormat="1" applyFont="1" applyBorder="1" applyAlignment="1">
      <alignment wrapText="1"/>
    </xf>
    <xf numFmtId="165" fontId="2" fillId="0" borderId="1" xfId="1" applyNumberFormat="1" applyFont="1" applyBorder="1"/>
    <xf numFmtId="1" fontId="0" fillId="0" borderId="1" xfId="0" applyNumberForma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/>
    <xf numFmtId="0" fontId="13" fillId="0" borderId="0" xfId="0" applyFont="1" applyAlignment="1">
      <alignment vertical="top"/>
    </xf>
    <xf numFmtId="0" fontId="14" fillId="21" borderId="0" xfId="0" applyFont="1" applyFill="1" applyAlignment="1">
      <alignment vertical="top"/>
    </xf>
    <xf numFmtId="0" fontId="12" fillId="21" borderId="0" xfId="0" applyFont="1" applyFill="1" applyAlignment="1">
      <alignment horizontal="center" vertical="top"/>
    </xf>
    <xf numFmtId="0" fontId="14" fillId="21" borderId="0" xfId="0" applyFont="1" applyFill="1" applyAlignment="1">
      <alignment horizontal="center" vertical="top"/>
    </xf>
    <xf numFmtId="0" fontId="14" fillId="0" borderId="0" xfId="0" applyFont="1" applyAlignment="1">
      <alignment vertical="top"/>
    </xf>
    <xf numFmtId="0" fontId="9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center" vertical="top" wrapText="1"/>
    </xf>
    <xf numFmtId="0" fontId="12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top"/>
    </xf>
    <xf numFmtId="0" fontId="14" fillId="21" borderId="0" xfId="0" applyFont="1" applyFill="1" applyAlignment="1">
      <alignment horizontal="right" vertical="top"/>
    </xf>
    <xf numFmtId="0" fontId="14" fillId="0" borderId="0" xfId="0" applyFont="1" applyAlignment="1">
      <alignment horizontal="right" vertical="top"/>
    </xf>
    <xf numFmtId="0" fontId="9" fillId="0" borderId="0" xfId="0" applyFont="1" applyAlignment="1">
      <alignment horizontal="right" vertical="top"/>
    </xf>
    <xf numFmtId="165" fontId="0" fillId="0" borderId="0" xfId="0" applyNumberFormat="1" applyAlignment="1">
      <alignment horizontal="center"/>
    </xf>
    <xf numFmtId="0" fontId="2" fillId="0" borderId="0" xfId="0" applyFont="1" applyAlignment="1">
      <alignment horizontal="right"/>
    </xf>
    <xf numFmtId="0" fontId="4" fillId="0" borderId="9" xfId="0" applyFont="1" applyBorder="1" applyAlignment="1">
      <alignment vertical="top" wrapText="1"/>
    </xf>
    <xf numFmtId="0" fontId="2" fillId="0" borderId="9" xfId="0" applyFont="1" applyBorder="1" applyAlignment="1">
      <alignment horizontal="center" vertical="top"/>
    </xf>
    <xf numFmtId="0" fontId="2" fillId="0" borderId="9" xfId="0" applyFont="1" applyBorder="1" applyAlignment="1">
      <alignment horizontal="right" vertical="top"/>
    </xf>
    <xf numFmtId="2" fontId="18" fillId="0" borderId="9" xfId="0" applyNumberFormat="1" applyFont="1" applyBorder="1" applyAlignment="1">
      <alignment horizontal="right" vertical="top"/>
    </xf>
    <xf numFmtId="0" fontId="17" fillId="0" borderId="9" xfId="0" applyFont="1" applyBorder="1" applyAlignment="1">
      <alignment vertical="top" wrapText="1"/>
    </xf>
    <xf numFmtId="0" fontId="18" fillId="0" borderId="9" xfId="0" applyFont="1" applyBorder="1" applyAlignment="1">
      <alignment horizontal="center" vertical="top"/>
    </xf>
    <xf numFmtId="0" fontId="18" fillId="0" borderId="9" xfId="0" applyFont="1" applyBorder="1" applyAlignment="1">
      <alignment horizontal="right" vertical="top"/>
    </xf>
    <xf numFmtId="2" fontId="2" fillId="21" borderId="9" xfId="0" applyNumberFormat="1" applyFont="1" applyFill="1" applyBorder="1" applyAlignment="1">
      <alignment horizontal="right" vertical="top"/>
    </xf>
    <xf numFmtId="2" fontId="2" fillId="0" borderId="9" xfId="0" applyNumberFormat="1" applyFont="1" applyBorder="1" applyAlignment="1">
      <alignment horizontal="right" vertical="top"/>
    </xf>
    <xf numFmtId="0" fontId="2" fillId="0" borderId="9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right" vertical="top" wrapText="1"/>
    </xf>
    <xf numFmtId="0" fontId="17" fillId="21" borderId="9" xfId="0" applyFont="1" applyFill="1" applyBorder="1" applyAlignment="1">
      <alignment vertical="top" wrapText="1"/>
    </xf>
    <xf numFmtId="49" fontId="18" fillId="0" borderId="9" xfId="0" applyNumberFormat="1" applyFont="1" applyBorder="1" applyAlignment="1">
      <alignment horizontal="center" vertical="top"/>
    </xf>
    <xf numFmtId="0" fontId="17" fillId="24" borderId="9" xfId="0" applyFont="1" applyFill="1" applyBorder="1" applyAlignment="1">
      <alignment horizontal="center" vertical="center"/>
    </xf>
    <xf numFmtId="0" fontId="4" fillId="24" borderId="9" xfId="0" applyFont="1" applyFill="1" applyBorder="1" applyAlignment="1">
      <alignment horizontal="center" vertical="center" wrapText="1"/>
    </xf>
    <xf numFmtId="1" fontId="18" fillId="0" borderId="9" xfId="0" applyNumberFormat="1" applyFont="1" applyBorder="1" applyAlignment="1">
      <alignment horizontal="center" vertical="top"/>
    </xf>
    <xf numFmtId="0" fontId="4" fillId="9" borderId="9" xfId="0" applyFont="1" applyFill="1" applyBorder="1" applyAlignment="1">
      <alignment horizontal="center" vertical="top"/>
    </xf>
    <xf numFmtId="0" fontId="4" fillId="9" borderId="9" xfId="0" applyFont="1" applyFill="1" applyBorder="1" applyAlignment="1">
      <alignment horizontal="right" vertical="top"/>
    </xf>
    <xf numFmtId="0" fontId="2" fillId="9" borderId="9" xfId="0" applyFont="1" applyFill="1" applyBorder="1" applyAlignment="1">
      <alignment horizontal="center" vertical="top" wrapText="1"/>
    </xf>
    <xf numFmtId="2" fontId="4" fillId="9" borderId="9" xfId="0" applyNumberFormat="1" applyFont="1" applyFill="1" applyBorder="1" applyAlignment="1">
      <alignment horizontal="right" vertical="top"/>
    </xf>
    <xf numFmtId="0" fontId="2" fillId="0" borderId="9" xfId="0" applyFont="1" applyBorder="1" applyAlignment="1">
      <alignment vertical="center" wrapText="1"/>
    </xf>
    <xf numFmtId="0" fontId="2" fillId="0" borderId="9" xfId="0" applyFont="1" applyBorder="1"/>
    <xf numFmtId="0" fontId="4" fillId="24" borderId="9" xfId="0" applyFont="1" applyFill="1" applyBorder="1"/>
    <xf numFmtId="0" fontId="4" fillId="24" borderId="9" xfId="0" applyFont="1" applyFill="1" applyBorder="1" applyAlignment="1">
      <alignment horizontal="right"/>
    </xf>
    <xf numFmtId="0" fontId="2" fillId="18" borderId="9" xfId="0" applyFont="1" applyFill="1" applyBorder="1"/>
    <xf numFmtId="0" fontId="2" fillId="18" borderId="9" xfId="0" applyFont="1" applyFill="1" applyBorder="1" applyAlignment="1">
      <alignment horizontal="left"/>
    </xf>
    <xf numFmtId="1" fontId="2" fillId="18" borderId="9" xfId="0" applyNumberFormat="1" applyFont="1" applyFill="1" applyBorder="1" applyAlignment="1">
      <alignment horizontal="right"/>
    </xf>
    <xf numFmtId="0" fontId="2" fillId="23" borderId="9" xfId="0" applyFont="1" applyFill="1" applyBorder="1"/>
    <xf numFmtId="1" fontId="2" fillId="23" borderId="9" xfId="0" applyNumberFormat="1" applyFont="1" applyFill="1" applyBorder="1" applyAlignment="1">
      <alignment horizontal="right"/>
    </xf>
    <xf numFmtId="0" fontId="2" fillId="23" borderId="9" xfId="0" applyFont="1" applyFill="1" applyBorder="1" applyAlignment="1">
      <alignment horizontal="left"/>
    </xf>
    <xf numFmtId="0" fontId="2" fillId="22" borderId="9" xfId="0" applyFont="1" applyFill="1" applyBorder="1"/>
    <xf numFmtId="0" fontId="2" fillId="22" borderId="9" xfId="0" applyFont="1" applyFill="1" applyBorder="1" applyAlignment="1">
      <alignment horizontal="left"/>
    </xf>
    <xf numFmtId="2" fontId="2" fillId="18" borderId="9" xfId="0" applyNumberFormat="1" applyFont="1" applyFill="1" applyBorder="1" applyAlignment="1">
      <alignment horizontal="right"/>
    </xf>
    <xf numFmtId="0" fontId="4" fillId="23" borderId="9" xfId="0" applyFont="1" applyFill="1" applyBorder="1" applyAlignment="1">
      <alignment horizontal="center"/>
    </xf>
    <xf numFmtId="0" fontId="2" fillId="23" borderId="9" xfId="0" applyFont="1" applyFill="1" applyBorder="1" applyAlignment="1">
      <alignment horizontal="center"/>
    </xf>
    <xf numFmtId="2" fontId="2" fillId="22" borderId="9" xfId="0" applyNumberFormat="1" applyFont="1" applyFill="1" applyBorder="1" applyAlignment="1">
      <alignment horizontal="right"/>
    </xf>
    <xf numFmtId="0" fontId="4" fillId="22" borderId="9" xfId="0" applyFont="1" applyFill="1" applyBorder="1" applyAlignment="1">
      <alignment horizontal="right"/>
    </xf>
    <xf numFmtId="1" fontId="2" fillId="22" borderId="9" xfId="0" applyNumberFormat="1" applyFont="1" applyFill="1" applyBorder="1" applyAlignment="1">
      <alignment horizontal="right"/>
    </xf>
    <xf numFmtId="2" fontId="2" fillId="23" borderId="9" xfId="0" applyNumberFormat="1" applyFont="1" applyFill="1" applyBorder="1" applyAlignment="1">
      <alignment horizontal="right"/>
    </xf>
    <xf numFmtId="0" fontId="2" fillId="0" borderId="9" xfId="0" applyFont="1" applyBorder="1" applyAlignment="1">
      <alignment horizontal="right"/>
    </xf>
    <xf numFmtId="0" fontId="21" fillId="24" borderId="9" xfId="0" applyFont="1" applyFill="1" applyBorder="1" applyAlignment="1">
      <alignment horizontal="center" vertical="top" wrapText="1"/>
    </xf>
    <xf numFmtId="0" fontId="21" fillId="24" borderId="10" xfId="0" applyFont="1" applyFill="1" applyBorder="1" applyAlignment="1">
      <alignment horizontal="center" vertical="top" wrapText="1"/>
    </xf>
    <xf numFmtId="0" fontId="21" fillId="0" borderId="3" xfId="0" applyFont="1" applyBorder="1" applyAlignment="1">
      <alignment horizontal="center" vertical="top" wrapText="1"/>
    </xf>
    <xf numFmtId="0" fontId="21" fillId="0" borderId="11" xfId="0" applyFont="1" applyBorder="1" applyAlignment="1">
      <alignment vertical="top" wrapText="1"/>
    </xf>
    <xf numFmtId="0" fontId="21" fillId="0" borderId="11" xfId="0" applyFont="1" applyBorder="1" applyAlignment="1">
      <alignment horizontal="right" vertical="top" wrapText="1"/>
    </xf>
    <xf numFmtId="0" fontId="20" fillId="0" borderId="3" xfId="0" applyFont="1" applyBorder="1" applyAlignment="1">
      <alignment horizontal="center" vertical="top" wrapText="1"/>
    </xf>
    <xf numFmtId="0" fontId="20" fillId="0" borderId="11" xfId="0" applyFont="1" applyBorder="1" applyAlignment="1">
      <alignment horizontal="justify" vertical="top"/>
    </xf>
    <xf numFmtId="0" fontId="20" fillId="0" borderId="11" xfId="0" applyFont="1" applyBorder="1" applyAlignment="1">
      <alignment horizontal="center" vertical="top" wrapText="1"/>
    </xf>
    <xf numFmtId="0" fontId="20" fillId="0" borderId="11" xfId="0" applyFont="1" applyBorder="1" applyAlignment="1">
      <alignment horizontal="right" vertical="top" wrapText="1"/>
    </xf>
    <xf numFmtId="2" fontId="20" fillId="0" borderId="11" xfId="0" applyNumberFormat="1" applyFont="1" applyBorder="1" applyAlignment="1">
      <alignment horizontal="right" vertical="top" wrapText="1"/>
    </xf>
    <xf numFmtId="165" fontId="20" fillId="0" borderId="11" xfId="1" applyNumberFormat="1" applyFont="1" applyBorder="1" applyAlignment="1">
      <alignment horizontal="right" vertical="top" wrapText="1"/>
    </xf>
    <xf numFmtId="9" fontId="2" fillId="0" borderId="0" xfId="6" applyFont="1"/>
    <xf numFmtId="0" fontId="20" fillId="0" borderId="9" xfId="0" applyFont="1" applyBorder="1" applyAlignment="1">
      <alignment horizontal="center" vertical="top" wrapText="1"/>
    </xf>
    <xf numFmtId="0" fontId="20" fillId="0" borderId="9" xfId="0" applyFont="1" applyBorder="1" applyAlignment="1">
      <alignment horizontal="justify" vertical="top"/>
    </xf>
    <xf numFmtId="0" fontId="20" fillId="0" borderId="9" xfId="0" applyFont="1" applyBorder="1" applyAlignment="1">
      <alignment horizontal="right" vertical="top" wrapText="1"/>
    </xf>
    <xf numFmtId="165" fontId="20" fillId="0" borderId="9" xfId="1" applyNumberFormat="1" applyFont="1" applyBorder="1" applyAlignment="1">
      <alignment horizontal="right" vertical="top" wrapText="1"/>
    </xf>
    <xf numFmtId="0" fontId="2" fillId="0" borderId="0" xfId="0" applyFont="1" applyAlignment="1">
      <alignment horizontal="center"/>
    </xf>
    <xf numFmtId="0" fontId="20" fillId="0" borderId="11" xfId="0" applyFont="1" applyBorder="1" applyAlignment="1">
      <alignment horizontal="justify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right" vertical="center" wrapText="1"/>
    </xf>
    <xf numFmtId="2" fontId="20" fillId="0" borderId="11" xfId="0" applyNumberFormat="1" applyFont="1" applyBorder="1" applyAlignment="1">
      <alignment vertical="center" wrapText="1"/>
    </xf>
    <xf numFmtId="165" fontId="20" fillId="0" borderId="11" xfId="1" applyNumberFormat="1" applyFont="1" applyBorder="1" applyAlignment="1">
      <alignment vertical="center" wrapText="1"/>
    </xf>
    <xf numFmtId="0" fontId="20" fillId="0" borderId="11" xfId="0" applyFont="1" applyBorder="1" applyAlignment="1">
      <alignment vertical="center" wrapText="1"/>
    </xf>
    <xf numFmtId="0" fontId="20" fillId="22" borderId="3" xfId="0" applyFont="1" applyFill="1" applyBorder="1" applyAlignment="1">
      <alignment horizontal="center" vertical="top" wrapText="1"/>
    </xf>
    <xf numFmtId="0" fontId="20" fillId="22" borderId="11" xfId="0" applyFont="1" applyFill="1" applyBorder="1" applyAlignment="1">
      <alignment horizontal="justify" vertical="top"/>
    </xf>
    <xf numFmtId="0" fontId="20" fillId="22" borderId="11" xfId="0" applyFont="1" applyFill="1" applyBorder="1" applyAlignment="1">
      <alignment horizontal="center" vertical="center" wrapText="1"/>
    </xf>
    <xf numFmtId="1" fontId="20" fillId="22" borderId="11" xfId="0" applyNumberFormat="1" applyFont="1" applyFill="1" applyBorder="1" applyAlignment="1">
      <alignment vertical="center" wrapText="1"/>
    </xf>
    <xf numFmtId="2" fontId="20" fillId="22" borderId="11" xfId="0" applyNumberFormat="1" applyFont="1" applyFill="1" applyBorder="1" applyAlignment="1">
      <alignment vertical="center" wrapText="1"/>
    </xf>
    <xf numFmtId="165" fontId="20" fillId="22" borderId="11" xfId="1" applyNumberFormat="1" applyFont="1" applyFill="1" applyBorder="1" applyAlignment="1">
      <alignment vertical="center" wrapText="1"/>
    </xf>
    <xf numFmtId="1" fontId="20" fillId="0" borderId="11" xfId="0" applyNumberFormat="1" applyFont="1" applyBorder="1" applyAlignment="1">
      <alignment horizontal="right" vertical="center" wrapText="1"/>
    </xf>
    <xf numFmtId="0" fontId="20" fillId="0" borderId="20" xfId="0" applyFont="1" applyBorder="1" applyAlignment="1">
      <alignment horizontal="center" vertical="top" wrapText="1"/>
    </xf>
    <xf numFmtId="0" fontId="20" fillId="0" borderId="11" xfId="0" applyFont="1" applyBorder="1" applyAlignment="1">
      <alignment horizontal="center"/>
    </xf>
    <xf numFmtId="0" fontId="20" fillId="0" borderId="11" xfId="0" applyFont="1" applyBorder="1" applyAlignment="1">
      <alignment vertical="top" wrapText="1"/>
    </xf>
    <xf numFmtId="0" fontId="21" fillId="24" borderId="3" xfId="0" applyFont="1" applyFill="1" applyBorder="1" applyAlignment="1">
      <alignment horizontal="center" vertical="top" wrapText="1"/>
    </xf>
    <xf numFmtId="2" fontId="20" fillId="0" borderId="9" xfId="0" applyNumberFormat="1" applyFont="1" applyBorder="1" applyAlignment="1">
      <alignment vertical="center" wrapText="1"/>
    </xf>
    <xf numFmtId="165" fontId="20" fillId="0" borderId="9" xfId="1" applyNumberFormat="1" applyFont="1" applyBorder="1" applyAlignment="1">
      <alignment vertical="center" wrapText="1"/>
    </xf>
    <xf numFmtId="1" fontId="20" fillId="0" borderId="9" xfId="0" applyNumberFormat="1" applyFont="1" applyBorder="1" applyAlignment="1">
      <alignment vertical="center" wrapText="1"/>
    </xf>
    <xf numFmtId="165" fontId="2" fillId="0" borderId="0" xfId="0" applyNumberFormat="1" applyFont="1"/>
    <xf numFmtId="165" fontId="20" fillId="0" borderId="18" xfId="1" applyNumberFormat="1" applyFont="1" applyBorder="1" applyAlignment="1">
      <alignment vertical="center" wrapText="1"/>
    </xf>
    <xf numFmtId="0" fontId="2" fillId="0" borderId="6" xfId="0" applyFont="1" applyBorder="1"/>
    <xf numFmtId="1" fontId="20" fillId="0" borderId="6" xfId="0" applyNumberFormat="1" applyFont="1" applyBorder="1" applyAlignment="1">
      <alignment vertical="center" wrapText="1"/>
    </xf>
    <xf numFmtId="0" fontId="4" fillId="24" borderId="9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165" fontId="22" fillId="0" borderId="9" xfId="1" applyNumberFormat="1" applyFont="1" applyBorder="1" applyAlignment="1">
      <alignment horizontal="center"/>
    </xf>
    <xf numFmtId="165" fontId="2" fillId="0" borderId="9" xfId="1" applyNumberFormat="1" applyFont="1" applyBorder="1" applyAlignment="1">
      <alignment horizontal="center"/>
    </xf>
    <xf numFmtId="165" fontId="2" fillId="0" borderId="9" xfId="0" applyNumberFormat="1" applyFont="1" applyBorder="1"/>
    <xf numFmtId="1" fontId="22" fillId="0" borderId="9" xfId="0" applyNumberFormat="1" applyFont="1" applyBorder="1"/>
    <xf numFmtId="0" fontId="2" fillId="0" borderId="9" xfId="0" applyFont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right"/>
    </xf>
    <xf numFmtId="1" fontId="2" fillId="18" borderId="9" xfId="0" applyNumberFormat="1" applyFont="1" applyFill="1" applyBorder="1" applyAlignment="1">
      <alignment horizontal="right" indent="1"/>
    </xf>
    <xf numFmtId="1" fontId="2" fillId="0" borderId="9" xfId="0" applyNumberFormat="1" applyFont="1" applyBorder="1" applyAlignment="1">
      <alignment horizontal="right" indent="1"/>
    </xf>
    <xf numFmtId="0" fontId="2" fillId="18" borderId="9" xfId="0" applyFont="1" applyFill="1" applyBorder="1" applyAlignment="1">
      <alignment horizontal="right"/>
    </xf>
    <xf numFmtId="0" fontId="2" fillId="23" borderId="9" xfId="0" applyFont="1" applyFill="1" applyBorder="1" applyAlignment="1">
      <alignment horizontal="right"/>
    </xf>
    <xf numFmtId="168" fontId="2" fillId="23" borderId="9" xfId="0" applyNumberFormat="1" applyFont="1" applyFill="1" applyBorder="1" applyAlignment="1">
      <alignment horizontal="right"/>
    </xf>
    <xf numFmtId="0" fontId="2" fillId="0" borderId="9" xfId="0" applyFont="1" applyBorder="1" applyAlignment="1">
      <alignment horizontal="left" indent="1"/>
    </xf>
    <xf numFmtId="0" fontId="2" fillId="0" borderId="9" xfId="0" applyFont="1" applyBorder="1" applyAlignment="1">
      <alignment horizontal="right" indent="1"/>
    </xf>
    <xf numFmtId="0" fontId="2" fillId="22" borderId="9" xfId="0" applyFont="1" applyFill="1" applyBorder="1" applyAlignment="1">
      <alignment horizontal="left" indent="1"/>
    </xf>
    <xf numFmtId="0" fontId="2" fillId="22" borderId="9" xfId="0" applyFont="1" applyFill="1" applyBorder="1" applyAlignment="1">
      <alignment horizontal="right" indent="1"/>
    </xf>
    <xf numFmtId="0" fontId="2" fillId="22" borderId="9" xfId="0" applyFont="1" applyFill="1" applyBorder="1" applyAlignment="1">
      <alignment horizontal="right"/>
    </xf>
    <xf numFmtId="2" fontId="2" fillId="0" borderId="9" xfId="0" applyNumberFormat="1" applyFont="1" applyBorder="1" applyAlignment="1">
      <alignment horizontal="right"/>
    </xf>
    <xf numFmtId="0" fontId="20" fillId="18" borderId="9" xfId="0" applyFont="1" applyFill="1" applyBorder="1" applyAlignment="1">
      <alignment horizontal="right"/>
    </xf>
    <xf numFmtId="0" fontId="21" fillId="18" borderId="9" xfId="0" applyFont="1" applyFill="1" applyBorder="1" applyAlignment="1">
      <alignment horizontal="right"/>
    </xf>
    <xf numFmtId="0" fontId="20" fillId="18" borderId="9" xfId="0" applyFont="1" applyFill="1" applyBorder="1"/>
    <xf numFmtId="0" fontId="20" fillId="18" borderId="9" xfId="0" applyFont="1" applyFill="1" applyBorder="1" applyAlignment="1">
      <alignment horizontal="left"/>
    </xf>
    <xf numFmtId="0" fontId="21" fillId="0" borderId="0" xfId="0" applyFont="1"/>
    <xf numFmtId="0" fontId="21" fillId="18" borderId="9" xfId="0" applyFont="1" applyFill="1" applyBorder="1" applyAlignment="1">
      <alignment horizontal="left"/>
    </xf>
    <xf numFmtId="1" fontId="21" fillId="18" borderId="9" xfId="0" applyNumberFormat="1" applyFont="1" applyFill="1" applyBorder="1" applyAlignment="1">
      <alignment horizontal="right"/>
    </xf>
    <xf numFmtId="167" fontId="21" fillId="0" borderId="0" xfId="0" applyNumberFormat="1" applyFont="1"/>
    <xf numFmtId="0" fontId="20" fillId="23" borderId="9" xfId="0" applyFont="1" applyFill="1" applyBorder="1"/>
    <xf numFmtId="0" fontId="20" fillId="23" borderId="9" xfId="0" applyFont="1" applyFill="1" applyBorder="1" applyAlignment="1">
      <alignment horizontal="left"/>
    </xf>
    <xf numFmtId="0" fontId="21" fillId="23" borderId="9" xfId="0" applyFont="1" applyFill="1" applyBorder="1" applyAlignment="1">
      <alignment horizontal="left"/>
    </xf>
    <xf numFmtId="0" fontId="20" fillId="22" borderId="9" xfId="0" applyFont="1" applyFill="1" applyBorder="1" applyAlignment="1">
      <alignment horizontal="right"/>
    </xf>
    <xf numFmtId="0" fontId="21" fillId="22" borderId="9" xfId="0" applyFont="1" applyFill="1" applyBorder="1" applyAlignment="1">
      <alignment horizontal="right"/>
    </xf>
    <xf numFmtId="0" fontId="20" fillId="22" borderId="9" xfId="0" applyFont="1" applyFill="1" applyBorder="1"/>
    <xf numFmtId="0" fontId="20" fillId="22" borderId="9" xfId="0" applyFont="1" applyFill="1" applyBorder="1" applyAlignment="1">
      <alignment horizontal="left"/>
    </xf>
    <xf numFmtId="0" fontId="21" fillId="22" borderId="9" xfId="0" applyFont="1" applyFill="1" applyBorder="1" applyAlignment="1">
      <alignment horizontal="left"/>
    </xf>
    <xf numFmtId="0" fontId="21" fillId="23" borderId="9" xfId="0" applyFont="1" applyFill="1" applyBorder="1" applyAlignment="1">
      <alignment horizontal="right"/>
    </xf>
    <xf numFmtId="1" fontId="21" fillId="23" borderId="9" xfId="0" applyNumberFormat="1" applyFont="1" applyFill="1" applyBorder="1" applyAlignment="1">
      <alignment horizontal="right"/>
    </xf>
    <xf numFmtId="0" fontId="21" fillId="23" borderId="9" xfId="0" applyFont="1" applyFill="1" applyBorder="1"/>
    <xf numFmtId="0" fontId="21" fillId="0" borderId="9" xfId="0" applyFont="1" applyBorder="1" applyAlignment="1">
      <alignment horizontal="right"/>
    </xf>
    <xf numFmtId="1" fontId="21" fillId="0" borderId="9" xfId="0" applyNumberFormat="1" applyFont="1" applyBorder="1" applyAlignment="1">
      <alignment horizontal="right"/>
    </xf>
    <xf numFmtId="1" fontId="20" fillId="22" borderId="9" xfId="0" applyNumberFormat="1" applyFont="1" applyFill="1" applyBorder="1" applyAlignment="1">
      <alignment horizontal="right"/>
    </xf>
    <xf numFmtId="2" fontId="20" fillId="22" borderId="9" xfId="0" applyNumberFormat="1" applyFont="1" applyFill="1" applyBorder="1" applyAlignment="1">
      <alignment horizontal="right"/>
    </xf>
    <xf numFmtId="167" fontId="20" fillId="22" borderId="9" xfId="0" applyNumberFormat="1" applyFont="1" applyFill="1" applyBorder="1" applyAlignment="1">
      <alignment horizontal="right"/>
    </xf>
    <xf numFmtId="2" fontId="21" fillId="22" borderId="9" xfId="0" applyNumberFormat="1" applyFont="1" applyFill="1" applyBorder="1" applyAlignment="1">
      <alignment horizontal="right"/>
    </xf>
    <xf numFmtId="0" fontId="4" fillId="4" borderId="9" xfId="0" applyFont="1" applyFill="1" applyBorder="1"/>
    <xf numFmtId="0" fontId="2" fillId="4" borderId="9" xfId="0" applyFont="1" applyFill="1" applyBorder="1" applyAlignment="1">
      <alignment horizontal="right"/>
    </xf>
    <xf numFmtId="0" fontId="2" fillId="4" borderId="9" xfId="0" applyFont="1" applyFill="1" applyBorder="1" applyAlignment="1">
      <alignment horizontal="right" vertical="top"/>
    </xf>
    <xf numFmtId="0" fontId="2" fillId="4" borderId="9" xfId="0" applyFont="1" applyFill="1" applyBorder="1"/>
    <xf numFmtId="10" fontId="2" fillId="4" borderId="9" xfId="7" applyNumberFormat="1" applyFont="1" applyFill="1" applyBorder="1"/>
    <xf numFmtId="0" fontId="2" fillId="0" borderId="0" xfId="4"/>
    <xf numFmtId="0" fontId="20" fillId="0" borderId="0" xfId="3" applyFont="1"/>
    <xf numFmtId="0" fontId="18" fillId="0" borderId="0" xfId="3" applyFont="1"/>
    <xf numFmtId="0" fontId="24" fillId="15" borderId="9" xfId="3" applyFont="1" applyFill="1" applyBorder="1" applyAlignment="1">
      <alignment vertical="center" wrapText="1"/>
    </xf>
    <xf numFmtId="0" fontId="18" fillId="15" borderId="9" xfId="3" applyFont="1" applyFill="1" applyBorder="1"/>
    <xf numFmtId="0" fontId="18" fillId="15" borderId="9" xfId="3" applyFont="1" applyFill="1" applyBorder="1" applyAlignment="1">
      <alignment vertical="center" wrapText="1"/>
    </xf>
    <xf numFmtId="10" fontId="18" fillId="15" borderId="9" xfId="3" applyNumberFormat="1" applyFont="1" applyFill="1" applyBorder="1"/>
    <xf numFmtId="9" fontId="18" fillId="15" borderId="9" xfId="3" applyNumberFormat="1" applyFont="1" applyFill="1" applyBorder="1"/>
    <xf numFmtId="0" fontId="25" fillId="15" borderId="9" xfId="3" applyFont="1" applyFill="1" applyBorder="1" applyAlignment="1">
      <alignment vertical="center" wrapText="1"/>
    </xf>
    <xf numFmtId="0" fontId="18" fillId="0" borderId="0" xfId="3" applyFont="1" applyAlignment="1">
      <alignment vertical="center" wrapText="1"/>
    </xf>
    <xf numFmtId="0" fontId="17" fillId="16" borderId="9" xfId="3" applyFont="1" applyFill="1" applyBorder="1" applyAlignment="1">
      <alignment vertical="center" wrapText="1"/>
    </xf>
    <xf numFmtId="10" fontId="18" fillId="16" borderId="9" xfId="3" applyNumberFormat="1" applyFont="1" applyFill="1" applyBorder="1"/>
    <xf numFmtId="0" fontId="18" fillId="16" borderId="9" xfId="3" applyFont="1" applyFill="1" applyBorder="1"/>
    <xf numFmtId="2" fontId="18" fillId="0" borderId="0" xfId="3" applyNumberFormat="1" applyFont="1"/>
    <xf numFmtId="0" fontId="24" fillId="0" borderId="0" xfId="3" applyFont="1" applyAlignment="1">
      <alignment vertical="center" wrapText="1"/>
    </xf>
    <xf numFmtId="0" fontId="18" fillId="0" borderId="9" xfId="3" applyFont="1" applyBorder="1" applyAlignment="1">
      <alignment vertical="center" wrapText="1"/>
    </xf>
    <xf numFmtId="2" fontId="18" fillId="0" borderId="9" xfId="3" applyNumberFormat="1" applyFont="1" applyBorder="1" applyAlignment="1">
      <alignment horizontal="center"/>
    </xf>
    <xf numFmtId="10" fontId="18" fillId="0" borderId="9" xfId="6" applyNumberFormat="1" applyFont="1" applyBorder="1" applyAlignment="1">
      <alignment horizontal="center"/>
    </xf>
    <xf numFmtId="1" fontId="18" fillId="0" borderId="0" xfId="3" applyNumberFormat="1" applyFont="1"/>
    <xf numFmtId="0" fontId="17" fillId="0" borderId="9" xfId="3" applyFont="1" applyBorder="1" applyAlignment="1">
      <alignment vertical="center" wrapText="1"/>
    </xf>
    <xf numFmtId="10" fontId="17" fillId="0" borderId="9" xfId="6" applyNumberFormat="1" applyFont="1" applyBorder="1" applyAlignment="1">
      <alignment horizontal="center"/>
    </xf>
    <xf numFmtId="2" fontId="20" fillId="0" borderId="0" xfId="3" applyNumberFormat="1" applyFont="1" applyAlignment="1">
      <alignment horizontal="right"/>
    </xf>
    <xf numFmtId="0" fontId="24" fillId="2" borderId="9" xfId="3" applyFont="1" applyFill="1" applyBorder="1"/>
    <xf numFmtId="2" fontId="20" fillId="2" borderId="9" xfId="3" applyNumberFormat="1" applyFont="1" applyFill="1" applyBorder="1" applyAlignment="1">
      <alignment horizontal="right"/>
    </xf>
    <xf numFmtId="0" fontId="17" fillId="2" borderId="9" xfId="3" applyFont="1" applyFill="1" applyBorder="1"/>
    <xf numFmtId="2" fontId="17" fillId="2" borderId="9" xfId="3" applyNumberFormat="1" applyFont="1" applyFill="1" applyBorder="1" applyAlignment="1">
      <alignment horizontal="right"/>
    </xf>
    <xf numFmtId="0" fontId="18" fillId="2" borderId="9" xfId="3" applyFont="1" applyFill="1" applyBorder="1"/>
    <xf numFmtId="0" fontId="17" fillId="2" borderId="9" xfId="3" applyFont="1" applyFill="1" applyBorder="1" applyAlignment="1">
      <alignment horizontal="right"/>
    </xf>
    <xf numFmtId="2" fontId="17" fillId="14" borderId="9" xfId="3" applyNumberFormat="1" applyFont="1" applyFill="1" applyBorder="1" applyAlignment="1">
      <alignment horizontal="right"/>
    </xf>
    <xf numFmtId="0" fontId="24" fillId="2" borderId="9" xfId="3" applyFont="1" applyFill="1" applyBorder="1" applyAlignment="1">
      <alignment horizontal="left"/>
    </xf>
    <xf numFmtId="1" fontId="20" fillId="0" borderId="0" xfId="3" applyNumberFormat="1" applyFont="1"/>
    <xf numFmtId="0" fontId="20" fillId="2" borderId="9" xfId="3" applyFont="1" applyFill="1" applyBorder="1"/>
    <xf numFmtId="166" fontId="20" fillId="2" borderId="9" xfId="3" applyNumberFormat="1" applyFont="1" applyFill="1" applyBorder="1"/>
    <xf numFmtId="1" fontId="20" fillId="0" borderId="0" xfId="3" applyNumberFormat="1" applyFont="1" applyAlignment="1">
      <alignment horizontal="right"/>
    </xf>
    <xf numFmtId="0" fontId="17" fillId="3" borderId="4" xfId="3" applyFont="1" applyFill="1" applyBorder="1"/>
    <xf numFmtId="0" fontId="17" fillId="3" borderId="5" xfId="3" applyFont="1" applyFill="1" applyBorder="1"/>
    <xf numFmtId="2" fontId="20" fillId="3" borderId="0" xfId="3" applyNumberFormat="1" applyFont="1" applyFill="1" applyAlignment="1">
      <alignment horizontal="right"/>
    </xf>
    <xf numFmtId="0" fontId="20" fillId="3" borderId="6" xfId="3" applyFont="1" applyFill="1" applyBorder="1"/>
    <xf numFmtId="0" fontId="20" fillId="3" borderId="0" xfId="3" applyFont="1" applyFill="1"/>
    <xf numFmtId="1" fontId="20" fillId="3" borderId="0" xfId="3" applyNumberFormat="1" applyFont="1" applyFill="1" applyAlignment="1">
      <alignment horizontal="right"/>
    </xf>
    <xf numFmtId="0" fontId="17" fillId="3" borderId="7" xfId="3" applyFont="1" applyFill="1" applyBorder="1"/>
    <xf numFmtId="0" fontId="17" fillId="3" borderId="8" xfId="3" applyFont="1" applyFill="1" applyBorder="1"/>
    <xf numFmtId="0" fontId="20" fillId="0" borderId="0" xfId="3" applyFont="1" applyAlignment="1">
      <alignment horizontal="right"/>
    </xf>
    <xf numFmtId="0" fontId="24" fillId="9" borderId="9" xfId="3" applyFont="1" applyFill="1" applyBorder="1"/>
    <xf numFmtId="0" fontId="18" fillId="9" borderId="9" xfId="3" applyFont="1" applyFill="1" applyBorder="1"/>
    <xf numFmtId="1" fontId="18" fillId="9" borderId="9" xfId="3" applyNumberFormat="1" applyFont="1" applyFill="1" applyBorder="1"/>
    <xf numFmtId="1" fontId="17" fillId="9" borderId="9" xfId="3" applyNumberFormat="1" applyFont="1" applyFill="1" applyBorder="1"/>
    <xf numFmtId="0" fontId="18" fillId="0" borderId="9" xfId="3" applyFont="1" applyBorder="1"/>
    <xf numFmtId="9" fontId="18" fillId="0" borderId="0" xfId="6" applyFont="1"/>
    <xf numFmtId="1" fontId="18" fillId="13" borderId="17" xfId="3" applyNumberFormat="1" applyFont="1" applyFill="1" applyBorder="1"/>
    <xf numFmtId="1" fontId="4" fillId="14" borderId="9" xfId="3" applyNumberFormat="1" applyFont="1" applyFill="1" applyBorder="1"/>
    <xf numFmtId="0" fontId="17" fillId="0" borderId="16" xfId="3" applyFont="1" applyBorder="1"/>
    <xf numFmtId="0" fontId="18" fillId="0" borderId="16" xfId="3" applyFont="1" applyBorder="1"/>
    <xf numFmtId="2" fontId="18" fillId="0" borderId="16" xfId="3" applyNumberFormat="1" applyFont="1" applyBorder="1"/>
    <xf numFmtId="0" fontId="18" fillId="0" borderId="2" xfId="3" applyFont="1" applyBorder="1"/>
    <xf numFmtId="0" fontId="17" fillId="6" borderId="9" xfId="3" applyFont="1" applyFill="1" applyBorder="1"/>
    <xf numFmtId="0" fontId="18" fillId="6" borderId="9" xfId="3" applyFont="1" applyFill="1" applyBorder="1"/>
    <xf numFmtId="0" fontId="18" fillId="25" borderId="9" xfId="3" applyFont="1" applyFill="1" applyBorder="1"/>
    <xf numFmtId="2" fontId="18" fillId="0" borderId="9" xfId="3" applyNumberFormat="1" applyFont="1" applyBorder="1"/>
    <xf numFmtId="0" fontId="24" fillId="8" borderId="9" xfId="3" applyFont="1" applyFill="1" applyBorder="1"/>
    <xf numFmtId="0" fontId="18" fillId="8" borderId="9" xfId="3" applyFont="1" applyFill="1" applyBorder="1"/>
    <xf numFmtId="0" fontId="26" fillId="8" borderId="9" xfId="3" applyFont="1" applyFill="1" applyBorder="1"/>
    <xf numFmtId="0" fontId="17" fillId="8" borderId="9" xfId="3" applyFont="1" applyFill="1" applyBorder="1"/>
    <xf numFmtId="2" fontId="18" fillId="8" borderId="9" xfId="3" applyNumberFormat="1" applyFont="1" applyFill="1" applyBorder="1"/>
    <xf numFmtId="3" fontId="18" fillId="8" borderId="9" xfId="3" applyNumberFormat="1" applyFont="1" applyFill="1" applyBorder="1"/>
    <xf numFmtId="168" fontId="18" fillId="8" borderId="9" xfId="3" applyNumberFormat="1" applyFont="1" applyFill="1" applyBorder="1"/>
    <xf numFmtId="3" fontId="17" fillId="8" borderId="9" xfId="3" applyNumberFormat="1" applyFont="1" applyFill="1" applyBorder="1"/>
    <xf numFmtId="0" fontId="24" fillId="6" borderId="9" xfId="3" applyFont="1" applyFill="1" applyBorder="1"/>
    <xf numFmtId="0" fontId="18" fillId="6" borderId="9" xfId="3" applyFont="1" applyFill="1" applyBorder="1" applyAlignment="1">
      <alignment horizontal="right"/>
    </xf>
    <xf numFmtId="2" fontId="18" fillId="6" borderId="9" xfId="3" applyNumberFormat="1" applyFont="1" applyFill="1" applyBorder="1"/>
    <xf numFmtId="3" fontId="18" fillId="6" borderId="9" xfId="3" applyNumberFormat="1" applyFont="1" applyFill="1" applyBorder="1"/>
    <xf numFmtId="2" fontId="24" fillId="6" borderId="9" xfId="3" applyNumberFormat="1" applyFont="1" applyFill="1" applyBorder="1"/>
    <xf numFmtId="3" fontId="18" fillId="0" borderId="0" xfId="3" applyNumberFormat="1" applyFont="1"/>
    <xf numFmtId="4" fontId="18" fillId="0" borderId="0" xfId="3" applyNumberFormat="1" applyFont="1"/>
    <xf numFmtId="0" fontId="24" fillId="10" borderId="9" xfId="3" applyFont="1" applyFill="1" applyBorder="1"/>
    <xf numFmtId="0" fontId="18" fillId="10" borderId="9" xfId="3" applyFont="1" applyFill="1" applyBorder="1"/>
    <xf numFmtId="10" fontId="18" fillId="10" borderId="9" xfId="7" applyNumberFormat="1" applyFont="1" applyFill="1" applyBorder="1"/>
    <xf numFmtId="2" fontId="18" fillId="10" borderId="9" xfId="7" applyNumberFormat="1" applyFont="1" applyFill="1" applyBorder="1"/>
    <xf numFmtId="2" fontId="18" fillId="10" borderId="9" xfId="3" applyNumberFormat="1" applyFont="1" applyFill="1" applyBorder="1"/>
    <xf numFmtId="0" fontId="17" fillId="10" borderId="9" xfId="3" applyFont="1" applyFill="1" applyBorder="1"/>
    <xf numFmtId="2" fontId="17" fillId="10" borderId="9" xfId="3" applyNumberFormat="1" applyFont="1" applyFill="1" applyBorder="1"/>
    <xf numFmtId="1" fontId="18" fillId="10" borderId="9" xfId="3" applyNumberFormat="1" applyFont="1" applyFill="1" applyBorder="1"/>
    <xf numFmtId="2" fontId="27" fillId="10" borderId="9" xfId="3" applyNumberFormat="1" applyFont="1" applyFill="1" applyBorder="1"/>
    <xf numFmtId="3" fontId="18" fillId="10" borderId="9" xfId="3" applyNumberFormat="1" applyFont="1" applyFill="1" applyBorder="1"/>
    <xf numFmtId="3" fontId="17" fillId="10" borderId="9" xfId="3" applyNumberFormat="1" applyFont="1" applyFill="1" applyBorder="1"/>
    <xf numFmtId="4" fontId="17" fillId="10" borderId="9" xfId="3" applyNumberFormat="1" applyFont="1" applyFill="1" applyBorder="1"/>
    <xf numFmtId="3" fontId="18" fillId="10" borderId="9" xfId="1" applyNumberFormat="1" applyFont="1" applyFill="1" applyBorder="1"/>
    <xf numFmtId="38" fontId="18" fillId="10" borderId="9" xfId="3" applyNumberFormat="1" applyFont="1" applyFill="1" applyBorder="1"/>
    <xf numFmtId="4" fontId="18" fillId="10" borderId="0" xfId="3" applyNumberFormat="1" applyFont="1" applyFill="1"/>
    <xf numFmtId="10" fontId="17" fillId="10" borderId="9" xfId="3" applyNumberFormat="1" applyFont="1" applyFill="1" applyBorder="1"/>
    <xf numFmtId="0" fontId="26" fillId="10" borderId="9" xfId="3" applyFont="1" applyFill="1" applyBorder="1"/>
    <xf numFmtId="40" fontId="18" fillId="10" borderId="9" xfId="3" applyNumberFormat="1" applyFont="1" applyFill="1" applyBorder="1"/>
    <xf numFmtId="1" fontId="17" fillId="10" borderId="9" xfId="1" applyNumberFormat="1" applyFont="1" applyFill="1" applyBorder="1"/>
    <xf numFmtId="2" fontId="20" fillId="0" borderId="0" xfId="3" applyNumberFormat="1" applyFont="1"/>
    <xf numFmtId="10" fontId="17" fillId="10" borderId="9" xfId="3" applyNumberFormat="1" applyFont="1" applyFill="1" applyBorder="1" applyAlignment="1">
      <alignment horizontal="center"/>
    </xf>
    <xf numFmtId="9" fontId="18" fillId="0" borderId="0" xfId="3" applyNumberFormat="1" applyFont="1"/>
    <xf numFmtId="0" fontId="18" fillId="12" borderId="9" xfId="3" applyFont="1" applyFill="1" applyBorder="1"/>
    <xf numFmtId="1" fontId="18" fillId="12" borderId="9" xfId="3" applyNumberFormat="1" applyFont="1" applyFill="1" applyBorder="1" applyAlignment="1">
      <alignment horizontal="center"/>
    </xf>
    <xf numFmtId="0" fontId="18" fillId="12" borderId="9" xfId="3" applyFont="1" applyFill="1" applyBorder="1" applyAlignment="1">
      <alignment horizontal="center"/>
    </xf>
    <xf numFmtId="0" fontId="24" fillId="5" borderId="4" xfId="3" applyFont="1" applyFill="1" applyBorder="1"/>
    <xf numFmtId="0" fontId="18" fillId="5" borderId="5" xfId="3" applyFont="1" applyFill="1" applyBorder="1"/>
    <xf numFmtId="0" fontId="17" fillId="5" borderId="6" xfId="3" applyFont="1" applyFill="1" applyBorder="1"/>
    <xf numFmtId="0" fontId="17" fillId="5" borderId="0" xfId="3" applyFont="1" applyFill="1"/>
    <xf numFmtId="2" fontId="17" fillId="5" borderId="0" xfId="3" applyNumberFormat="1" applyFont="1" applyFill="1" applyAlignment="1">
      <alignment horizontal="center"/>
    </xf>
    <xf numFmtId="0" fontId="18" fillId="5" borderId="0" xfId="3" applyFont="1" applyFill="1"/>
    <xf numFmtId="1" fontId="18" fillId="5" borderId="0" xfId="3" applyNumberFormat="1" applyFont="1" applyFill="1"/>
    <xf numFmtId="0" fontId="18" fillId="5" borderId="6" xfId="3" applyFont="1" applyFill="1" applyBorder="1"/>
    <xf numFmtId="9" fontId="18" fillId="5" borderId="0" xfId="3" applyNumberFormat="1" applyFont="1" applyFill="1"/>
    <xf numFmtId="2" fontId="18" fillId="5" borderId="0" xfId="3" applyNumberFormat="1" applyFont="1" applyFill="1" applyAlignment="1">
      <alignment horizontal="center"/>
    </xf>
    <xf numFmtId="0" fontId="18" fillId="5" borderId="0" xfId="3" applyFont="1" applyFill="1" applyAlignment="1">
      <alignment horizontal="center"/>
    </xf>
    <xf numFmtId="10" fontId="18" fillId="5" borderId="0" xfId="7" applyNumberFormat="1" applyFont="1" applyFill="1" applyBorder="1" applyAlignment="1">
      <alignment horizontal="center"/>
    </xf>
    <xf numFmtId="1" fontId="18" fillId="5" borderId="0" xfId="3" applyNumberFormat="1" applyFont="1" applyFill="1" applyAlignment="1">
      <alignment horizontal="center"/>
    </xf>
    <xf numFmtId="0" fontId="18" fillId="5" borderId="7" xfId="3" applyFont="1" applyFill="1" applyBorder="1"/>
    <xf numFmtId="0" fontId="18" fillId="5" borderId="8" xfId="3" applyFont="1" applyFill="1" applyBorder="1"/>
    <xf numFmtId="2" fontId="18" fillId="5" borderId="8" xfId="3" applyNumberFormat="1" applyFont="1" applyFill="1" applyBorder="1" applyAlignment="1">
      <alignment horizontal="center"/>
    </xf>
    <xf numFmtId="0" fontId="24" fillId="6" borderId="4" xfId="3" applyFont="1" applyFill="1" applyBorder="1"/>
    <xf numFmtId="0" fontId="18" fillId="6" borderId="5" xfId="3" applyFont="1" applyFill="1" applyBorder="1"/>
    <xf numFmtId="0" fontId="18" fillId="6" borderId="6" xfId="3" applyFont="1" applyFill="1" applyBorder="1"/>
    <xf numFmtId="0" fontId="18" fillId="6" borderId="0" xfId="3" applyFont="1" applyFill="1"/>
    <xf numFmtId="2" fontId="18" fillId="6" borderId="0" xfId="3" applyNumberFormat="1" applyFont="1" applyFill="1"/>
    <xf numFmtId="0" fontId="17" fillId="6" borderId="6" xfId="3" applyFont="1" applyFill="1" applyBorder="1"/>
    <xf numFmtId="2" fontId="17" fillId="6" borderId="0" xfId="3" applyNumberFormat="1" applyFont="1" applyFill="1"/>
    <xf numFmtId="0" fontId="18" fillId="6" borderId="7" xfId="3" applyFont="1" applyFill="1" applyBorder="1"/>
    <xf numFmtId="0" fontId="18" fillId="6" borderId="8" xfId="3" applyFont="1" applyFill="1" applyBorder="1"/>
    <xf numFmtId="2" fontId="18" fillId="6" borderId="8" xfId="3" applyNumberFormat="1" applyFont="1" applyFill="1" applyBorder="1"/>
    <xf numFmtId="1" fontId="18" fillId="6" borderId="0" xfId="3" applyNumberFormat="1" applyFont="1" applyFill="1"/>
    <xf numFmtId="0" fontId="24" fillId="11" borderId="9" xfId="3" applyFont="1" applyFill="1" applyBorder="1"/>
    <xf numFmtId="0" fontId="18" fillId="11" borderId="9" xfId="3" applyFont="1" applyFill="1" applyBorder="1"/>
    <xf numFmtId="4" fontId="18" fillId="11" borderId="9" xfId="3" applyNumberFormat="1" applyFont="1" applyFill="1" applyBorder="1"/>
    <xf numFmtId="40" fontId="18" fillId="11" borderId="9" xfId="3" applyNumberFormat="1" applyFont="1" applyFill="1" applyBorder="1"/>
    <xf numFmtId="0" fontId="17" fillId="11" borderId="9" xfId="3" applyFont="1" applyFill="1" applyBorder="1"/>
    <xf numFmtId="164" fontId="17" fillId="11" borderId="9" xfId="3" applyNumberFormat="1" applyFont="1" applyFill="1" applyBorder="1"/>
    <xf numFmtId="9" fontId="18" fillId="0" borderId="9" xfId="3" applyNumberFormat="1" applyFont="1" applyBorder="1"/>
    <xf numFmtId="0" fontId="17" fillId="19" borderId="9" xfId="3" applyFont="1" applyFill="1" applyBorder="1"/>
    <xf numFmtId="0" fontId="18" fillId="19" borderId="9" xfId="3" applyFont="1" applyFill="1" applyBorder="1"/>
    <xf numFmtId="0" fontId="18" fillId="18" borderId="9" xfId="3" applyFont="1" applyFill="1" applyBorder="1"/>
    <xf numFmtId="0" fontId="18" fillId="20" borderId="9" xfId="3" applyFont="1" applyFill="1" applyBorder="1"/>
    <xf numFmtId="0" fontId="18" fillId="17" borderId="9" xfId="3" applyFont="1" applyFill="1" applyBorder="1"/>
    <xf numFmtId="9" fontId="18" fillId="20" borderId="9" xfId="3" applyNumberFormat="1" applyFont="1" applyFill="1" applyBorder="1"/>
    <xf numFmtId="9" fontId="18" fillId="17" borderId="9" xfId="3" applyNumberFormat="1" applyFont="1" applyFill="1" applyBorder="1"/>
    <xf numFmtId="9" fontId="18" fillId="19" borderId="9" xfId="3" applyNumberFormat="1" applyFont="1" applyFill="1" applyBorder="1"/>
    <xf numFmtId="9" fontId="18" fillId="18" borderId="9" xfId="3" applyNumberFormat="1" applyFont="1" applyFill="1" applyBorder="1"/>
    <xf numFmtId="0" fontId="17" fillId="0" borderId="9" xfId="3" applyFont="1" applyBorder="1"/>
    <xf numFmtId="10" fontId="18" fillId="0" borderId="9" xfId="3" applyNumberFormat="1" applyFont="1" applyBorder="1"/>
    <xf numFmtId="10" fontId="18" fillId="20" borderId="9" xfId="3" applyNumberFormat="1" applyFont="1" applyFill="1" applyBorder="1"/>
    <xf numFmtId="10" fontId="18" fillId="17" borderId="9" xfId="3" applyNumberFormat="1" applyFont="1" applyFill="1" applyBorder="1"/>
    <xf numFmtId="10" fontId="18" fillId="19" borderId="9" xfId="3" applyNumberFormat="1" applyFont="1" applyFill="1" applyBorder="1"/>
    <xf numFmtId="10" fontId="18" fillId="18" borderId="9" xfId="3" applyNumberFormat="1" applyFont="1" applyFill="1" applyBorder="1"/>
    <xf numFmtId="164" fontId="18" fillId="0" borderId="9" xfId="3" applyNumberFormat="1" applyFont="1" applyBorder="1"/>
    <xf numFmtId="0" fontId="4" fillId="4" borderId="9" xfId="3" applyFont="1" applyFill="1" applyBorder="1" applyAlignment="1">
      <alignment vertical="top"/>
    </xf>
    <xf numFmtId="0" fontId="2" fillId="4" borderId="9" xfId="3" applyFont="1" applyFill="1" applyBorder="1" applyAlignment="1">
      <alignment vertical="top"/>
    </xf>
    <xf numFmtId="2" fontId="18" fillId="4" borderId="9" xfId="3" applyNumberFormat="1" applyFont="1" applyFill="1" applyBorder="1"/>
    <xf numFmtId="9" fontId="2" fillId="4" borderId="9" xfId="3" applyNumberFormat="1" applyFont="1" applyFill="1" applyBorder="1" applyAlignment="1">
      <alignment vertical="top"/>
    </xf>
    <xf numFmtId="10" fontId="2" fillId="4" borderId="9" xfId="3" applyNumberFormat="1" applyFont="1" applyFill="1" applyBorder="1" applyAlignment="1">
      <alignment vertical="top"/>
    </xf>
    <xf numFmtId="0" fontId="2" fillId="4" borderId="9" xfId="3" applyFont="1" applyFill="1" applyBorder="1" applyAlignment="1">
      <alignment horizontal="left" indent="1"/>
    </xf>
    <xf numFmtId="0" fontId="2" fillId="4" borderId="9" xfId="3" applyFont="1" applyFill="1" applyBorder="1"/>
    <xf numFmtId="1" fontId="2" fillId="4" borderId="9" xfId="3" applyNumberFormat="1" applyFont="1" applyFill="1" applyBorder="1"/>
    <xf numFmtId="1" fontId="18" fillId="4" borderId="9" xfId="3" applyNumberFormat="1" applyFont="1" applyFill="1" applyBorder="1"/>
    <xf numFmtId="2" fontId="24" fillId="4" borderId="9" xfId="3" applyNumberFormat="1" applyFont="1" applyFill="1" applyBorder="1"/>
    <xf numFmtId="2" fontId="17" fillId="4" borderId="9" xfId="3" applyNumberFormat="1" applyFont="1" applyFill="1" applyBorder="1"/>
    <xf numFmtId="0" fontId="24" fillId="4" borderId="9" xfId="3" applyFont="1" applyFill="1" applyBorder="1"/>
    <xf numFmtId="0" fontId="20" fillId="4" borderId="9" xfId="3" applyFont="1" applyFill="1" applyBorder="1"/>
    <xf numFmtId="2" fontId="20" fillId="4" borderId="9" xfId="3" applyNumberFormat="1" applyFont="1" applyFill="1" applyBorder="1"/>
    <xf numFmtId="4" fontId="20" fillId="4" borderId="9" xfId="3" applyNumberFormat="1" applyFont="1" applyFill="1" applyBorder="1"/>
    <xf numFmtId="0" fontId="20" fillId="0" borderId="9" xfId="3" applyFont="1" applyBorder="1"/>
    <xf numFmtId="0" fontId="21" fillId="26" borderId="9" xfId="3" applyFont="1" applyFill="1" applyBorder="1"/>
    <xf numFmtId="0" fontId="4" fillId="4" borderId="9" xfId="3" applyFont="1" applyFill="1" applyBorder="1"/>
    <xf numFmtId="10" fontId="2" fillId="4" borderId="9" xfId="6" applyNumberFormat="1" applyFont="1" applyFill="1" applyBorder="1"/>
    <xf numFmtId="0" fontId="4" fillId="18" borderId="9" xfId="0" applyFont="1" applyFill="1" applyBorder="1"/>
    <xf numFmtId="0" fontId="4" fillId="23" borderId="9" xfId="0" applyFont="1" applyFill="1" applyBorder="1"/>
    <xf numFmtId="0" fontId="4" fillId="22" borderId="9" xfId="0" applyFont="1" applyFill="1" applyBorder="1"/>
    <xf numFmtId="0" fontId="21" fillId="18" borderId="9" xfId="0" applyFont="1" applyFill="1" applyBorder="1"/>
    <xf numFmtId="0" fontId="21" fillId="22" borderId="21" xfId="0" applyFont="1" applyFill="1" applyBorder="1" applyAlignment="1">
      <alignment horizontal="right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right" indent="1"/>
    </xf>
    <xf numFmtId="1" fontId="2" fillId="0" borderId="0" xfId="0" applyNumberFormat="1" applyFont="1" applyAlignment="1">
      <alignment horizontal="right"/>
    </xf>
    <xf numFmtId="0" fontId="21" fillId="22" borderId="21" xfId="0" applyFont="1" applyFill="1" applyBorder="1"/>
    <xf numFmtId="0" fontId="4" fillId="24" borderId="9" xfId="3" applyFont="1" applyFill="1" applyBorder="1" applyAlignment="1">
      <alignment vertical="center" wrapText="1"/>
    </xf>
    <xf numFmtId="0" fontId="4" fillId="24" borderId="9" xfId="3" applyFont="1" applyFill="1" applyBorder="1" applyAlignment="1">
      <alignment horizontal="center"/>
    </xf>
    <xf numFmtId="0" fontId="28" fillId="0" borderId="0" xfId="0" applyFont="1"/>
    <xf numFmtId="0" fontId="4" fillId="0" borderId="9" xfId="0" applyFont="1" applyBorder="1"/>
    <xf numFmtId="0" fontId="17" fillId="9" borderId="9" xfId="3" applyFont="1" applyFill="1" applyBorder="1" applyAlignment="1">
      <alignment horizontal="center" vertical="center"/>
    </xf>
    <xf numFmtId="1" fontId="18" fillId="0" borderId="9" xfId="3" applyNumberFormat="1" applyFont="1" applyBorder="1"/>
    <xf numFmtId="1" fontId="18" fillId="2" borderId="9" xfId="3" applyNumberFormat="1" applyFont="1" applyFill="1" applyBorder="1"/>
    <xf numFmtId="2" fontId="18" fillId="2" borderId="9" xfId="3" applyNumberFormat="1" applyFont="1" applyFill="1" applyBorder="1"/>
    <xf numFmtId="1" fontId="26" fillId="2" borderId="9" xfId="3" applyNumberFormat="1" applyFont="1" applyFill="1" applyBorder="1"/>
    <xf numFmtId="2" fontId="26" fillId="2" borderId="9" xfId="3" applyNumberFormat="1" applyFont="1" applyFill="1" applyBorder="1"/>
    <xf numFmtId="0" fontId="4" fillId="27" borderId="9" xfId="0" applyFont="1" applyFill="1" applyBorder="1" applyAlignment="1">
      <alignment vertical="top"/>
    </xf>
    <xf numFmtId="0" fontId="20" fillId="27" borderId="11" xfId="0" applyFont="1" applyFill="1" applyBorder="1" applyAlignment="1">
      <alignment horizontal="right" vertical="top" wrapText="1"/>
    </xf>
    <xf numFmtId="165" fontId="21" fillId="27" borderId="11" xfId="1" applyNumberFormat="1" applyFont="1" applyFill="1" applyBorder="1" applyAlignment="1">
      <alignment horizontal="right" vertical="top" wrapText="1"/>
    </xf>
    <xf numFmtId="0" fontId="20" fillId="27" borderId="11" xfId="0" applyFont="1" applyFill="1" applyBorder="1" applyAlignment="1">
      <alignment vertical="top" wrapText="1"/>
    </xf>
    <xf numFmtId="165" fontId="21" fillId="27" borderId="11" xfId="1" applyNumberFormat="1" applyFont="1" applyFill="1" applyBorder="1" applyAlignment="1">
      <alignment vertical="top" wrapText="1"/>
    </xf>
    <xf numFmtId="0" fontId="20" fillId="27" borderId="9" xfId="0" applyFont="1" applyFill="1" applyBorder="1" applyAlignment="1">
      <alignment vertical="top" wrapText="1"/>
    </xf>
    <xf numFmtId="165" fontId="21" fillId="27" borderId="18" xfId="1" applyNumberFormat="1" applyFont="1" applyFill="1" applyBorder="1" applyAlignment="1">
      <alignment vertical="top" wrapText="1"/>
    </xf>
    <xf numFmtId="165" fontId="23" fillId="27" borderId="9" xfId="0" applyNumberFormat="1" applyFont="1" applyFill="1" applyBorder="1" applyAlignment="1">
      <alignment horizontal="right" vertical="center"/>
    </xf>
    <xf numFmtId="165" fontId="23" fillId="27" borderId="9" xfId="1" applyNumberFormat="1" applyFont="1" applyFill="1" applyBorder="1" applyAlignment="1">
      <alignment vertical="top" wrapText="1"/>
    </xf>
    <xf numFmtId="1" fontId="23" fillId="27" borderId="9" xfId="1" applyNumberFormat="1" applyFont="1" applyFill="1" applyBorder="1" applyAlignment="1">
      <alignment vertical="top" wrapText="1"/>
    </xf>
    <xf numFmtId="164" fontId="2" fillId="0" borderId="9" xfId="1" applyFont="1" applyBorder="1" applyAlignment="1">
      <alignment horizontal="right" vertical="top"/>
    </xf>
    <xf numFmtId="165" fontId="18" fillId="0" borderId="9" xfId="1" applyNumberFormat="1" applyFont="1" applyBorder="1" applyAlignment="1">
      <alignment horizontal="right" vertical="top"/>
    </xf>
    <xf numFmtId="165" fontId="2" fillId="0" borderId="9" xfId="1" applyNumberFormat="1" applyFont="1" applyBorder="1" applyAlignment="1">
      <alignment horizontal="right" vertical="top"/>
    </xf>
    <xf numFmtId="165" fontId="4" fillId="9" borderId="9" xfId="1" applyNumberFormat="1" applyFont="1" applyFill="1" applyBorder="1" applyAlignment="1">
      <alignment horizontal="right" vertical="top"/>
    </xf>
    <xf numFmtId="165" fontId="2" fillId="0" borderId="9" xfId="1" applyNumberFormat="1" applyFont="1" applyBorder="1"/>
    <xf numFmtId="165" fontId="4" fillId="27" borderId="9" xfId="1" applyNumberFormat="1" applyFont="1" applyFill="1" applyBorder="1" applyAlignment="1">
      <alignment vertical="top" wrapText="1"/>
    </xf>
    <xf numFmtId="0" fontId="4" fillId="0" borderId="9" xfId="0" applyFont="1" applyBorder="1" applyAlignment="1">
      <alignment horizontal="center" vertical="center" wrapText="1"/>
    </xf>
    <xf numFmtId="164" fontId="2" fillId="18" borderId="9" xfId="1" applyFont="1" applyFill="1" applyBorder="1" applyAlignment="1">
      <alignment horizontal="right"/>
    </xf>
    <xf numFmtId="165" fontId="2" fillId="18" borderId="9" xfId="1" applyNumberFormat="1" applyFont="1" applyFill="1" applyBorder="1" applyAlignment="1">
      <alignment horizontal="right"/>
    </xf>
    <xf numFmtId="165" fontId="21" fillId="18" borderId="9" xfId="1" applyNumberFormat="1" applyFont="1" applyFill="1" applyBorder="1" applyAlignment="1">
      <alignment horizontal="right"/>
    </xf>
    <xf numFmtId="164" fontId="2" fillId="23" borderId="9" xfId="1" applyFont="1" applyFill="1" applyBorder="1" applyAlignment="1">
      <alignment horizontal="right"/>
    </xf>
    <xf numFmtId="165" fontId="2" fillId="23" borderId="9" xfId="1" applyNumberFormat="1" applyFont="1" applyFill="1" applyBorder="1" applyAlignment="1">
      <alignment horizontal="right"/>
    </xf>
    <xf numFmtId="164" fontId="2" fillId="22" borderId="9" xfId="1" applyFont="1" applyFill="1" applyBorder="1" applyAlignment="1">
      <alignment horizontal="right"/>
    </xf>
    <xf numFmtId="165" fontId="2" fillId="22" borderId="9" xfId="1" applyNumberFormat="1" applyFont="1" applyFill="1" applyBorder="1" applyAlignment="1">
      <alignment horizontal="right"/>
    </xf>
    <xf numFmtId="165" fontId="21" fillId="23" borderId="9" xfId="1" applyNumberFormat="1" applyFont="1" applyFill="1" applyBorder="1" applyAlignment="1">
      <alignment horizontal="right"/>
    </xf>
    <xf numFmtId="165" fontId="20" fillId="22" borderId="9" xfId="1" applyNumberFormat="1" applyFont="1" applyFill="1" applyBorder="1" applyAlignment="1">
      <alignment horizontal="right"/>
    </xf>
    <xf numFmtId="165" fontId="21" fillId="22" borderId="9" xfId="1" applyNumberFormat="1" applyFont="1" applyFill="1" applyBorder="1" applyAlignment="1">
      <alignment horizontal="right"/>
    </xf>
    <xf numFmtId="165" fontId="21" fillId="22" borderId="21" xfId="1" applyNumberFormat="1" applyFont="1" applyFill="1" applyBorder="1"/>
    <xf numFmtId="165" fontId="21" fillId="22" borderId="21" xfId="1" applyNumberFormat="1" applyFont="1" applyFill="1" applyBorder="1" applyAlignment="1">
      <alignment horizontal="right"/>
    </xf>
    <xf numFmtId="165" fontId="2" fillId="0" borderId="9" xfId="1" applyNumberFormat="1" applyFont="1" applyBorder="1" applyAlignment="1">
      <alignment horizontal="right"/>
    </xf>
    <xf numFmtId="165" fontId="4" fillId="0" borderId="9" xfId="1" applyNumberFormat="1" applyFont="1" applyBorder="1" applyAlignment="1">
      <alignment horizontal="right"/>
    </xf>
    <xf numFmtId="165" fontId="17" fillId="2" borderId="9" xfId="1" applyNumberFormat="1" applyFont="1" applyFill="1" applyBorder="1" applyAlignment="1">
      <alignment horizontal="right"/>
    </xf>
    <xf numFmtId="165" fontId="17" fillId="14" borderId="9" xfId="1" applyNumberFormat="1" applyFont="1" applyFill="1" applyBorder="1" applyAlignment="1">
      <alignment horizontal="right"/>
    </xf>
    <xf numFmtId="165" fontId="18" fillId="9" borderId="9" xfId="1" applyNumberFormat="1" applyFont="1" applyFill="1" applyBorder="1"/>
    <xf numFmtId="165" fontId="17" fillId="7" borderId="9" xfId="1" applyNumberFormat="1" applyFont="1" applyFill="1" applyBorder="1"/>
    <xf numFmtId="165" fontId="17" fillId="9" borderId="9" xfId="1" applyNumberFormat="1" applyFont="1" applyFill="1" applyBorder="1"/>
    <xf numFmtId="165" fontId="18" fillId="0" borderId="9" xfId="1" applyNumberFormat="1" applyFont="1" applyBorder="1"/>
    <xf numFmtId="165" fontId="4" fillId="14" borderId="9" xfId="1" applyNumberFormat="1" applyFont="1" applyFill="1" applyBorder="1"/>
    <xf numFmtId="165" fontId="18" fillId="6" borderId="9" xfId="1" applyNumberFormat="1" applyFont="1" applyFill="1" applyBorder="1"/>
    <xf numFmtId="165" fontId="17" fillId="6" borderId="9" xfId="1" applyNumberFormat="1" applyFont="1" applyFill="1" applyBorder="1"/>
    <xf numFmtId="165" fontId="18" fillId="27" borderId="9" xfId="1" applyNumberFormat="1" applyFont="1" applyFill="1" applyBorder="1"/>
    <xf numFmtId="165" fontId="18" fillId="8" borderId="9" xfId="1" applyNumberFormat="1" applyFont="1" applyFill="1" applyBorder="1"/>
    <xf numFmtId="165" fontId="17" fillId="8" borderId="9" xfId="1" applyNumberFormat="1" applyFont="1" applyFill="1" applyBorder="1"/>
    <xf numFmtId="165" fontId="18" fillId="10" borderId="9" xfId="1" applyNumberFormat="1" applyFont="1" applyFill="1" applyBorder="1"/>
    <xf numFmtId="165" fontId="17" fillId="10" borderId="9" xfId="1" applyNumberFormat="1" applyFont="1" applyFill="1" applyBorder="1"/>
    <xf numFmtId="165" fontId="18" fillId="0" borderId="9" xfId="1" applyNumberFormat="1" applyFont="1" applyFill="1" applyBorder="1"/>
    <xf numFmtId="165" fontId="29" fillId="0" borderId="9" xfId="1" applyNumberFormat="1" applyFont="1" applyBorder="1"/>
    <xf numFmtId="165" fontId="17" fillId="0" borderId="9" xfId="1" applyNumberFormat="1" applyFont="1" applyBorder="1"/>
    <xf numFmtId="165" fontId="18" fillId="2" borderId="9" xfId="1" applyNumberFormat="1" applyFont="1" applyFill="1" applyBorder="1"/>
    <xf numFmtId="165" fontId="17" fillId="2" borderId="9" xfId="1" applyNumberFormat="1" applyFont="1" applyFill="1" applyBorder="1"/>
    <xf numFmtId="165" fontId="18" fillId="4" borderId="9" xfId="1" applyNumberFormat="1" applyFont="1" applyFill="1" applyBorder="1"/>
    <xf numFmtId="165" fontId="17" fillId="4" borderId="9" xfId="1" applyNumberFormat="1" applyFont="1" applyFill="1" applyBorder="1"/>
    <xf numFmtId="165" fontId="20" fillId="4" borderId="9" xfId="1" applyNumberFormat="1" applyFont="1" applyFill="1" applyBorder="1"/>
    <xf numFmtId="3" fontId="21" fillId="26" borderId="9" xfId="3" applyNumberFormat="1" applyFont="1" applyFill="1" applyBorder="1"/>
    <xf numFmtId="0" fontId="4" fillId="4" borderId="9" xfId="3" applyFont="1" applyFill="1" applyBorder="1" applyAlignment="1">
      <alignment horizontal="center"/>
    </xf>
    <xf numFmtId="0" fontId="4" fillId="4" borderId="9" xfId="3" applyFont="1" applyFill="1" applyBorder="1" applyAlignment="1">
      <alignment horizontal="center" vertical="top"/>
    </xf>
    <xf numFmtId="0" fontId="21" fillId="4" borderId="9" xfId="3" applyFont="1" applyFill="1" applyBorder="1"/>
    <xf numFmtId="164" fontId="20" fillId="0" borderId="3" xfId="1" applyFont="1" applyBorder="1" applyAlignment="1">
      <alignment horizontal="center" vertical="top" wrapText="1"/>
    </xf>
    <xf numFmtId="164" fontId="20" fillId="0" borderId="11" xfId="1" applyFont="1" applyBorder="1" applyAlignment="1">
      <alignment horizontal="right" vertical="center" wrapText="1"/>
    </xf>
    <xf numFmtId="164" fontId="20" fillId="0" borderId="9" xfId="1" applyFont="1" applyBorder="1" applyAlignment="1">
      <alignment vertical="center" wrapText="1"/>
    </xf>
    <xf numFmtId="165" fontId="18" fillId="0" borderId="9" xfId="1" applyNumberFormat="1" applyFont="1" applyBorder="1" applyAlignment="1">
      <alignment horizontal="center"/>
    </xf>
    <xf numFmtId="165" fontId="17" fillId="0" borderId="9" xfId="1" applyNumberFormat="1" applyFont="1" applyBorder="1" applyAlignment="1">
      <alignment horizontal="center"/>
    </xf>
    <xf numFmtId="165" fontId="18" fillId="15" borderId="9" xfId="1" applyNumberFormat="1" applyFont="1" applyFill="1" applyBorder="1"/>
    <xf numFmtId="165" fontId="4" fillId="0" borderId="9" xfId="0" applyNumberFormat="1" applyFont="1" applyBorder="1"/>
    <xf numFmtId="164" fontId="2" fillId="0" borderId="0" xfId="0" applyNumberFormat="1" applyFont="1"/>
    <xf numFmtId="0" fontId="21" fillId="27" borderId="18" xfId="0" applyFont="1" applyFill="1" applyBorder="1" applyAlignment="1">
      <alignment horizontal="center" vertical="top"/>
    </xf>
    <xf numFmtId="0" fontId="21" fillId="27" borderId="19" xfId="0" applyFont="1" applyFill="1" applyBorder="1" applyAlignment="1">
      <alignment horizontal="center" vertical="top"/>
    </xf>
    <xf numFmtId="0" fontId="21" fillId="27" borderId="10" xfId="0" applyFont="1" applyFill="1" applyBorder="1" applyAlignment="1">
      <alignment horizontal="center" vertical="top"/>
    </xf>
    <xf numFmtId="0" fontId="21" fillId="0" borderId="18" xfId="0" applyFont="1" applyBorder="1" applyAlignment="1">
      <alignment horizontal="center" vertical="top" wrapText="1"/>
    </xf>
    <xf numFmtId="0" fontId="21" fillId="0" borderId="19" xfId="0" applyFont="1" applyBorder="1" applyAlignment="1">
      <alignment horizontal="center" vertical="top" wrapText="1"/>
    </xf>
    <xf numFmtId="0" fontId="21" fillId="0" borderId="10" xfId="0" applyFont="1" applyBorder="1" applyAlignment="1">
      <alignment horizontal="center" vertical="top" wrapText="1"/>
    </xf>
    <xf numFmtId="0" fontId="21" fillId="27" borderId="18" xfId="0" applyFont="1" applyFill="1" applyBorder="1" applyAlignment="1">
      <alignment horizontal="center" vertical="top" wrapText="1"/>
    </xf>
    <xf numFmtId="0" fontId="21" fillId="27" borderId="19" xfId="0" applyFont="1" applyFill="1" applyBorder="1" applyAlignment="1">
      <alignment horizontal="center" vertical="top" wrapText="1"/>
    </xf>
    <xf numFmtId="0" fontId="21" fillId="27" borderId="10" xfId="0" applyFont="1" applyFill="1" applyBorder="1" applyAlignment="1">
      <alignment horizontal="center" vertical="top" wrapText="1"/>
    </xf>
    <xf numFmtId="0" fontId="20" fillId="0" borderId="21" xfId="0" applyFont="1" applyBorder="1" applyAlignment="1">
      <alignment horizontal="center" vertical="top" wrapText="1"/>
    </xf>
    <xf numFmtId="0" fontId="20" fillId="0" borderId="13" xfId="0" applyFont="1" applyBorder="1" applyAlignment="1">
      <alignment horizontal="center" vertical="top" wrapText="1"/>
    </xf>
    <xf numFmtId="0" fontId="20" fillId="0" borderId="3" xfId="0" applyFont="1" applyBorder="1" applyAlignment="1">
      <alignment horizontal="center" vertical="top" wrapText="1"/>
    </xf>
    <xf numFmtId="2" fontId="20" fillId="0" borderId="21" xfId="0" applyNumberFormat="1" applyFont="1" applyBorder="1" applyAlignment="1">
      <alignment horizontal="center" vertical="top" wrapText="1"/>
    </xf>
    <xf numFmtId="2" fontId="20" fillId="0" borderId="13" xfId="0" applyNumberFormat="1" applyFont="1" applyBorder="1" applyAlignment="1">
      <alignment horizontal="center" vertical="top" wrapText="1"/>
    </xf>
    <xf numFmtId="2" fontId="20" fillId="0" borderId="3" xfId="0" applyNumberFormat="1" applyFont="1" applyBorder="1" applyAlignment="1">
      <alignment horizontal="center" vertical="top" wrapText="1"/>
    </xf>
    <xf numFmtId="165" fontId="20" fillId="0" borderId="21" xfId="1" applyNumberFormat="1" applyFont="1" applyBorder="1" applyAlignment="1">
      <alignment horizontal="right" vertical="top" wrapText="1"/>
    </xf>
    <xf numFmtId="165" fontId="20" fillId="0" borderId="13" xfId="1" applyNumberFormat="1" applyFont="1" applyBorder="1" applyAlignment="1">
      <alignment horizontal="right" vertical="top" wrapText="1"/>
    </xf>
    <xf numFmtId="165" fontId="20" fillId="0" borderId="3" xfId="1" applyNumberFormat="1" applyFont="1" applyBorder="1" applyAlignment="1">
      <alignment horizontal="right" vertical="top" wrapText="1"/>
    </xf>
    <xf numFmtId="0" fontId="4" fillId="24" borderId="9" xfId="0" applyFont="1" applyFill="1" applyBorder="1" applyAlignment="1">
      <alignment horizontal="center" vertical="center" wrapText="1"/>
    </xf>
    <xf numFmtId="0" fontId="4" fillId="24" borderId="9" xfId="0" applyFont="1" applyFill="1" applyBorder="1" applyAlignment="1">
      <alignment horizontal="center" vertical="center"/>
    </xf>
    <xf numFmtId="0" fontId="23" fillId="27" borderId="9" xfId="0" applyFont="1" applyFill="1" applyBorder="1" applyAlignment="1">
      <alignment horizontal="right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4" fillId="22" borderId="9" xfId="0" applyFont="1" applyFill="1" applyBorder="1" applyAlignment="1">
      <alignment horizontal="center"/>
    </xf>
    <xf numFmtId="0" fontId="4" fillId="18" borderId="9" xfId="0" applyFont="1" applyFill="1" applyBorder="1" applyAlignment="1">
      <alignment horizontal="center"/>
    </xf>
    <xf numFmtId="0" fontId="4" fillId="23" borderId="9" xfId="0" applyFont="1" applyFill="1" applyBorder="1" applyAlignment="1">
      <alignment horizontal="center"/>
    </xf>
    <xf numFmtId="2" fontId="17" fillId="0" borderId="9" xfId="3" applyNumberFormat="1" applyFont="1" applyBorder="1" applyAlignment="1">
      <alignment horizontal="center"/>
    </xf>
    <xf numFmtId="0" fontId="8" fillId="0" borderId="12" xfId="4" applyFont="1" applyBorder="1" applyAlignment="1">
      <alignment horizontal="left" vertical="top"/>
    </xf>
    <xf numFmtId="0" fontId="8" fillId="0" borderId="14" xfId="4" applyFont="1" applyBorder="1" applyAlignment="1">
      <alignment horizontal="left" vertical="top"/>
    </xf>
    <xf numFmtId="0" fontId="8" fillId="0" borderId="15" xfId="4" applyFont="1" applyBorder="1" applyAlignment="1">
      <alignment horizontal="left" vertical="top"/>
    </xf>
    <xf numFmtId="0" fontId="3" fillId="0" borderId="1" xfId="4" applyFont="1" applyBorder="1" applyAlignment="1">
      <alignment horizontal="center" vertical="center" wrapText="1"/>
    </xf>
    <xf numFmtId="0" fontId="3" fillId="0" borderId="1" xfId="4" applyFont="1" applyBorder="1" applyAlignment="1">
      <alignment horizontal="center" vertical="center"/>
    </xf>
    <xf numFmtId="0" fontId="3" fillId="0" borderId="1" xfId="4" applyFont="1" applyBorder="1" applyAlignment="1">
      <alignment horizontal="left" vertical="center" wrapText="1"/>
    </xf>
    <xf numFmtId="0" fontId="3" fillId="0" borderId="2" xfId="4" applyFont="1" applyBorder="1" applyAlignment="1">
      <alignment horizontal="center" vertical="center"/>
    </xf>
    <xf numFmtId="0" fontId="3" fillId="0" borderId="17" xfId="4" applyFont="1" applyBorder="1" applyAlignment="1">
      <alignment horizontal="center" vertical="center"/>
    </xf>
    <xf numFmtId="0" fontId="3" fillId="0" borderId="16" xfId="4" applyFont="1" applyBorder="1" applyAlignment="1">
      <alignment horizontal="center" vertical="center"/>
    </xf>
    <xf numFmtId="0" fontId="3" fillId="0" borderId="2" xfId="4" applyFont="1" applyBorder="1" applyAlignment="1">
      <alignment horizontal="left" vertical="center" wrapText="1"/>
    </xf>
    <xf numFmtId="0" fontId="3" fillId="0" borderId="17" xfId="4" applyFont="1" applyBorder="1" applyAlignment="1">
      <alignment horizontal="left" vertical="center" wrapText="1"/>
    </xf>
    <xf numFmtId="0" fontId="3" fillId="0" borderId="16" xfId="4" applyFont="1" applyBorder="1" applyAlignment="1">
      <alignment horizontal="left" vertical="center" wrapText="1"/>
    </xf>
    <xf numFmtId="0" fontId="4" fillId="0" borderId="12" xfId="0" applyFont="1" applyBorder="1" applyAlignment="1">
      <alignment horizontal="center" wrapText="1"/>
    </xf>
    <xf numFmtId="0" fontId="4" fillId="0" borderId="14" xfId="0" applyFont="1" applyBorder="1" applyAlignment="1">
      <alignment horizontal="center" wrapText="1"/>
    </xf>
    <xf numFmtId="0" fontId="4" fillId="0" borderId="15" xfId="0" applyFont="1" applyBorder="1" applyAlignment="1">
      <alignment horizontal="center" wrapText="1"/>
    </xf>
    <xf numFmtId="0" fontId="4" fillId="0" borderId="12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0" fillId="0" borderId="2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164" fontId="4" fillId="0" borderId="5" xfId="1" applyFont="1" applyBorder="1" applyAlignment="1">
      <alignment horizontal="center"/>
    </xf>
    <xf numFmtId="0" fontId="2" fillId="0" borderId="12" xfId="0" applyFont="1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164" fontId="0" fillId="0" borderId="1" xfId="1" applyFont="1" applyBorder="1" applyAlignment="1">
      <alignment horizontal="center" vertical="center"/>
    </xf>
    <xf numFmtId="164" fontId="2" fillId="0" borderId="1" xfId="1" applyFont="1" applyBorder="1" applyAlignment="1">
      <alignment vertical="center" wrapText="1"/>
    </xf>
    <xf numFmtId="164" fontId="0" fillId="0" borderId="1" xfId="1" applyFont="1" applyBorder="1" applyAlignment="1">
      <alignment vertical="center" wrapText="1"/>
    </xf>
    <xf numFmtId="164" fontId="0" fillId="0" borderId="12" xfId="1" applyFont="1" applyBorder="1" applyAlignment="1">
      <alignment horizontal="left" vertical="center" wrapText="1"/>
    </xf>
    <xf numFmtId="164" fontId="0" fillId="0" borderId="14" xfId="1" applyFont="1" applyBorder="1" applyAlignment="1">
      <alignment horizontal="left" vertical="center" wrapText="1"/>
    </xf>
    <xf numFmtId="164" fontId="0" fillId="0" borderId="15" xfId="1" applyFont="1" applyBorder="1" applyAlignment="1">
      <alignment horizontal="left" vertical="center" wrapText="1"/>
    </xf>
    <xf numFmtId="164" fontId="0" fillId="0" borderId="2" xfId="1" applyFont="1" applyBorder="1" applyAlignment="1">
      <alignment horizontal="center" vertical="center" wrapText="1"/>
    </xf>
    <xf numFmtId="164" fontId="0" fillId="0" borderId="17" xfId="1" applyFont="1" applyBorder="1" applyAlignment="1">
      <alignment horizontal="center" vertical="center" wrapText="1"/>
    </xf>
    <xf numFmtId="164" fontId="0" fillId="0" borderId="16" xfId="1" applyFont="1" applyBorder="1" applyAlignment="1">
      <alignment horizontal="center" vertical="center" wrapText="1"/>
    </xf>
    <xf numFmtId="164" fontId="2" fillId="0" borderId="6" xfId="1" applyFont="1" applyBorder="1" applyAlignment="1">
      <alignment horizontal="center" vertical="center" wrapText="1"/>
    </xf>
    <xf numFmtId="164" fontId="0" fillId="0" borderId="6" xfId="1" applyFont="1" applyBorder="1" applyAlignment="1">
      <alignment horizontal="center" vertical="center" wrapText="1"/>
    </xf>
    <xf numFmtId="164" fontId="0" fillId="0" borderId="7" xfId="1" applyFont="1" applyBorder="1" applyAlignment="1">
      <alignment horizontal="center" vertical="center" wrapText="1"/>
    </xf>
    <xf numFmtId="164" fontId="0" fillId="0" borderId="2" xfId="1" applyFont="1" applyBorder="1" applyAlignment="1">
      <alignment vertical="center" wrapText="1"/>
    </xf>
    <xf numFmtId="164" fontId="0" fillId="0" borderId="17" xfId="1" applyFont="1" applyBorder="1" applyAlignment="1">
      <alignment vertical="center" wrapText="1"/>
    </xf>
    <xf numFmtId="164" fontId="0" fillId="0" borderId="16" xfId="1" applyFont="1" applyBorder="1" applyAlignment="1">
      <alignment vertical="center" wrapText="1"/>
    </xf>
    <xf numFmtId="0" fontId="9" fillId="0" borderId="12" xfId="0" applyFont="1" applyBorder="1" applyAlignment="1">
      <alignment horizontal="left" wrapText="1"/>
    </xf>
    <xf numFmtId="0" fontId="9" fillId="0" borderId="14" xfId="0" applyFont="1" applyBorder="1" applyAlignment="1">
      <alignment horizontal="left" wrapText="1"/>
    </xf>
    <xf numFmtId="0" fontId="9" fillId="0" borderId="15" xfId="0" applyFont="1" applyBorder="1" applyAlignment="1">
      <alignment horizontal="left" wrapText="1"/>
    </xf>
    <xf numFmtId="165" fontId="2" fillId="0" borderId="12" xfId="0" applyNumberFormat="1" applyFont="1" applyBorder="1" applyAlignment="1">
      <alignment horizontal="left" wrapText="1"/>
    </xf>
    <xf numFmtId="165" fontId="2" fillId="0" borderId="14" xfId="0" applyNumberFormat="1" applyFont="1" applyBorder="1" applyAlignment="1">
      <alignment horizontal="left" wrapText="1"/>
    </xf>
    <xf numFmtId="165" fontId="2" fillId="0" borderId="15" xfId="0" applyNumberFormat="1" applyFont="1" applyBorder="1" applyAlignment="1">
      <alignment horizontal="left" wrapText="1"/>
    </xf>
    <xf numFmtId="0" fontId="4" fillId="18" borderId="9" xfId="0" applyFont="1" applyFill="1" applyBorder="1" applyAlignment="1">
      <alignment horizontal="right"/>
    </xf>
    <xf numFmtId="0" fontId="4" fillId="23" borderId="9" xfId="0" applyFont="1" applyFill="1" applyBorder="1" applyAlignment="1">
      <alignment horizontal="right"/>
    </xf>
    <xf numFmtId="1" fontId="4" fillId="23" borderId="9" xfId="0" applyNumberFormat="1" applyFont="1" applyFill="1" applyBorder="1" applyAlignment="1">
      <alignment horizontal="right"/>
    </xf>
    <xf numFmtId="1" fontId="21" fillId="22" borderId="9" xfId="0" applyNumberFormat="1" applyFont="1" applyFill="1" applyBorder="1" applyAlignment="1">
      <alignment horizontal="right"/>
    </xf>
  </cellXfs>
  <cellStyles count="77">
    <cellStyle name="Comma 2" xfId="2" xr:uid="{00000000-0005-0000-0000-000001000000}"/>
    <cellStyle name="Lien hypertexte" xfId="11" builtinId="8" hidden="1"/>
    <cellStyle name="Lien hypertexte" xfId="13" builtinId="8" hidden="1"/>
    <cellStyle name="Lien hypertexte" xfId="15" builtinId="8" hidden="1"/>
    <cellStyle name="Lien hypertexte" xfId="17" builtinId="8" hidden="1"/>
    <cellStyle name="Lien hypertexte" xfId="19" builtinId="8" hidden="1"/>
    <cellStyle name="Lien hypertexte" xfId="21" builtinId="8" hidden="1"/>
    <cellStyle name="Lien hypertexte" xfId="23" builtinId="8" hidden="1"/>
    <cellStyle name="Lien hypertexte" xfId="25" builtinId="8" hidden="1"/>
    <cellStyle name="Lien hypertexte" xfId="27" builtinId="8" hidden="1"/>
    <cellStyle name="Lien hypertexte" xfId="29" builtinId="8" hidden="1"/>
    <cellStyle name="Lien hypertexte" xfId="31" builtinId="8" hidden="1"/>
    <cellStyle name="Lien hypertexte" xfId="33" builtinId="8" hidden="1"/>
    <cellStyle name="Lien hypertexte" xfId="35" builtinId="8" hidden="1"/>
    <cellStyle name="Lien hypertexte" xfId="37" builtinId="8" hidden="1"/>
    <cellStyle name="Lien hypertexte" xfId="39" builtinId="8" hidden="1"/>
    <cellStyle name="Lien hypertexte" xfId="41" builtinId="8" hidden="1"/>
    <cellStyle name="Lien hypertexte" xfId="43" builtinId="8" hidden="1"/>
    <cellStyle name="Lien hypertexte" xfId="45" builtinId="8" hidden="1"/>
    <cellStyle name="Lien hypertexte" xfId="47" builtinId="8" hidden="1"/>
    <cellStyle name="Lien hypertexte" xfId="49" builtinId="8" hidden="1"/>
    <cellStyle name="Lien hypertexte" xfId="51" builtinId="8" hidden="1"/>
    <cellStyle name="Lien hypertexte" xfId="53" builtinId="8" hidden="1"/>
    <cellStyle name="Lien hypertexte" xfId="55" builtinId="8" hidden="1"/>
    <cellStyle name="Lien hypertexte" xfId="57" builtinId="8" hidden="1"/>
    <cellStyle name="Lien hypertexte" xfId="59" builtinId="8" hidden="1"/>
    <cellStyle name="Lien hypertexte" xfId="61" builtinId="8" hidden="1"/>
    <cellStyle name="Lien hypertexte" xfId="63" builtinId="8" hidden="1"/>
    <cellStyle name="Lien hypertexte" xfId="65" builtinId="8" hidden="1"/>
    <cellStyle name="Lien hypertexte" xfId="67" builtinId="8" hidden="1"/>
    <cellStyle name="Lien hypertexte" xfId="69" builtinId="8" hidden="1"/>
    <cellStyle name="Lien hypertexte" xfId="71" builtinId="8" hidden="1"/>
    <cellStyle name="Lien hypertexte" xfId="73" builtinId="8" hidden="1"/>
    <cellStyle name="Lien hypertexte" xfId="75" builtinId="8" hidden="1"/>
    <cellStyle name="Lien hypertexte visité" xfId="12" builtinId="9" hidden="1"/>
    <cellStyle name="Lien hypertexte visité" xfId="14" builtinId="9" hidden="1"/>
    <cellStyle name="Lien hypertexte visité" xfId="16" builtinId="9" hidden="1"/>
    <cellStyle name="Lien hypertexte visité" xfId="18" builtinId="9" hidden="1"/>
    <cellStyle name="Lien hypertexte visité" xfId="20" builtinId="9" hidden="1"/>
    <cellStyle name="Lien hypertexte visité" xfId="22" builtinId="9" hidden="1"/>
    <cellStyle name="Lien hypertexte visité" xfId="24" builtinId="9" hidden="1"/>
    <cellStyle name="Lien hypertexte visité" xfId="26" builtinId="9" hidden="1"/>
    <cellStyle name="Lien hypertexte visité" xfId="28" builtinId="9" hidden="1"/>
    <cellStyle name="Lien hypertexte visité" xfId="30" builtinId="9" hidden="1"/>
    <cellStyle name="Lien hypertexte visité" xfId="32" builtinId="9" hidden="1"/>
    <cellStyle name="Lien hypertexte visité" xfId="34" builtinId="9" hidden="1"/>
    <cellStyle name="Lien hypertexte visité" xfId="36" builtinId="9" hidden="1"/>
    <cellStyle name="Lien hypertexte visité" xfId="38" builtinId="9" hidden="1"/>
    <cellStyle name="Lien hypertexte visité" xfId="40" builtinId="9" hidden="1"/>
    <cellStyle name="Lien hypertexte visité" xfId="42" builtinId="9" hidden="1"/>
    <cellStyle name="Lien hypertexte visité" xfId="44" builtinId="9" hidden="1"/>
    <cellStyle name="Lien hypertexte visité" xfId="46" builtinId="9" hidden="1"/>
    <cellStyle name="Lien hypertexte visité" xfId="48" builtinId="9" hidden="1"/>
    <cellStyle name="Lien hypertexte visité" xfId="50" builtinId="9" hidden="1"/>
    <cellStyle name="Lien hypertexte visité" xfId="52" builtinId="9" hidden="1"/>
    <cellStyle name="Lien hypertexte visité" xfId="54" builtinId="9" hidden="1"/>
    <cellStyle name="Lien hypertexte visité" xfId="56" builtinId="9" hidden="1"/>
    <cellStyle name="Lien hypertexte visité" xfId="58" builtinId="9" hidden="1"/>
    <cellStyle name="Lien hypertexte visité" xfId="60" builtinId="9" hidden="1"/>
    <cellStyle name="Lien hypertexte visité" xfId="62" builtinId="9" hidden="1"/>
    <cellStyle name="Lien hypertexte visité" xfId="64" builtinId="9" hidden="1"/>
    <cellStyle name="Lien hypertexte visité" xfId="66" builtinId="9" hidden="1"/>
    <cellStyle name="Lien hypertexte visité" xfId="68" builtinId="9" hidden="1"/>
    <cellStyle name="Lien hypertexte visité" xfId="70" builtinId="9" hidden="1"/>
    <cellStyle name="Lien hypertexte visité" xfId="72" builtinId="9" hidden="1"/>
    <cellStyle name="Lien hypertexte visité" xfId="74" builtinId="9" hidden="1"/>
    <cellStyle name="Lien hypertexte visité" xfId="76" builtinId="9" hidden="1"/>
    <cellStyle name="Milliers" xfId="1" builtinId="3"/>
    <cellStyle name="Normal" xfId="0" builtinId="0"/>
    <cellStyle name="Normal 2" xfId="3" xr:uid="{00000000-0005-0000-0000-000045000000}"/>
    <cellStyle name="Normal 2 2" xfId="4" xr:uid="{00000000-0005-0000-0000-000046000000}"/>
    <cellStyle name="Normal 2 6" xfId="10" xr:uid="{00000000-0005-0000-0000-000047000000}"/>
    <cellStyle name="Normal 3" xfId="5" xr:uid="{00000000-0005-0000-0000-000048000000}"/>
    <cellStyle name="Percent 2" xfId="7" xr:uid="{00000000-0005-0000-0000-00004A000000}"/>
    <cellStyle name="Percent 3" xfId="8" xr:uid="{00000000-0005-0000-0000-00004B000000}"/>
    <cellStyle name="Percent 4" xfId="9" xr:uid="{00000000-0005-0000-0000-00004C000000}"/>
    <cellStyle name="Pourcentage" xfId="6" builtinId="5"/>
  </cellStyles>
  <dxfs count="3">
    <dxf>
      <font>
        <condense val="0"/>
        <extend val="0"/>
        <color rgb="FF9C0006"/>
      </font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CCFFCC"/>
      <color rgb="FF00FF00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</sheetPr>
  <dimension ref="A1:N35"/>
  <sheetViews>
    <sheetView showGridLines="0" showZeros="0" topLeftCell="A9" workbookViewId="0">
      <selection activeCell="B39" sqref="B39"/>
    </sheetView>
  </sheetViews>
  <sheetFormatPr baseColWidth="10" defaultColWidth="8.83203125" defaultRowHeight="13" x14ac:dyDescent="0.15"/>
  <cols>
    <col min="1" max="1" width="7" style="115" customWidth="1"/>
    <col min="2" max="2" width="57.1640625" style="42" customWidth="1"/>
    <col min="3" max="3" width="8.83203125" style="42"/>
    <col min="4" max="5" width="11.83203125" style="42" bestFit="1" customWidth="1"/>
    <col min="6" max="6" width="16.33203125" style="42" customWidth="1"/>
    <col min="7" max="7" width="9" style="42" bestFit="1" customWidth="1"/>
    <col min="8" max="8" width="8.83203125" style="42"/>
    <col min="9" max="9" width="12" style="42" bestFit="1" customWidth="1"/>
    <col min="10" max="13" width="9" style="42" bestFit="1" customWidth="1"/>
    <col min="14" max="14" width="9.33203125" style="42" bestFit="1" customWidth="1"/>
    <col min="15" max="257" width="8.83203125" style="42"/>
    <col min="258" max="258" width="42.1640625" style="42" customWidth="1"/>
    <col min="259" max="261" width="8.83203125" style="42"/>
    <col min="262" max="262" width="16.33203125" style="42" customWidth="1"/>
    <col min="263" max="513" width="8.83203125" style="42"/>
    <col min="514" max="514" width="42.1640625" style="42" customWidth="1"/>
    <col min="515" max="517" width="8.83203125" style="42"/>
    <col min="518" max="518" width="16.33203125" style="42" customWidth="1"/>
    <col min="519" max="769" width="8.83203125" style="42"/>
    <col min="770" max="770" width="42.1640625" style="42" customWidth="1"/>
    <col min="771" max="773" width="8.83203125" style="42"/>
    <col min="774" max="774" width="16.33203125" style="42" customWidth="1"/>
    <col min="775" max="1025" width="8.83203125" style="42"/>
    <col min="1026" max="1026" width="42.1640625" style="42" customWidth="1"/>
    <col min="1027" max="1029" width="8.83203125" style="42"/>
    <col min="1030" max="1030" width="16.33203125" style="42" customWidth="1"/>
    <col min="1031" max="1281" width="8.83203125" style="42"/>
    <col min="1282" max="1282" width="42.1640625" style="42" customWidth="1"/>
    <col min="1283" max="1285" width="8.83203125" style="42"/>
    <col min="1286" max="1286" width="16.33203125" style="42" customWidth="1"/>
    <col min="1287" max="1537" width="8.83203125" style="42"/>
    <col min="1538" max="1538" width="42.1640625" style="42" customWidth="1"/>
    <col min="1539" max="1541" width="8.83203125" style="42"/>
    <col min="1542" max="1542" width="16.33203125" style="42" customWidth="1"/>
    <col min="1543" max="1793" width="8.83203125" style="42"/>
    <col min="1794" max="1794" width="42.1640625" style="42" customWidth="1"/>
    <col min="1795" max="1797" width="8.83203125" style="42"/>
    <col min="1798" max="1798" width="16.33203125" style="42" customWidth="1"/>
    <col min="1799" max="2049" width="8.83203125" style="42"/>
    <col min="2050" max="2050" width="42.1640625" style="42" customWidth="1"/>
    <col min="2051" max="2053" width="8.83203125" style="42"/>
    <col min="2054" max="2054" width="16.33203125" style="42" customWidth="1"/>
    <col min="2055" max="2305" width="8.83203125" style="42"/>
    <col min="2306" max="2306" width="42.1640625" style="42" customWidth="1"/>
    <col min="2307" max="2309" width="8.83203125" style="42"/>
    <col min="2310" max="2310" width="16.33203125" style="42" customWidth="1"/>
    <col min="2311" max="2561" width="8.83203125" style="42"/>
    <col min="2562" max="2562" width="42.1640625" style="42" customWidth="1"/>
    <col min="2563" max="2565" width="8.83203125" style="42"/>
    <col min="2566" max="2566" width="16.33203125" style="42" customWidth="1"/>
    <col min="2567" max="2817" width="8.83203125" style="42"/>
    <col min="2818" max="2818" width="42.1640625" style="42" customWidth="1"/>
    <col min="2819" max="2821" width="8.83203125" style="42"/>
    <col min="2822" max="2822" width="16.33203125" style="42" customWidth="1"/>
    <col min="2823" max="3073" width="8.83203125" style="42"/>
    <col min="3074" max="3074" width="42.1640625" style="42" customWidth="1"/>
    <col min="3075" max="3077" width="8.83203125" style="42"/>
    <col min="3078" max="3078" width="16.33203125" style="42" customWidth="1"/>
    <col min="3079" max="3329" width="8.83203125" style="42"/>
    <col min="3330" max="3330" width="42.1640625" style="42" customWidth="1"/>
    <col min="3331" max="3333" width="8.83203125" style="42"/>
    <col min="3334" max="3334" width="16.33203125" style="42" customWidth="1"/>
    <col min="3335" max="3585" width="8.83203125" style="42"/>
    <col min="3586" max="3586" width="42.1640625" style="42" customWidth="1"/>
    <col min="3587" max="3589" width="8.83203125" style="42"/>
    <col min="3590" max="3590" width="16.33203125" style="42" customWidth="1"/>
    <col min="3591" max="3841" width="8.83203125" style="42"/>
    <col min="3842" max="3842" width="42.1640625" style="42" customWidth="1"/>
    <col min="3843" max="3845" width="8.83203125" style="42"/>
    <col min="3846" max="3846" width="16.33203125" style="42" customWidth="1"/>
    <col min="3847" max="4097" width="8.83203125" style="42"/>
    <col min="4098" max="4098" width="42.1640625" style="42" customWidth="1"/>
    <col min="4099" max="4101" width="8.83203125" style="42"/>
    <col min="4102" max="4102" width="16.33203125" style="42" customWidth="1"/>
    <col min="4103" max="4353" width="8.83203125" style="42"/>
    <col min="4354" max="4354" width="42.1640625" style="42" customWidth="1"/>
    <col min="4355" max="4357" width="8.83203125" style="42"/>
    <col min="4358" max="4358" width="16.33203125" style="42" customWidth="1"/>
    <col min="4359" max="4609" width="8.83203125" style="42"/>
    <col min="4610" max="4610" width="42.1640625" style="42" customWidth="1"/>
    <col min="4611" max="4613" width="8.83203125" style="42"/>
    <col min="4614" max="4614" width="16.33203125" style="42" customWidth="1"/>
    <col min="4615" max="4865" width="8.83203125" style="42"/>
    <col min="4866" max="4866" width="42.1640625" style="42" customWidth="1"/>
    <col min="4867" max="4869" width="8.83203125" style="42"/>
    <col min="4870" max="4870" width="16.33203125" style="42" customWidth="1"/>
    <col min="4871" max="5121" width="8.83203125" style="42"/>
    <col min="5122" max="5122" width="42.1640625" style="42" customWidth="1"/>
    <col min="5123" max="5125" width="8.83203125" style="42"/>
    <col min="5126" max="5126" width="16.33203125" style="42" customWidth="1"/>
    <col min="5127" max="5377" width="8.83203125" style="42"/>
    <col min="5378" max="5378" width="42.1640625" style="42" customWidth="1"/>
    <col min="5379" max="5381" width="8.83203125" style="42"/>
    <col min="5382" max="5382" width="16.33203125" style="42" customWidth="1"/>
    <col min="5383" max="5633" width="8.83203125" style="42"/>
    <col min="5634" max="5634" width="42.1640625" style="42" customWidth="1"/>
    <col min="5635" max="5637" width="8.83203125" style="42"/>
    <col min="5638" max="5638" width="16.33203125" style="42" customWidth="1"/>
    <col min="5639" max="5889" width="8.83203125" style="42"/>
    <col min="5890" max="5890" width="42.1640625" style="42" customWidth="1"/>
    <col min="5891" max="5893" width="8.83203125" style="42"/>
    <col min="5894" max="5894" width="16.33203125" style="42" customWidth="1"/>
    <col min="5895" max="6145" width="8.83203125" style="42"/>
    <col min="6146" max="6146" width="42.1640625" style="42" customWidth="1"/>
    <col min="6147" max="6149" width="8.83203125" style="42"/>
    <col min="6150" max="6150" width="16.33203125" style="42" customWidth="1"/>
    <col min="6151" max="6401" width="8.83203125" style="42"/>
    <col min="6402" max="6402" width="42.1640625" style="42" customWidth="1"/>
    <col min="6403" max="6405" width="8.83203125" style="42"/>
    <col min="6406" max="6406" width="16.33203125" style="42" customWidth="1"/>
    <col min="6407" max="6657" width="8.83203125" style="42"/>
    <col min="6658" max="6658" width="42.1640625" style="42" customWidth="1"/>
    <col min="6659" max="6661" width="8.83203125" style="42"/>
    <col min="6662" max="6662" width="16.33203125" style="42" customWidth="1"/>
    <col min="6663" max="6913" width="8.83203125" style="42"/>
    <col min="6914" max="6914" width="42.1640625" style="42" customWidth="1"/>
    <col min="6915" max="6917" width="8.83203125" style="42"/>
    <col min="6918" max="6918" width="16.33203125" style="42" customWidth="1"/>
    <col min="6919" max="7169" width="8.83203125" style="42"/>
    <col min="7170" max="7170" width="42.1640625" style="42" customWidth="1"/>
    <col min="7171" max="7173" width="8.83203125" style="42"/>
    <col min="7174" max="7174" width="16.33203125" style="42" customWidth="1"/>
    <col min="7175" max="7425" width="8.83203125" style="42"/>
    <col min="7426" max="7426" width="42.1640625" style="42" customWidth="1"/>
    <col min="7427" max="7429" width="8.83203125" style="42"/>
    <col min="7430" max="7430" width="16.33203125" style="42" customWidth="1"/>
    <col min="7431" max="7681" width="8.83203125" style="42"/>
    <col min="7682" max="7682" width="42.1640625" style="42" customWidth="1"/>
    <col min="7683" max="7685" width="8.83203125" style="42"/>
    <col min="7686" max="7686" width="16.33203125" style="42" customWidth="1"/>
    <col min="7687" max="7937" width="8.83203125" style="42"/>
    <col min="7938" max="7938" width="42.1640625" style="42" customWidth="1"/>
    <col min="7939" max="7941" width="8.83203125" style="42"/>
    <col min="7942" max="7942" width="16.33203125" style="42" customWidth="1"/>
    <col min="7943" max="8193" width="8.83203125" style="42"/>
    <col min="8194" max="8194" width="42.1640625" style="42" customWidth="1"/>
    <col min="8195" max="8197" width="8.83203125" style="42"/>
    <col min="8198" max="8198" width="16.33203125" style="42" customWidth="1"/>
    <col min="8199" max="8449" width="8.83203125" style="42"/>
    <col min="8450" max="8450" width="42.1640625" style="42" customWidth="1"/>
    <col min="8451" max="8453" width="8.83203125" style="42"/>
    <col min="8454" max="8454" width="16.33203125" style="42" customWidth="1"/>
    <col min="8455" max="8705" width="8.83203125" style="42"/>
    <col min="8706" max="8706" width="42.1640625" style="42" customWidth="1"/>
    <col min="8707" max="8709" width="8.83203125" style="42"/>
    <col min="8710" max="8710" width="16.33203125" style="42" customWidth="1"/>
    <col min="8711" max="8961" width="8.83203125" style="42"/>
    <col min="8962" max="8962" width="42.1640625" style="42" customWidth="1"/>
    <col min="8963" max="8965" width="8.83203125" style="42"/>
    <col min="8966" max="8966" width="16.33203125" style="42" customWidth="1"/>
    <col min="8967" max="9217" width="8.83203125" style="42"/>
    <col min="9218" max="9218" width="42.1640625" style="42" customWidth="1"/>
    <col min="9219" max="9221" width="8.83203125" style="42"/>
    <col min="9222" max="9222" width="16.33203125" style="42" customWidth="1"/>
    <col min="9223" max="9473" width="8.83203125" style="42"/>
    <col min="9474" max="9474" width="42.1640625" style="42" customWidth="1"/>
    <col min="9475" max="9477" width="8.83203125" style="42"/>
    <col min="9478" max="9478" width="16.33203125" style="42" customWidth="1"/>
    <col min="9479" max="9729" width="8.83203125" style="42"/>
    <col min="9730" max="9730" width="42.1640625" style="42" customWidth="1"/>
    <col min="9731" max="9733" width="8.83203125" style="42"/>
    <col min="9734" max="9734" width="16.33203125" style="42" customWidth="1"/>
    <col min="9735" max="9985" width="8.83203125" style="42"/>
    <col min="9986" max="9986" width="42.1640625" style="42" customWidth="1"/>
    <col min="9987" max="9989" width="8.83203125" style="42"/>
    <col min="9990" max="9990" width="16.33203125" style="42" customWidth="1"/>
    <col min="9991" max="10241" width="8.83203125" style="42"/>
    <col min="10242" max="10242" width="42.1640625" style="42" customWidth="1"/>
    <col min="10243" max="10245" width="8.83203125" style="42"/>
    <col min="10246" max="10246" width="16.33203125" style="42" customWidth="1"/>
    <col min="10247" max="10497" width="8.83203125" style="42"/>
    <col min="10498" max="10498" width="42.1640625" style="42" customWidth="1"/>
    <col min="10499" max="10501" width="8.83203125" style="42"/>
    <col min="10502" max="10502" width="16.33203125" style="42" customWidth="1"/>
    <col min="10503" max="10753" width="8.83203125" style="42"/>
    <col min="10754" max="10754" width="42.1640625" style="42" customWidth="1"/>
    <col min="10755" max="10757" width="8.83203125" style="42"/>
    <col min="10758" max="10758" width="16.33203125" style="42" customWidth="1"/>
    <col min="10759" max="11009" width="8.83203125" style="42"/>
    <col min="11010" max="11010" width="42.1640625" style="42" customWidth="1"/>
    <col min="11011" max="11013" width="8.83203125" style="42"/>
    <col min="11014" max="11014" width="16.33203125" style="42" customWidth="1"/>
    <col min="11015" max="11265" width="8.83203125" style="42"/>
    <col min="11266" max="11266" width="42.1640625" style="42" customWidth="1"/>
    <col min="11267" max="11269" width="8.83203125" style="42"/>
    <col min="11270" max="11270" width="16.33203125" style="42" customWidth="1"/>
    <col min="11271" max="11521" width="8.83203125" style="42"/>
    <col min="11522" max="11522" width="42.1640625" style="42" customWidth="1"/>
    <col min="11523" max="11525" width="8.83203125" style="42"/>
    <col min="11526" max="11526" width="16.33203125" style="42" customWidth="1"/>
    <col min="11527" max="11777" width="8.83203125" style="42"/>
    <col min="11778" max="11778" width="42.1640625" style="42" customWidth="1"/>
    <col min="11779" max="11781" width="8.83203125" style="42"/>
    <col min="11782" max="11782" width="16.33203125" style="42" customWidth="1"/>
    <col min="11783" max="12033" width="8.83203125" style="42"/>
    <col min="12034" max="12034" width="42.1640625" style="42" customWidth="1"/>
    <col min="12035" max="12037" width="8.83203125" style="42"/>
    <col min="12038" max="12038" width="16.33203125" style="42" customWidth="1"/>
    <col min="12039" max="12289" width="8.83203125" style="42"/>
    <col min="12290" max="12290" width="42.1640625" style="42" customWidth="1"/>
    <col min="12291" max="12293" width="8.83203125" style="42"/>
    <col min="12294" max="12294" width="16.33203125" style="42" customWidth="1"/>
    <col min="12295" max="12545" width="8.83203125" style="42"/>
    <col min="12546" max="12546" width="42.1640625" style="42" customWidth="1"/>
    <col min="12547" max="12549" width="8.83203125" style="42"/>
    <col min="12550" max="12550" width="16.33203125" style="42" customWidth="1"/>
    <col min="12551" max="12801" width="8.83203125" style="42"/>
    <col min="12802" max="12802" width="42.1640625" style="42" customWidth="1"/>
    <col min="12803" max="12805" width="8.83203125" style="42"/>
    <col min="12806" max="12806" width="16.33203125" style="42" customWidth="1"/>
    <col min="12807" max="13057" width="8.83203125" style="42"/>
    <col min="13058" max="13058" width="42.1640625" style="42" customWidth="1"/>
    <col min="13059" max="13061" width="8.83203125" style="42"/>
    <col min="13062" max="13062" width="16.33203125" style="42" customWidth="1"/>
    <col min="13063" max="13313" width="8.83203125" style="42"/>
    <col min="13314" max="13314" width="42.1640625" style="42" customWidth="1"/>
    <col min="13315" max="13317" width="8.83203125" style="42"/>
    <col min="13318" max="13318" width="16.33203125" style="42" customWidth="1"/>
    <col min="13319" max="13569" width="8.83203125" style="42"/>
    <col min="13570" max="13570" width="42.1640625" style="42" customWidth="1"/>
    <col min="13571" max="13573" width="8.83203125" style="42"/>
    <col min="13574" max="13574" width="16.33203125" style="42" customWidth="1"/>
    <col min="13575" max="13825" width="8.83203125" style="42"/>
    <col min="13826" max="13826" width="42.1640625" style="42" customWidth="1"/>
    <col min="13827" max="13829" width="8.83203125" style="42"/>
    <col min="13830" max="13830" width="16.33203125" style="42" customWidth="1"/>
    <col min="13831" max="14081" width="8.83203125" style="42"/>
    <col min="14082" max="14082" width="42.1640625" style="42" customWidth="1"/>
    <col min="14083" max="14085" width="8.83203125" style="42"/>
    <col min="14086" max="14086" width="16.33203125" style="42" customWidth="1"/>
    <col min="14087" max="14337" width="8.83203125" style="42"/>
    <col min="14338" max="14338" width="42.1640625" style="42" customWidth="1"/>
    <col min="14339" max="14341" width="8.83203125" style="42"/>
    <col min="14342" max="14342" width="16.33203125" style="42" customWidth="1"/>
    <col min="14343" max="14593" width="8.83203125" style="42"/>
    <col min="14594" max="14594" width="42.1640625" style="42" customWidth="1"/>
    <col min="14595" max="14597" width="8.83203125" style="42"/>
    <col min="14598" max="14598" width="16.33203125" style="42" customWidth="1"/>
    <col min="14599" max="14849" width="8.83203125" style="42"/>
    <col min="14850" max="14850" width="42.1640625" style="42" customWidth="1"/>
    <col min="14851" max="14853" width="8.83203125" style="42"/>
    <col min="14854" max="14854" width="16.33203125" style="42" customWidth="1"/>
    <col min="14855" max="15105" width="8.83203125" style="42"/>
    <col min="15106" max="15106" width="42.1640625" style="42" customWidth="1"/>
    <col min="15107" max="15109" width="8.83203125" style="42"/>
    <col min="15110" max="15110" width="16.33203125" style="42" customWidth="1"/>
    <col min="15111" max="15361" width="8.83203125" style="42"/>
    <col min="15362" max="15362" width="42.1640625" style="42" customWidth="1"/>
    <col min="15363" max="15365" width="8.83203125" style="42"/>
    <col min="15366" max="15366" width="16.33203125" style="42" customWidth="1"/>
    <col min="15367" max="15617" width="8.83203125" style="42"/>
    <col min="15618" max="15618" width="42.1640625" style="42" customWidth="1"/>
    <col min="15619" max="15621" width="8.83203125" style="42"/>
    <col min="15622" max="15622" width="16.33203125" style="42" customWidth="1"/>
    <col min="15623" max="15873" width="8.83203125" style="42"/>
    <col min="15874" max="15874" width="42.1640625" style="42" customWidth="1"/>
    <col min="15875" max="15877" width="8.83203125" style="42"/>
    <col min="15878" max="15878" width="16.33203125" style="42" customWidth="1"/>
    <col min="15879" max="16129" width="8.83203125" style="42"/>
    <col min="16130" max="16130" width="42.1640625" style="42" customWidth="1"/>
    <col min="16131" max="16133" width="8.83203125" style="42"/>
    <col min="16134" max="16134" width="16.33203125" style="42" customWidth="1"/>
    <col min="16135" max="16384" width="8.83203125" style="42"/>
  </cols>
  <sheetData>
    <row r="1" spans="1:14" ht="15" thickBot="1" x14ac:dyDescent="0.2">
      <c r="A1" s="99" t="s">
        <v>484</v>
      </c>
      <c r="B1" s="100" t="s">
        <v>680</v>
      </c>
      <c r="C1" s="100" t="s">
        <v>20</v>
      </c>
      <c r="D1" s="100" t="s">
        <v>681</v>
      </c>
      <c r="E1" s="100" t="s">
        <v>682</v>
      </c>
      <c r="F1" s="100" t="s">
        <v>683</v>
      </c>
    </row>
    <row r="2" spans="1:14" ht="14" thickBot="1" x14ac:dyDescent="0.2">
      <c r="A2" s="101"/>
      <c r="B2" s="102"/>
      <c r="C2" s="102"/>
      <c r="D2" s="103"/>
      <c r="E2" s="102"/>
      <c r="F2" s="102"/>
    </row>
    <row r="3" spans="1:14" ht="14" thickBot="1" x14ac:dyDescent="0.2">
      <c r="A3" s="444" t="s">
        <v>676</v>
      </c>
      <c r="B3" s="445"/>
      <c r="C3" s="445"/>
      <c r="D3" s="445"/>
      <c r="E3" s="445"/>
      <c r="F3" s="446"/>
    </row>
    <row r="4" spans="1:14" ht="29" thickBot="1" x14ac:dyDescent="0.2">
      <c r="A4" s="104" t="s">
        <v>473</v>
      </c>
      <c r="B4" s="105" t="s">
        <v>658</v>
      </c>
      <c r="C4" s="106" t="s">
        <v>485</v>
      </c>
      <c r="D4" s="107">
        <v>14000</v>
      </c>
      <c r="E4" s="108">
        <v>13.22</v>
      </c>
      <c r="F4" s="109">
        <f t="shared" ref="F4:F9" si="0">E4*D4</f>
        <v>185080</v>
      </c>
      <c r="G4" s="110"/>
    </row>
    <row r="5" spans="1:14" ht="29" thickBot="1" x14ac:dyDescent="0.2">
      <c r="A5" s="104" t="s">
        <v>474</v>
      </c>
      <c r="B5" s="105" t="s">
        <v>486</v>
      </c>
      <c r="C5" s="450" t="s">
        <v>199</v>
      </c>
      <c r="D5" s="450" t="s">
        <v>199</v>
      </c>
      <c r="E5" s="453" t="s">
        <v>199</v>
      </c>
      <c r="F5" s="456">
        <v>500000</v>
      </c>
      <c r="G5" s="110"/>
    </row>
    <row r="6" spans="1:14" ht="57" thickBot="1" x14ac:dyDescent="0.2">
      <c r="A6" s="104" t="s">
        <v>475</v>
      </c>
      <c r="B6" s="105" t="s">
        <v>487</v>
      </c>
      <c r="C6" s="451"/>
      <c r="D6" s="451"/>
      <c r="E6" s="454"/>
      <c r="F6" s="457"/>
      <c r="G6" s="110"/>
      <c r="K6" s="42">
        <f>165*165</f>
        <v>27225</v>
      </c>
      <c r="L6" s="42">
        <f>195*210</f>
        <v>40950</v>
      </c>
      <c r="M6" s="42">
        <f>K6/L6</f>
        <v>0.6648351648351648</v>
      </c>
    </row>
    <row r="7" spans="1:14" ht="57" thickBot="1" x14ac:dyDescent="0.2">
      <c r="A7" s="104" t="s">
        <v>476</v>
      </c>
      <c r="B7" s="105" t="s">
        <v>488</v>
      </c>
      <c r="C7" s="452"/>
      <c r="D7" s="452"/>
      <c r="E7" s="455"/>
      <c r="F7" s="458"/>
      <c r="G7" s="110"/>
    </row>
    <row r="8" spans="1:14" ht="15" thickBot="1" x14ac:dyDescent="0.2">
      <c r="A8" s="111" t="s">
        <v>477</v>
      </c>
      <c r="B8" s="112" t="s">
        <v>489</v>
      </c>
      <c r="C8" s="111" t="s">
        <v>452</v>
      </c>
      <c r="D8" s="113">
        <v>15</v>
      </c>
      <c r="E8" s="114">
        <f>500000/88</f>
        <v>5681.818181818182</v>
      </c>
      <c r="F8" s="109">
        <f t="shared" si="0"/>
        <v>85227.272727272735</v>
      </c>
      <c r="G8" s="110"/>
    </row>
    <row r="9" spans="1:14" ht="15" thickBot="1" x14ac:dyDescent="0.2">
      <c r="A9" s="111" t="s">
        <v>490</v>
      </c>
      <c r="B9" s="112" t="s">
        <v>623</v>
      </c>
      <c r="C9" s="111" t="s">
        <v>452</v>
      </c>
      <c r="D9" s="113">
        <v>1</v>
      </c>
      <c r="E9" s="114">
        <f>2000000/88</f>
        <v>22727.272727272728</v>
      </c>
      <c r="F9" s="109">
        <f t="shared" si="0"/>
        <v>22727.272727272728</v>
      </c>
      <c r="G9" s="110"/>
    </row>
    <row r="10" spans="1:14" ht="14" thickBot="1" x14ac:dyDescent="0.2">
      <c r="A10" s="447" t="s">
        <v>684</v>
      </c>
      <c r="B10" s="448"/>
      <c r="C10" s="449"/>
      <c r="D10" s="377"/>
      <c r="E10" s="377"/>
      <c r="F10" s="378">
        <f>SUM(F4:F9)</f>
        <v>793034.54545454541</v>
      </c>
    </row>
    <row r="11" spans="1:14" ht="14" thickBot="1" x14ac:dyDescent="0.2">
      <c r="I11" s="80" t="s">
        <v>503</v>
      </c>
      <c r="J11" s="80">
        <v>1</v>
      </c>
      <c r="K11" s="80">
        <v>2000</v>
      </c>
      <c r="L11" s="80">
        <f>K11*J11</f>
        <v>2000</v>
      </c>
    </row>
    <row r="12" spans="1:14" ht="15.75" customHeight="1" thickBot="1" x14ac:dyDescent="0.2">
      <c r="A12" s="444" t="s">
        <v>677</v>
      </c>
      <c r="B12" s="445"/>
      <c r="C12" s="445"/>
      <c r="D12" s="445"/>
      <c r="E12" s="445"/>
      <c r="F12" s="446"/>
      <c r="I12" s="80" t="s">
        <v>455</v>
      </c>
      <c r="J12" s="80">
        <v>1</v>
      </c>
      <c r="K12" s="80">
        <v>1500</v>
      </c>
      <c r="L12" s="80">
        <f>K12*J12</f>
        <v>1500</v>
      </c>
    </row>
    <row r="13" spans="1:14" ht="15" thickBot="1" x14ac:dyDescent="0.2">
      <c r="A13" s="99" t="s">
        <v>484</v>
      </c>
      <c r="B13" s="100" t="s">
        <v>680</v>
      </c>
      <c r="C13" s="100" t="s">
        <v>20</v>
      </c>
      <c r="D13" s="100" t="s">
        <v>681</v>
      </c>
      <c r="E13" s="100" t="s">
        <v>682</v>
      </c>
      <c r="F13" s="100" t="s">
        <v>683</v>
      </c>
      <c r="I13" s="80" t="s">
        <v>504</v>
      </c>
      <c r="J13" s="80">
        <v>3</v>
      </c>
      <c r="K13" s="80">
        <v>1000</v>
      </c>
      <c r="L13" s="80">
        <f t="shared" ref="L13:L21" si="1">K13*J13</f>
        <v>3000</v>
      </c>
    </row>
    <row r="14" spans="1:14" ht="29" thickBot="1" x14ac:dyDescent="0.2">
      <c r="A14" s="104" t="s">
        <v>478</v>
      </c>
      <c r="B14" s="116" t="s">
        <v>491</v>
      </c>
      <c r="C14" s="117" t="s">
        <v>492</v>
      </c>
      <c r="D14" s="118">
        <v>300</v>
      </c>
      <c r="E14" s="119">
        <f>6250/88</f>
        <v>71.022727272727266</v>
      </c>
      <c r="F14" s="120">
        <f>D14*E14</f>
        <v>21306.81818181818</v>
      </c>
      <c r="I14" s="80" t="s">
        <v>505</v>
      </c>
      <c r="J14" s="80">
        <v>3</v>
      </c>
      <c r="K14" s="80">
        <v>1000</v>
      </c>
      <c r="L14" s="80">
        <f t="shared" si="1"/>
        <v>3000</v>
      </c>
    </row>
    <row r="15" spans="1:14" ht="15" thickBot="1" x14ac:dyDescent="0.2">
      <c r="A15" s="104" t="s">
        <v>479</v>
      </c>
      <c r="B15" s="105" t="s">
        <v>493</v>
      </c>
      <c r="C15" s="117" t="s">
        <v>492</v>
      </c>
      <c r="D15" s="121">
        <v>300</v>
      </c>
      <c r="E15" s="119">
        <f>6250/88</f>
        <v>71.022727272727266</v>
      </c>
      <c r="F15" s="120">
        <f>D15*E15</f>
        <v>21306.81818181818</v>
      </c>
      <c r="I15" s="80"/>
      <c r="J15" s="80"/>
      <c r="K15" s="80"/>
      <c r="L15" s="80"/>
      <c r="N15" s="42">
        <f>100*10000</f>
        <v>1000000</v>
      </c>
    </row>
    <row r="16" spans="1:14" ht="15" thickBot="1" x14ac:dyDescent="0.2">
      <c r="A16" s="104" t="s">
        <v>480</v>
      </c>
      <c r="B16" s="105" t="s">
        <v>494</v>
      </c>
      <c r="C16" s="117" t="s">
        <v>492</v>
      </c>
      <c r="D16" s="121">
        <f>D15</f>
        <v>300</v>
      </c>
      <c r="E16" s="119">
        <f>5000/88</f>
        <v>56.81818181818182</v>
      </c>
      <c r="F16" s="120">
        <f>D16*E16</f>
        <v>17045.454545454548</v>
      </c>
      <c r="I16" s="80" t="s">
        <v>506</v>
      </c>
      <c r="J16" s="80"/>
      <c r="K16" s="80"/>
      <c r="L16" s="80">
        <f t="shared" si="1"/>
        <v>0</v>
      </c>
    </row>
    <row r="17" spans="1:12" ht="15" thickBot="1" x14ac:dyDescent="0.2">
      <c r="A17" s="122" t="s">
        <v>481</v>
      </c>
      <c r="B17" s="123" t="s">
        <v>495</v>
      </c>
      <c r="C17" s="124" t="s">
        <v>492</v>
      </c>
      <c r="D17" s="125">
        <f>D16</f>
        <v>300</v>
      </c>
      <c r="E17" s="126">
        <f>75000/88</f>
        <v>852.27272727272725</v>
      </c>
      <c r="F17" s="127">
        <f t="shared" ref="F17:F18" si="2">D17*E17</f>
        <v>255681.81818181818</v>
      </c>
      <c r="I17" s="80" t="s">
        <v>507</v>
      </c>
      <c r="J17" s="80">
        <v>3</v>
      </c>
      <c r="K17" s="80">
        <v>600</v>
      </c>
      <c r="L17" s="80">
        <f t="shared" si="1"/>
        <v>1800</v>
      </c>
    </row>
    <row r="18" spans="1:12" ht="15" thickBot="1" x14ac:dyDescent="0.2">
      <c r="A18" s="104" t="s">
        <v>482</v>
      </c>
      <c r="B18" s="105" t="s">
        <v>496</v>
      </c>
      <c r="C18" s="117" t="s">
        <v>492</v>
      </c>
      <c r="D18" s="128">
        <f>D17</f>
        <v>300</v>
      </c>
      <c r="E18" s="119">
        <f>E15</f>
        <v>71.022727272727266</v>
      </c>
      <c r="F18" s="120">
        <f t="shared" si="2"/>
        <v>21306.81818181818</v>
      </c>
      <c r="I18" s="80" t="s">
        <v>508</v>
      </c>
      <c r="J18" s="80">
        <v>2</v>
      </c>
      <c r="K18" s="80">
        <v>600</v>
      </c>
      <c r="L18" s="80">
        <f t="shared" si="1"/>
        <v>1200</v>
      </c>
    </row>
    <row r="19" spans="1:12" ht="15" thickBot="1" x14ac:dyDescent="0.2">
      <c r="A19" s="129" t="s">
        <v>590</v>
      </c>
      <c r="B19" s="105" t="s">
        <v>591</v>
      </c>
      <c r="C19" s="130" t="s">
        <v>592</v>
      </c>
      <c r="D19" s="118">
        <f>15*15*3</f>
        <v>675</v>
      </c>
      <c r="E19" s="128">
        <f>12000/88</f>
        <v>136.36363636363637</v>
      </c>
      <c r="F19" s="120">
        <f>E19*D19</f>
        <v>92045.454545454559</v>
      </c>
      <c r="I19" s="80" t="s">
        <v>499</v>
      </c>
      <c r="J19" s="80">
        <v>2</v>
      </c>
      <c r="K19" s="80">
        <v>600</v>
      </c>
      <c r="L19" s="80">
        <f t="shared" si="1"/>
        <v>1200</v>
      </c>
    </row>
    <row r="20" spans="1:12" ht="14" thickBot="1" x14ac:dyDescent="0.2">
      <c r="A20" s="129"/>
      <c r="B20" s="104"/>
      <c r="C20" s="105"/>
      <c r="D20" s="117"/>
      <c r="E20" s="128"/>
      <c r="F20" s="120"/>
      <c r="I20" s="80" t="s">
        <v>509</v>
      </c>
      <c r="J20" s="80">
        <v>4</v>
      </c>
      <c r="K20" s="80">
        <v>600</v>
      </c>
      <c r="L20" s="80">
        <f t="shared" si="1"/>
        <v>2400</v>
      </c>
    </row>
    <row r="21" spans="1:12" ht="14" thickBot="1" x14ac:dyDescent="0.2">
      <c r="A21" s="441" t="s">
        <v>685</v>
      </c>
      <c r="B21" s="442"/>
      <c r="C21" s="443"/>
      <c r="D21" s="377"/>
      <c r="E21" s="379"/>
      <c r="F21" s="380">
        <f>SUM(F14:F19)</f>
        <v>428693.18181818177</v>
      </c>
      <c r="I21" s="80" t="s">
        <v>501</v>
      </c>
      <c r="J21" s="80">
        <v>1</v>
      </c>
      <c r="K21" s="80">
        <v>3000</v>
      </c>
      <c r="L21" s="80">
        <f t="shared" si="1"/>
        <v>3000</v>
      </c>
    </row>
    <row r="22" spans="1:12" ht="14" thickBot="1" x14ac:dyDescent="0.2">
      <c r="I22" s="80"/>
      <c r="J22" s="80"/>
      <c r="K22" s="80"/>
      <c r="L22" s="80">
        <f>SUM(L11:L21)</f>
        <v>19100</v>
      </c>
    </row>
    <row r="23" spans="1:12" ht="15.75" customHeight="1" thickBot="1" x14ac:dyDescent="0.2">
      <c r="A23" s="444" t="s">
        <v>678</v>
      </c>
      <c r="B23" s="445"/>
      <c r="C23" s="445"/>
      <c r="D23" s="445"/>
      <c r="E23" s="445"/>
      <c r="F23" s="446"/>
    </row>
    <row r="24" spans="1:12" ht="15" thickBot="1" x14ac:dyDescent="0.2">
      <c r="A24" s="132" t="s">
        <v>484</v>
      </c>
      <c r="B24" s="100" t="s">
        <v>680</v>
      </c>
      <c r="C24" s="100" t="s">
        <v>20</v>
      </c>
      <c r="D24" s="100" t="s">
        <v>681</v>
      </c>
      <c r="E24" s="100" t="s">
        <v>682</v>
      </c>
      <c r="F24" s="100" t="s">
        <v>683</v>
      </c>
    </row>
    <row r="25" spans="1:12" ht="29" thickBot="1" x14ac:dyDescent="0.2">
      <c r="A25" s="104" t="s">
        <v>483</v>
      </c>
      <c r="B25" s="131" t="s">
        <v>502</v>
      </c>
      <c r="C25" s="117" t="s">
        <v>497</v>
      </c>
      <c r="D25" s="118">
        <v>350</v>
      </c>
      <c r="E25" s="133">
        <v>250</v>
      </c>
      <c r="F25" s="134">
        <f t="shared" ref="F25:F30" si="3">D25*E25</f>
        <v>87500</v>
      </c>
    </row>
    <row r="26" spans="1:12" ht="29" thickBot="1" x14ac:dyDescent="0.2">
      <c r="A26" s="104" t="s">
        <v>453</v>
      </c>
      <c r="B26" s="131" t="s">
        <v>498</v>
      </c>
      <c r="C26" s="117" t="s">
        <v>462</v>
      </c>
      <c r="D26" s="118">
        <v>35</v>
      </c>
      <c r="E26" s="135">
        <f>(12000/88)*30</f>
        <v>4090.909090909091</v>
      </c>
      <c r="F26" s="134">
        <f t="shared" si="3"/>
        <v>143181.81818181818</v>
      </c>
      <c r="I26" s="136"/>
    </row>
    <row r="27" spans="1:12" ht="15" thickBot="1" x14ac:dyDescent="0.2">
      <c r="A27" s="104" t="s">
        <v>454</v>
      </c>
      <c r="B27" s="131" t="s">
        <v>500</v>
      </c>
      <c r="C27" s="117" t="s">
        <v>497</v>
      </c>
      <c r="D27" s="118">
        <v>2400</v>
      </c>
      <c r="E27" s="135">
        <f>10000/88</f>
        <v>113.63636363636364</v>
      </c>
      <c r="F27" s="137">
        <f t="shared" si="3"/>
        <v>272727.27272727276</v>
      </c>
      <c r="G27" s="138"/>
    </row>
    <row r="28" spans="1:12" ht="15" thickBot="1" x14ac:dyDescent="0.2">
      <c r="A28" s="104" t="s">
        <v>472</v>
      </c>
      <c r="B28" s="116" t="s">
        <v>510</v>
      </c>
      <c r="C28" s="117" t="s">
        <v>497</v>
      </c>
      <c r="D28" s="118">
        <v>1000</v>
      </c>
      <c r="E28" s="135">
        <v>250</v>
      </c>
      <c r="F28" s="137">
        <f t="shared" si="3"/>
        <v>250000</v>
      </c>
      <c r="G28" s="138"/>
    </row>
    <row r="29" spans="1:12" ht="15" thickBot="1" x14ac:dyDescent="0.2">
      <c r="A29" s="433" t="s">
        <v>511</v>
      </c>
      <c r="B29" s="116" t="s">
        <v>542</v>
      </c>
      <c r="C29" s="117" t="s">
        <v>497</v>
      </c>
      <c r="D29" s="434">
        <v>1500</v>
      </c>
      <c r="E29" s="435">
        <f>900/88</f>
        <v>10.227272727272727</v>
      </c>
      <c r="F29" s="137">
        <f t="shared" si="3"/>
        <v>15340.90909090909</v>
      </c>
      <c r="G29" s="138"/>
    </row>
    <row r="30" spans="1:12" ht="15" thickBot="1" x14ac:dyDescent="0.2">
      <c r="A30" s="104" t="s">
        <v>541</v>
      </c>
      <c r="B30" s="116" t="s">
        <v>512</v>
      </c>
      <c r="C30" s="117" t="s">
        <v>199</v>
      </c>
      <c r="D30" s="118">
        <v>1</v>
      </c>
      <c r="E30" s="135">
        <f>1000000/88</f>
        <v>11363.636363636364</v>
      </c>
      <c r="F30" s="137">
        <f t="shared" si="3"/>
        <v>11363.636363636364</v>
      </c>
      <c r="G30" s="139"/>
    </row>
    <row r="31" spans="1:12" ht="13.5" customHeight="1" thickBot="1" x14ac:dyDescent="0.2">
      <c r="A31" s="441" t="s">
        <v>685</v>
      </c>
      <c r="B31" s="442"/>
      <c r="C31" s="443"/>
      <c r="D31" s="377"/>
      <c r="E31" s="381"/>
      <c r="F31" s="382">
        <f>SUM(F25:F30)</f>
        <v>780113.63636363635</v>
      </c>
      <c r="G31" s="138"/>
    </row>
    <row r="34" spans="1:7" ht="14" thickBot="1" x14ac:dyDescent="0.2"/>
    <row r="35" spans="1:7" ht="14" thickBot="1" x14ac:dyDescent="0.2">
      <c r="A35" s="141"/>
      <c r="B35" s="369" t="s">
        <v>688</v>
      </c>
      <c r="C35" s="369"/>
      <c r="D35" s="369"/>
      <c r="E35" s="369"/>
      <c r="F35" s="439">
        <f>F31+F10+F21</f>
        <v>2001841.3636363633</v>
      </c>
      <c r="G35" s="440">
        <f>F35/300</f>
        <v>6672.8045454545445</v>
      </c>
    </row>
  </sheetData>
  <mergeCells count="10">
    <mergeCell ref="A31:C31"/>
    <mergeCell ref="A21:C21"/>
    <mergeCell ref="A23:F23"/>
    <mergeCell ref="A3:F3"/>
    <mergeCell ref="A10:C10"/>
    <mergeCell ref="A12:F12"/>
    <mergeCell ref="C5:C7"/>
    <mergeCell ref="D5:D7"/>
    <mergeCell ref="E5:E7"/>
    <mergeCell ref="F5:F7"/>
  </mergeCells>
  <printOptions horizontalCentered="1"/>
  <pageMargins left="0.11811023622047245" right="0.11811023622047245" top="0.59055118110236227" bottom="0.19685039370078741" header="0.31496062992125984" footer="0.31496062992125984"/>
  <pageSetup paperSize="9" scale="96" orientation="landscape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39997558519241921"/>
  </sheetPr>
  <dimension ref="A1:G150"/>
  <sheetViews>
    <sheetView showGridLines="0" showZeros="0" topLeftCell="A19" zoomScaleNormal="100" zoomScalePageLayoutView="90" workbookViewId="0">
      <selection activeCell="G37" sqref="G37"/>
    </sheetView>
  </sheetViews>
  <sheetFormatPr baseColWidth="10" defaultColWidth="8.83203125" defaultRowHeight="12" x14ac:dyDescent="0.15"/>
  <cols>
    <col min="1" max="1" width="5.6640625" style="52" customWidth="1"/>
    <col min="2" max="2" width="34" style="47" customWidth="1"/>
    <col min="3" max="3" width="39.6640625" style="53" bestFit="1" customWidth="1"/>
    <col min="4" max="4" width="13.83203125" style="55" bestFit="1" customWidth="1"/>
    <col min="5" max="5" width="11.5" style="53" bestFit="1" customWidth="1"/>
    <col min="6" max="6" width="18.5" style="55" bestFit="1" customWidth="1"/>
    <col min="7" max="7" width="13.33203125" style="55" customWidth="1"/>
    <col min="8" max="8" width="13.5" style="43" customWidth="1"/>
    <col min="9" max="9" width="8.83203125" style="43"/>
    <col min="10" max="10" width="18" style="43" bestFit="1" customWidth="1"/>
    <col min="11" max="11" width="11.1640625" style="43" bestFit="1" customWidth="1"/>
    <col min="12" max="255" width="8.83203125" style="43"/>
    <col min="256" max="256" width="5.6640625" style="43" customWidth="1"/>
    <col min="257" max="257" width="46.1640625" style="43" customWidth="1"/>
    <col min="258" max="258" width="10.1640625" style="43" customWidth="1"/>
    <col min="259" max="259" width="8.83203125" style="43" customWidth="1"/>
    <col min="260" max="260" width="9.5" style="43" customWidth="1"/>
    <col min="261" max="261" width="10" style="43" customWidth="1"/>
    <col min="262" max="262" width="9.6640625" style="43" customWidth="1"/>
    <col min="263" max="263" width="10" style="43" customWidth="1"/>
    <col min="264" max="511" width="8.83203125" style="43"/>
    <col min="512" max="512" width="5.6640625" style="43" customWidth="1"/>
    <col min="513" max="513" width="46.1640625" style="43" customWidth="1"/>
    <col min="514" max="514" width="10.1640625" style="43" customWidth="1"/>
    <col min="515" max="515" width="8.83203125" style="43" customWidth="1"/>
    <col min="516" max="516" width="9.5" style="43" customWidth="1"/>
    <col min="517" max="517" width="10" style="43" customWidth="1"/>
    <col min="518" max="518" width="9.6640625" style="43" customWidth="1"/>
    <col min="519" max="519" width="10" style="43" customWidth="1"/>
    <col min="520" max="767" width="8.83203125" style="43"/>
    <col min="768" max="768" width="5.6640625" style="43" customWidth="1"/>
    <col min="769" max="769" width="46.1640625" style="43" customWidth="1"/>
    <col min="770" max="770" width="10.1640625" style="43" customWidth="1"/>
    <col min="771" max="771" width="8.83203125" style="43" customWidth="1"/>
    <col min="772" max="772" width="9.5" style="43" customWidth="1"/>
    <col min="773" max="773" width="10" style="43" customWidth="1"/>
    <col min="774" max="774" width="9.6640625" style="43" customWidth="1"/>
    <col min="775" max="775" width="10" style="43" customWidth="1"/>
    <col min="776" max="1023" width="8.83203125" style="43"/>
    <col min="1024" max="1024" width="5.6640625" style="43" customWidth="1"/>
    <col min="1025" max="1025" width="46.1640625" style="43" customWidth="1"/>
    <col min="1026" max="1026" width="10.1640625" style="43" customWidth="1"/>
    <col min="1027" max="1027" width="8.83203125" style="43" customWidth="1"/>
    <col min="1028" max="1028" width="9.5" style="43" customWidth="1"/>
    <col min="1029" max="1029" width="10" style="43" customWidth="1"/>
    <col min="1030" max="1030" width="9.6640625" style="43" customWidth="1"/>
    <col min="1031" max="1031" width="10" style="43" customWidth="1"/>
    <col min="1032" max="1279" width="8.83203125" style="43"/>
    <col min="1280" max="1280" width="5.6640625" style="43" customWidth="1"/>
    <col min="1281" max="1281" width="46.1640625" style="43" customWidth="1"/>
    <col min="1282" max="1282" width="10.1640625" style="43" customWidth="1"/>
    <col min="1283" max="1283" width="8.83203125" style="43" customWidth="1"/>
    <col min="1284" max="1284" width="9.5" style="43" customWidth="1"/>
    <col min="1285" max="1285" width="10" style="43" customWidth="1"/>
    <col min="1286" max="1286" width="9.6640625" style="43" customWidth="1"/>
    <col min="1287" max="1287" width="10" style="43" customWidth="1"/>
    <col min="1288" max="1535" width="8.83203125" style="43"/>
    <col min="1536" max="1536" width="5.6640625" style="43" customWidth="1"/>
    <col min="1537" max="1537" width="46.1640625" style="43" customWidth="1"/>
    <col min="1538" max="1538" width="10.1640625" style="43" customWidth="1"/>
    <col min="1539" max="1539" width="8.83203125" style="43" customWidth="1"/>
    <col min="1540" max="1540" width="9.5" style="43" customWidth="1"/>
    <col min="1541" max="1541" width="10" style="43" customWidth="1"/>
    <col min="1542" max="1542" width="9.6640625" style="43" customWidth="1"/>
    <col min="1543" max="1543" width="10" style="43" customWidth="1"/>
    <col min="1544" max="1791" width="8.83203125" style="43"/>
    <col min="1792" max="1792" width="5.6640625" style="43" customWidth="1"/>
    <col min="1793" max="1793" width="46.1640625" style="43" customWidth="1"/>
    <col min="1794" max="1794" width="10.1640625" style="43" customWidth="1"/>
    <col min="1795" max="1795" width="8.83203125" style="43" customWidth="1"/>
    <col min="1796" max="1796" width="9.5" style="43" customWidth="1"/>
    <col min="1797" max="1797" width="10" style="43" customWidth="1"/>
    <col min="1798" max="1798" width="9.6640625" style="43" customWidth="1"/>
    <col min="1799" max="1799" width="10" style="43" customWidth="1"/>
    <col min="1800" max="2047" width="8.83203125" style="43"/>
    <col min="2048" max="2048" width="5.6640625" style="43" customWidth="1"/>
    <col min="2049" max="2049" width="46.1640625" style="43" customWidth="1"/>
    <col min="2050" max="2050" width="10.1640625" style="43" customWidth="1"/>
    <col min="2051" max="2051" width="8.83203125" style="43" customWidth="1"/>
    <col min="2052" max="2052" width="9.5" style="43" customWidth="1"/>
    <col min="2053" max="2053" width="10" style="43" customWidth="1"/>
    <col min="2054" max="2054" width="9.6640625" style="43" customWidth="1"/>
    <col min="2055" max="2055" width="10" style="43" customWidth="1"/>
    <col min="2056" max="2303" width="8.83203125" style="43"/>
    <col min="2304" max="2304" width="5.6640625" style="43" customWidth="1"/>
    <col min="2305" max="2305" width="46.1640625" style="43" customWidth="1"/>
    <col min="2306" max="2306" width="10.1640625" style="43" customWidth="1"/>
    <col min="2307" max="2307" width="8.83203125" style="43" customWidth="1"/>
    <col min="2308" max="2308" width="9.5" style="43" customWidth="1"/>
    <col min="2309" max="2309" width="10" style="43" customWidth="1"/>
    <col min="2310" max="2310" width="9.6640625" style="43" customWidth="1"/>
    <col min="2311" max="2311" width="10" style="43" customWidth="1"/>
    <col min="2312" max="2559" width="8.83203125" style="43"/>
    <col min="2560" max="2560" width="5.6640625" style="43" customWidth="1"/>
    <col min="2561" max="2561" width="46.1640625" style="43" customWidth="1"/>
    <col min="2562" max="2562" width="10.1640625" style="43" customWidth="1"/>
    <col min="2563" max="2563" width="8.83203125" style="43" customWidth="1"/>
    <col min="2564" max="2564" width="9.5" style="43" customWidth="1"/>
    <col min="2565" max="2565" width="10" style="43" customWidth="1"/>
    <col min="2566" max="2566" width="9.6640625" style="43" customWidth="1"/>
    <col min="2567" max="2567" width="10" style="43" customWidth="1"/>
    <col min="2568" max="2815" width="8.83203125" style="43"/>
    <col min="2816" max="2816" width="5.6640625" style="43" customWidth="1"/>
    <col min="2817" max="2817" width="46.1640625" style="43" customWidth="1"/>
    <col min="2818" max="2818" width="10.1640625" style="43" customWidth="1"/>
    <col min="2819" max="2819" width="8.83203125" style="43" customWidth="1"/>
    <col min="2820" max="2820" width="9.5" style="43" customWidth="1"/>
    <col min="2821" max="2821" width="10" style="43" customWidth="1"/>
    <col min="2822" max="2822" width="9.6640625" style="43" customWidth="1"/>
    <col min="2823" max="2823" width="10" style="43" customWidth="1"/>
    <col min="2824" max="3071" width="8.83203125" style="43"/>
    <col min="3072" max="3072" width="5.6640625" style="43" customWidth="1"/>
    <col min="3073" max="3073" width="46.1640625" style="43" customWidth="1"/>
    <col min="3074" max="3074" width="10.1640625" style="43" customWidth="1"/>
    <col min="3075" max="3075" width="8.83203125" style="43" customWidth="1"/>
    <col min="3076" max="3076" width="9.5" style="43" customWidth="1"/>
    <col min="3077" max="3077" width="10" style="43" customWidth="1"/>
    <col min="3078" max="3078" width="9.6640625" style="43" customWidth="1"/>
    <col min="3079" max="3079" width="10" style="43" customWidth="1"/>
    <col min="3080" max="3327" width="8.83203125" style="43"/>
    <col min="3328" max="3328" width="5.6640625" style="43" customWidth="1"/>
    <col min="3329" max="3329" width="46.1640625" style="43" customWidth="1"/>
    <col min="3330" max="3330" width="10.1640625" style="43" customWidth="1"/>
    <col min="3331" max="3331" width="8.83203125" style="43" customWidth="1"/>
    <col min="3332" max="3332" width="9.5" style="43" customWidth="1"/>
    <col min="3333" max="3333" width="10" style="43" customWidth="1"/>
    <col min="3334" max="3334" width="9.6640625" style="43" customWidth="1"/>
    <col min="3335" max="3335" width="10" style="43" customWidth="1"/>
    <col min="3336" max="3583" width="8.83203125" style="43"/>
    <col min="3584" max="3584" width="5.6640625" style="43" customWidth="1"/>
    <col min="3585" max="3585" width="46.1640625" style="43" customWidth="1"/>
    <col min="3586" max="3586" width="10.1640625" style="43" customWidth="1"/>
    <col min="3587" max="3587" width="8.83203125" style="43" customWidth="1"/>
    <col min="3588" max="3588" width="9.5" style="43" customWidth="1"/>
    <col min="3589" max="3589" width="10" style="43" customWidth="1"/>
    <col min="3590" max="3590" width="9.6640625" style="43" customWidth="1"/>
    <col min="3591" max="3591" width="10" style="43" customWidth="1"/>
    <col min="3592" max="3839" width="8.83203125" style="43"/>
    <col min="3840" max="3840" width="5.6640625" style="43" customWidth="1"/>
    <col min="3841" max="3841" width="46.1640625" style="43" customWidth="1"/>
    <col min="3842" max="3842" width="10.1640625" style="43" customWidth="1"/>
    <col min="3843" max="3843" width="8.83203125" style="43" customWidth="1"/>
    <col min="3844" max="3844" width="9.5" style="43" customWidth="1"/>
    <col min="3845" max="3845" width="10" style="43" customWidth="1"/>
    <col min="3846" max="3846" width="9.6640625" style="43" customWidth="1"/>
    <col min="3847" max="3847" width="10" style="43" customWidth="1"/>
    <col min="3848" max="4095" width="8.83203125" style="43"/>
    <col min="4096" max="4096" width="5.6640625" style="43" customWidth="1"/>
    <col min="4097" max="4097" width="46.1640625" style="43" customWidth="1"/>
    <col min="4098" max="4098" width="10.1640625" style="43" customWidth="1"/>
    <col min="4099" max="4099" width="8.83203125" style="43" customWidth="1"/>
    <col min="4100" max="4100" width="9.5" style="43" customWidth="1"/>
    <col min="4101" max="4101" width="10" style="43" customWidth="1"/>
    <col min="4102" max="4102" width="9.6640625" style="43" customWidth="1"/>
    <col min="4103" max="4103" width="10" style="43" customWidth="1"/>
    <col min="4104" max="4351" width="8.83203125" style="43"/>
    <col min="4352" max="4352" width="5.6640625" style="43" customWidth="1"/>
    <col min="4353" max="4353" width="46.1640625" style="43" customWidth="1"/>
    <col min="4354" max="4354" width="10.1640625" style="43" customWidth="1"/>
    <col min="4355" max="4355" width="8.83203125" style="43" customWidth="1"/>
    <col min="4356" max="4356" width="9.5" style="43" customWidth="1"/>
    <col min="4357" max="4357" width="10" style="43" customWidth="1"/>
    <col min="4358" max="4358" width="9.6640625" style="43" customWidth="1"/>
    <col min="4359" max="4359" width="10" style="43" customWidth="1"/>
    <col min="4360" max="4607" width="8.83203125" style="43"/>
    <col min="4608" max="4608" width="5.6640625" style="43" customWidth="1"/>
    <col min="4609" max="4609" width="46.1640625" style="43" customWidth="1"/>
    <col min="4610" max="4610" width="10.1640625" style="43" customWidth="1"/>
    <col min="4611" max="4611" width="8.83203125" style="43" customWidth="1"/>
    <col min="4612" max="4612" width="9.5" style="43" customWidth="1"/>
    <col min="4613" max="4613" width="10" style="43" customWidth="1"/>
    <col min="4614" max="4614" width="9.6640625" style="43" customWidth="1"/>
    <col min="4615" max="4615" width="10" style="43" customWidth="1"/>
    <col min="4616" max="4863" width="8.83203125" style="43"/>
    <col min="4864" max="4864" width="5.6640625" style="43" customWidth="1"/>
    <col min="4865" max="4865" width="46.1640625" style="43" customWidth="1"/>
    <col min="4866" max="4866" width="10.1640625" style="43" customWidth="1"/>
    <col min="4867" max="4867" width="8.83203125" style="43" customWidth="1"/>
    <col min="4868" max="4868" width="9.5" style="43" customWidth="1"/>
    <col min="4869" max="4869" width="10" style="43" customWidth="1"/>
    <col min="4870" max="4870" width="9.6640625" style="43" customWidth="1"/>
    <col min="4871" max="4871" width="10" style="43" customWidth="1"/>
    <col min="4872" max="5119" width="8.83203125" style="43"/>
    <col min="5120" max="5120" width="5.6640625" style="43" customWidth="1"/>
    <col min="5121" max="5121" width="46.1640625" style="43" customWidth="1"/>
    <col min="5122" max="5122" width="10.1640625" style="43" customWidth="1"/>
    <col min="5123" max="5123" width="8.83203125" style="43" customWidth="1"/>
    <col min="5124" max="5124" width="9.5" style="43" customWidth="1"/>
    <col min="5125" max="5125" width="10" style="43" customWidth="1"/>
    <col min="5126" max="5126" width="9.6640625" style="43" customWidth="1"/>
    <col min="5127" max="5127" width="10" style="43" customWidth="1"/>
    <col min="5128" max="5375" width="8.83203125" style="43"/>
    <col min="5376" max="5376" width="5.6640625" style="43" customWidth="1"/>
    <col min="5377" max="5377" width="46.1640625" style="43" customWidth="1"/>
    <col min="5378" max="5378" width="10.1640625" style="43" customWidth="1"/>
    <col min="5379" max="5379" width="8.83203125" style="43" customWidth="1"/>
    <col min="5380" max="5380" width="9.5" style="43" customWidth="1"/>
    <col min="5381" max="5381" width="10" style="43" customWidth="1"/>
    <col min="5382" max="5382" width="9.6640625" style="43" customWidth="1"/>
    <col min="5383" max="5383" width="10" style="43" customWidth="1"/>
    <col min="5384" max="5631" width="8.83203125" style="43"/>
    <col min="5632" max="5632" width="5.6640625" style="43" customWidth="1"/>
    <col min="5633" max="5633" width="46.1640625" style="43" customWidth="1"/>
    <col min="5634" max="5634" width="10.1640625" style="43" customWidth="1"/>
    <col min="5635" max="5635" width="8.83203125" style="43" customWidth="1"/>
    <col min="5636" max="5636" width="9.5" style="43" customWidth="1"/>
    <col min="5637" max="5637" width="10" style="43" customWidth="1"/>
    <col min="5638" max="5638" width="9.6640625" style="43" customWidth="1"/>
    <col min="5639" max="5639" width="10" style="43" customWidth="1"/>
    <col min="5640" max="5887" width="8.83203125" style="43"/>
    <col min="5888" max="5888" width="5.6640625" style="43" customWidth="1"/>
    <col min="5889" max="5889" width="46.1640625" style="43" customWidth="1"/>
    <col min="5890" max="5890" width="10.1640625" style="43" customWidth="1"/>
    <col min="5891" max="5891" width="8.83203125" style="43" customWidth="1"/>
    <col min="5892" max="5892" width="9.5" style="43" customWidth="1"/>
    <col min="5893" max="5893" width="10" style="43" customWidth="1"/>
    <col min="5894" max="5894" width="9.6640625" style="43" customWidth="1"/>
    <col min="5895" max="5895" width="10" style="43" customWidth="1"/>
    <col min="5896" max="6143" width="8.83203125" style="43"/>
    <col min="6144" max="6144" width="5.6640625" style="43" customWidth="1"/>
    <col min="6145" max="6145" width="46.1640625" style="43" customWidth="1"/>
    <col min="6146" max="6146" width="10.1640625" style="43" customWidth="1"/>
    <col min="6147" max="6147" width="8.83203125" style="43" customWidth="1"/>
    <col min="6148" max="6148" width="9.5" style="43" customWidth="1"/>
    <col min="6149" max="6149" width="10" style="43" customWidth="1"/>
    <col min="6150" max="6150" width="9.6640625" style="43" customWidth="1"/>
    <col min="6151" max="6151" width="10" style="43" customWidth="1"/>
    <col min="6152" max="6399" width="8.83203125" style="43"/>
    <col min="6400" max="6400" width="5.6640625" style="43" customWidth="1"/>
    <col min="6401" max="6401" width="46.1640625" style="43" customWidth="1"/>
    <col min="6402" max="6402" width="10.1640625" style="43" customWidth="1"/>
    <col min="6403" max="6403" width="8.83203125" style="43" customWidth="1"/>
    <col min="6404" max="6404" width="9.5" style="43" customWidth="1"/>
    <col min="6405" max="6405" width="10" style="43" customWidth="1"/>
    <col min="6406" max="6406" width="9.6640625" style="43" customWidth="1"/>
    <col min="6407" max="6407" width="10" style="43" customWidth="1"/>
    <col min="6408" max="6655" width="8.83203125" style="43"/>
    <col min="6656" max="6656" width="5.6640625" style="43" customWidth="1"/>
    <col min="6657" max="6657" width="46.1640625" style="43" customWidth="1"/>
    <col min="6658" max="6658" width="10.1640625" style="43" customWidth="1"/>
    <col min="6659" max="6659" width="8.83203125" style="43" customWidth="1"/>
    <col min="6660" max="6660" width="9.5" style="43" customWidth="1"/>
    <col min="6661" max="6661" width="10" style="43" customWidth="1"/>
    <col min="6662" max="6662" width="9.6640625" style="43" customWidth="1"/>
    <col min="6663" max="6663" width="10" style="43" customWidth="1"/>
    <col min="6664" max="6911" width="8.83203125" style="43"/>
    <col min="6912" max="6912" width="5.6640625" style="43" customWidth="1"/>
    <col min="6913" max="6913" width="46.1640625" style="43" customWidth="1"/>
    <col min="6914" max="6914" width="10.1640625" style="43" customWidth="1"/>
    <col min="6915" max="6915" width="8.83203125" style="43" customWidth="1"/>
    <col min="6916" max="6916" width="9.5" style="43" customWidth="1"/>
    <col min="6917" max="6917" width="10" style="43" customWidth="1"/>
    <col min="6918" max="6918" width="9.6640625" style="43" customWidth="1"/>
    <col min="6919" max="6919" width="10" style="43" customWidth="1"/>
    <col min="6920" max="7167" width="8.83203125" style="43"/>
    <col min="7168" max="7168" width="5.6640625" style="43" customWidth="1"/>
    <col min="7169" max="7169" width="46.1640625" style="43" customWidth="1"/>
    <col min="7170" max="7170" width="10.1640625" style="43" customWidth="1"/>
    <col min="7171" max="7171" width="8.83203125" style="43" customWidth="1"/>
    <col min="7172" max="7172" width="9.5" style="43" customWidth="1"/>
    <col min="7173" max="7173" width="10" style="43" customWidth="1"/>
    <col min="7174" max="7174" width="9.6640625" style="43" customWidth="1"/>
    <col min="7175" max="7175" width="10" style="43" customWidth="1"/>
    <col min="7176" max="7423" width="8.83203125" style="43"/>
    <col min="7424" max="7424" width="5.6640625" style="43" customWidth="1"/>
    <col min="7425" max="7425" width="46.1640625" style="43" customWidth="1"/>
    <col min="7426" max="7426" width="10.1640625" style="43" customWidth="1"/>
    <col min="7427" max="7427" width="8.83203125" style="43" customWidth="1"/>
    <col min="7428" max="7428" width="9.5" style="43" customWidth="1"/>
    <col min="7429" max="7429" width="10" style="43" customWidth="1"/>
    <col min="7430" max="7430" width="9.6640625" style="43" customWidth="1"/>
    <col min="7431" max="7431" width="10" style="43" customWidth="1"/>
    <col min="7432" max="7679" width="8.83203125" style="43"/>
    <col min="7680" max="7680" width="5.6640625" style="43" customWidth="1"/>
    <col min="7681" max="7681" width="46.1640625" style="43" customWidth="1"/>
    <col min="7682" max="7682" width="10.1640625" style="43" customWidth="1"/>
    <col min="7683" max="7683" width="8.83203125" style="43" customWidth="1"/>
    <col min="7684" max="7684" width="9.5" style="43" customWidth="1"/>
    <col min="7685" max="7685" width="10" style="43" customWidth="1"/>
    <col min="7686" max="7686" width="9.6640625" style="43" customWidth="1"/>
    <col min="7687" max="7687" width="10" style="43" customWidth="1"/>
    <col min="7688" max="7935" width="8.83203125" style="43"/>
    <col min="7936" max="7936" width="5.6640625" style="43" customWidth="1"/>
    <col min="7937" max="7937" width="46.1640625" style="43" customWidth="1"/>
    <col min="7938" max="7938" width="10.1640625" style="43" customWidth="1"/>
    <col min="7939" max="7939" width="8.83203125" style="43" customWidth="1"/>
    <col min="7940" max="7940" width="9.5" style="43" customWidth="1"/>
    <col min="7941" max="7941" width="10" style="43" customWidth="1"/>
    <col min="7942" max="7942" width="9.6640625" style="43" customWidth="1"/>
    <col min="7943" max="7943" width="10" style="43" customWidth="1"/>
    <col min="7944" max="8191" width="8.83203125" style="43"/>
    <col min="8192" max="8192" width="5.6640625" style="43" customWidth="1"/>
    <col min="8193" max="8193" width="46.1640625" style="43" customWidth="1"/>
    <col min="8194" max="8194" width="10.1640625" style="43" customWidth="1"/>
    <col min="8195" max="8195" width="8.83203125" style="43" customWidth="1"/>
    <col min="8196" max="8196" width="9.5" style="43" customWidth="1"/>
    <col min="8197" max="8197" width="10" style="43" customWidth="1"/>
    <col min="8198" max="8198" width="9.6640625" style="43" customWidth="1"/>
    <col min="8199" max="8199" width="10" style="43" customWidth="1"/>
    <col min="8200" max="8447" width="8.83203125" style="43"/>
    <col min="8448" max="8448" width="5.6640625" style="43" customWidth="1"/>
    <col min="8449" max="8449" width="46.1640625" style="43" customWidth="1"/>
    <col min="8450" max="8450" width="10.1640625" style="43" customWidth="1"/>
    <col min="8451" max="8451" width="8.83203125" style="43" customWidth="1"/>
    <col min="8452" max="8452" width="9.5" style="43" customWidth="1"/>
    <col min="8453" max="8453" width="10" style="43" customWidth="1"/>
    <col min="8454" max="8454" width="9.6640625" style="43" customWidth="1"/>
    <col min="8455" max="8455" width="10" style="43" customWidth="1"/>
    <col min="8456" max="8703" width="8.83203125" style="43"/>
    <col min="8704" max="8704" width="5.6640625" style="43" customWidth="1"/>
    <col min="8705" max="8705" width="46.1640625" style="43" customWidth="1"/>
    <col min="8706" max="8706" width="10.1640625" style="43" customWidth="1"/>
    <col min="8707" max="8707" width="8.83203125" style="43" customWidth="1"/>
    <col min="8708" max="8708" width="9.5" style="43" customWidth="1"/>
    <col min="8709" max="8709" width="10" style="43" customWidth="1"/>
    <col min="8710" max="8710" width="9.6640625" style="43" customWidth="1"/>
    <col min="8711" max="8711" width="10" style="43" customWidth="1"/>
    <col min="8712" max="8959" width="8.83203125" style="43"/>
    <col min="8960" max="8960" width="5.6640625" style="43" customWidth="1"/>
    <col min="8961" max="8961" width="46.1640625" style="43" customWidth="1"/>
    <col min="8962" max="8962" width="10.1640625" style="43" customWidth="1"/>
    <col min="8963" max="8963" width="8.83203125" style="43" customWidth="1"/>
    <col min="8964" max="8964" width="9.5" style="43" customWidth="1"/>
    <col min="8965" max="8965" width="10" style="43" customWidth="1"/>
    <col min="8966" max="8966" width="9.6640625" style="43" customWidth="1"/>
    <col min="8967" max="8967" width="10" style="43" customWidth="1"/>
    <col min="8968" max="9215" width="8.83203125" style="43"/>
    <col min="9216" max="9216" width="5.6640625" style="43" customWidth="1"/>
    <col min="9217" max="9217" width="46.1640625" style="43" customWidth="1"/>
    <col min="9218" max="9218" width="10.1640625" style="43" customWidth="1"/>
    <col min="9219" max="9219" width="8.83203125" style="43" customWidth="1"/>
    <col min="9220" max="9220" width="9.5" style="43" customWidth="1"/>
    <col min="9221" max="9221" width="10" style="43" customWidth="1"/>
    <col min="9222" max="9222" width="9.6640625" style="43" customWidth="1"/>
    <col min="9223" max="9223" width="10" style="43" customWidth="1"/>
    <col min="9224" max="9471" width="8.83203125" style="43"/>
    <col min="9472" max="9472" width="5.6640625" style="43" customWidth="1"/>
    <col min="9473" max="9473" width="46.1640625" style="43" customWidth="1"/>
    <col min="9474" max="9474" width="10.1640625" style="43" customWidth="1"/>
    <col min="9475" max="9475" width="8.83203125" style="43" customWidth="1"/>
    <col min="9476" max="9476" width="9.5" style="43" customWidth="1"/>
    <col min="9477" max="9477" width="10" style="43" customWidth="1"/>
    <col min="9478" max="9478" width="9.6640625" style="43" customWidth="1"/>
    <col min="9479" max="9479" width="10" style="43" customWidth="1"/>
    <col min="9480" max="9727" width="8.83203125" style="43"/>
    <col min="9728" max="9728" width="5.6640625" style="43" customWidth="1"/>
    <col min="9729" max="9729" width="46.1640625" style="43" customWidth="1"/>
    <col min="9730" max="9730" width="10.1640625" style="43" customWidth="1"/>
    <col min="9731" max="9731" width="8.83203125" style="43" customWidth="1"/>
    <col min="9732" max="9732" width="9.5" style="43" customWidth="1"/>
    <col min="9733" max="9733" width="10" style="43" customWidth="1"/>
    <col min="9734" max="9734" width="9.6640625" style="43" customWidth="1"/>
    <col min="9735" max="9735" width="10" style="43" customWidth="1"/>
    <col min="9736" max="9983" width="8.83203125" style="43"/>
    <col min="9984" max="9984" width="5.6640625" style="43" customWidth="1"/>
    <col min="9985" max="9985" width="46.1640625" style="43" customWidth="1"/>
    <col min="9986" max="9986" width="10.1640625" style="43" customWidth="1"/>
    <col min="9987" max="9987" width="8.83203125" style="43" customWidth="1"/>
    <col min="9988" max="9988" width="9.5" style="43" customWidth="1"/>
    <col min="9989" max="9989" width="10" style="43" customWidth="1"/>
    <col min="9990" max="9990" width="9.6640625" style="43" customWidth="1"/>
    <col min="9991" max="9991" width="10" style="43" customWidth="1"/>
    <col min="9992" max="10239" width="8.83203125" style="43"/>
    <col min="10240" max="10240" width="5.6640625" style="43" customWidth="1"/>
    <col min="10241" max="10241" width="46.1640625" style="43" customWidth="1"/>
    <col min="10242" max="10242" width="10.1640625" style="43" customWidth="1"/>
    <col min="10243" max="10243" width="8.83203125" style="43" customWidth="1"/>
    <col min="10244" max="10244" width="9.5" style="43" customWidth="1"/>
    <col min="10245" max="10245" width="10" style="43" customWidth="1"/>
    <col min="10246" max="10246" width="9.6640625" style="43" customWidth="1"/>
    <col min="10247" max="10247" width="10" style="43" customWidth="1"/>
    <col min="10248" max="10495" width="8.83203125" style="43"/>
    <col min="10496" max="10496" width="5.6640625" style="43" customWidth="1"/>
    <col min="10497" max="10497" width="46.1640625" style="43" customWidth="1"/>
    <col min="10498" max="10498" width="10.1640625" style="43" customWidth="1"/>
    <col min="10499" max="10499" width="8.83203125" style="43" customWidth="1"/>
    <col min="10500" max="10500" width="9.5" style="43" customWidth="1"/>
    <col min="10501" max="10501" width="10" style="43" customWidth="1"/>
    <col min="10502" max="10502" width="9.6640625" style="43" customWidth="1"/>
    <col min="10503" max="10503" width="10" style="43" customWidth="1"/>
    <col min="10504" max="10751" width="8.83203125" style="43"/>
    <col min="10752" max="10752" width="5.6640625" style="43" customWidth="1"/>
    <col min="10753" max="10753" width="46.1640625" style="43" customWidth="1"/>
    <col min="10754" max="10754" width="10.1640625" style="43" customWidth="1"/>
    <col min="10755" max="10755" width="8.83203125" style="43" customWidth="1"/>
    <col min="10756" max="10756" width="9.5" style="43" customWidth="1"/>
    <col min="10757" max="10757" width="10" style="43" customWidth="1"/>
    <col min="10758" max="10758" width="9.6640625" style="43" customWidth="1"/>
    <col min="10759" max="10759" width="10" style="43" customWidth="1"/>
    <col min="10760" max="11007" width="8.83203125" style="43"/>
    <col min="11008" max="11008" width="5.6640625" style="43" customWidth="1"/>
    <col min="11009" max="11009" width="46.1640625" style="43" customWidth="1"/>
    <col min="11010" max="11010" width="10.1640625" style="43" customWidth="1"/>
    <col min="11011" max="11011" width="8.83203125" style="43" customWidth="1"/>
    <col min="11012" max="11012" width="9.5" style="43" customWidth="1"/>
    <col min="11013" max="11013" width="10" style="43" customWidth="1"/>
    <col min="11014" max="11014" width="9.6640625" style="43" customWidth="1"/>
    <col min="11015" max="11015" width="10" style="43" customWidth="1"/>
    <col min="11016" max="11263" width="8.83203125" style="43"/>
    <col min="11264" max="11264" width="5.6640625" style="43" customWidth="1"/>
    <col min="11265" max="11265" width="46.1640625" style="43" customWidth="1"/>
    <col min="11266" max="11266" width="10.1640625" style="43" customWidth="1"/>
    <col min="11267" max="11267" width="8.83203125" style="43" customWidth="1"/>
    <col min="11268" max="11268" width="9.5" style="43" customWidth="1"/>
    <col min="11269" max="11269" width="10" style="43" customWidth="1"/>
    <col min="11270" max="11270" width="9.6640625" style="43" customWidth="1"/>
    <col min="11271" max="11271" width="10" style="43" customWidth="1"/>
    <col min="11272" max="11519" width="8.83203125" style="43"/>
    <col min="11520" max="11520" width="5.6640625" style="43" customWidth="1"/>
    <col min="11521" max="11521" width="46.1640625" style="43" customWidth="1"/>
    <col min="11522" max="11522" width="10.1640625" style="43" customWidth="1"/>
    <col min="11523" max="11523" width="8.83203125" style="43" customWidth="1"/>
    <col min="11524" max="11524" width="9.5" style="43" customWidth="1"/>
    <col min="11525" max="11525" width="10" style="43" customWidth="1"/>
    <col min="11526" max="11526" width="9.6640625" style="43" customWidth="1"/>
    <col min="11527" max="11527" width="10" style="43" customWidth="1"/>
    <col min="11528" max="11775" width="8.83203125" style="43"/>
    <col min="11776" max="11776" width="5.6640625" style="43" customWidth="1"/>
    <col min="11777" max="11777" width="46.1640625" style="43" customWidth="1"/>
    <col min="11778" max="11778" width="10.1640625" style="43" customWidth="1"/>
    <col min="11779" max="11779" width="8.83203125" style="43" customWidth="1"/>
    <col min="11780" max="11780" width="9.5" style="43" customWidth="1"/>
    <col min="11781" max="11781" width="10" style="43" customWidth="1"/>
    <col min="11782" max="11782" width="9.6640625" style="43" customWidth="1"/>
    <col min="11783" max="11783" width="10" style="43" customWidth="1"/>
    <col min="11784" max="12031" width="8.83203125" style="43"/>
    <col min="12032" max="12032" width="5.6640625" style="43" customWidth="1"/>
    <col min="12033" max="12033" width="46.1640625" style="43" customWidth="1"/>
    <col min="12034" max="12034" width="10.1640625" style="43" customWidth="1"/>
    <col min="12035" max="12035" width="8.83203125" style="43" customWidth="1"/>
    <col min="12036" max="12036" width="9.5" style="43" customWidth="1"/>
    <col min="12037" max="12037" width="10" style="43" customWidth="1"/>
    <col min="12038" max="12038" width="9.6640625" style="43" customWidth="1"/>
    <col min="12039" max="12039" width="10" style="43" customWidth="1"/>
    <col min="12040" max="12287" width="8.83203125" style="43"/>
    <col min="12288" max="12288" width="5.6640625" style="43" customWidth="1"/>
    <col min="12289" max="12289" width="46.1640625" style="43" customWidth="1"/>
    <col min="12290" max="12290" width="10.1640625" style="43" customWidth="1"/>
    <col min="12291" max="12291" width="8.83203125" style="43" customWidth="1"/>
    <col min="12292" max="12292" width="9.5" style="43" customWidth="1"/>
    <col min="12293" max="12293" width="10" style="43" customWidth="1"/>
    <col min="12294" max="12294" width="9.6640625" style="43" customWidth="1"/>
    <col min="12295" max="12295" width="10" style="43" customWidth="1"/>
    <col min="12296" max="12543" width="8.83203125" style="43"/>
    <col min="12544" max="12544" width="5.6640625" style="43" customWidth="1"/>
    <col min="12545" max="12545" width="46.1640625" style="43" customWidth="1"/>
    <col min="12546" max="12546" width="10.1640625" style="43" customWidth="1"/>
    <col min="12547" max="12547" width="8.83203125" style="43" customWidth="1"/>
    <col min="12548" max="12548" width="9.5" style="43" customWidth="1"/>
    <col min="12549" max="12549" width="10" style="43" customWidth="1"/>
    <col min="12550" max="12550" width="9.6640625" style="43" customWidth="1"/>
    <col min="12551" max="12551" width="10" style="43" customWidth="1"/>
    <col min="12552" max="12799" width="8.83203125" style="43"/>
    <col min="12800" max="12800" width="5.6640625" style="43" customWidth="1"/>
    <col min="12801" max="12801" width="46.1640625" style="43" customWidth="1"/>
    <col min="12802" max="12802" width="10.1640625" style="43" customWidth="1"/>
    <col min="12803" max="12803" width="8.83203125" style="43" customWidth="1"/>
    <col min="12804" max="12804" width="9.5" style="43" customWidth="1"/>
    <col min="12805" max="12805" width="10" style="43" customWidth="1"/>
    <col min="12806" max="12806" width="9.6640625" style="43" customWidth="1"/>
    <col min="12807" max="12807" width="10" style="43" customWidth="1"/>
    <col min="12808" max="13055" width="8.83203125" style="43"/>
    <col min="13056" max="13056" width="5.6640625" style="43" customWidth="1"/>
    <col min="13057" max="13057" width="46.1640625" style="43" customWidth="1"/>
    <col min="13058" max="13058" width="10.1640625" style="43" customWidth="1"/>
    <col min="13059" max="13059" width="8.83203125" style="43" customWidth="1"/>
    <col min="13060" max="13060" width="9.5" style="43" customWidth="1"/>
    <col min="13061" max="13061" width="10" style="43" customWidth="1"/>
    <col min="13062" max="13062" width="9.6640625" style="43" customWidth="1"/>
    <col min="13063" max="13063" width="10" style="43" customWidth="1"/>
    <col min="13064" max="13311" width="8.83203125" style="43"/>
    <col min="13312" max="13312" width="5.6640625" style="43" customWidth="1"/>
    <col min="13313" max="13313" width="46.1640625" style="43" customWidth="1"/>
    <col min="13314" max="13314" width="10.1640625" style="43" customWidth="1"/>
    <col min="13315" max="13315" width="8.83203125" style="43" customWidth="1"/>
    <col min="13316" max="13316" width="9.5" style="43" customWidth="1"/>
    <col min="13317" max="13317" width="10" style="43" customWidth="1"/>
    <col min="13318" max="13318" width="9.6640625" style="43" customWidth="1"/>
    <col min="13319" max="13319" width="10" style="43" customWidth="1"/>
    <col min="13320" max="13567" width="8.83203125" style="43"/>
    <col min="13568" max="13568" width="5.6640625" style="43" customWidth="1"/>
    <col min="13569" max="13569" width="46.1640625" style="43" customWidth="1"/>
    <col min="13570" max="13570" width="10.1640625" style="43" customWidth="1"/>
    <col min="13571" max="13571" width="8.83203125" style="43" customWidth="1"/>
    <col min="13572" max="13572" width="9.5" style="43" customWidth="1"/>
    <col min="13573" max="13573" width="10" style="43" customWidth="1"/>
    <col min="13574" max="13574" width="9.6640625" style="43" customWidth="1"/>
    <col min="13575" max="13575" width="10" style="43" customWidth="1"/>
    <col min="13576" max="13823" width="8.83203125" style="43"/>
    <col min="13824" max="13824" width="5.6640625" style="43" customWidth="1"/>
    <col min="13825" max="13825" width="46.1640625" style="43" customWidth="1"/>
    <col min="13826" max="13826" width="10.1640625" style="43" customWidth="1"/>
    <col min="13827" max="13827" width="8.83203125" style="43" customWidth="1"/>
    <col min="13828" max="13828" width="9.5" style="43" customWidth="1"/>
    <col min="13829" max="13829" width="10" style="43" customWidth="1"/>
    <col min="13830" max="13830" width="9.6640625" style="43" customWidth="1"/>
    <col min="13831" max="13831" width="10" style="43" customWidth="1"/>
    <col min="13832" max="14079" width="8.83203125" style="43"/>
    <col min="14080" max="14080" width="5.6640625" style="43" customWidth="1"/>
    <col min="14081" max="14081" width="46.1640625" style="43" customWidth="1"/>
    <col min="14082" max="14082" width="10.1640625" style="43" customWidth="1"/>
    <col min="14083" max="14083" width="8.83203125" style="43" customWidth="1"/>
    <col min="14084" max="14084" width="9.5" style="43" customWidth="1"/>
    <col min="14085" max="14085" width="10" style="43" customWidth="1"/>
    <col min="14086" max="14086" width="9.6640625" style="43" customWidth="1"/>
    <col min="14087" max="14087" width="10" style="43" customWidth="1"/>
    <col min="14088" max="14335" width="8.83203125" style="43"/>
    <col min="14336" max="14336" width="5.6640625" style="43" customWidth="1"/>
    <col min="14337" max="14337" width="46.1640625" style="43" customWidth="1"/>
    <col min="14338" max="14338" width="10.1640625" style="43" customWidth="1"/>
    <col min="14339" max="14339" width="8.83203125" style="43" customWidth="1"/>
    <col min="14340" max="14340" width="9.5" style="43" customWidth="1"/>
    <col min="14341" max="14341" width="10" style="43" customWidth="1"/>
    <col min="14342" max="14342" width="9.6640625" style="43" customWidth="1"/>
    <col min="14343" max="14343" width="10" style="43" customWidth="1"/>
    <col min="14344" max="14591" width="8.83203125" style="43"/>
    <col min="14592" max="14592" width="5.6640625" style="43" customWidth="1"/>
    <col min="14593" max="14593" width="46.1640625" style="43" customWidth="1"/>
    <col min="14594" max="14594" width="10.1640625" style="43" customWidth="1"/>
    <col min="14595" max="14595" width="8.83203125" style="43" customWidth="1"/>
    <col min="14596" max="14596" width="9.5" style="43" customWidth="1"/>
    <col min="14597" max="14597" width="10" style="43" customWidth="1"/>
    <col min="14598" max="14598" width="9.6640625" style="43" customWidth="1"/>
    <col min="14599" max="14599" width="10" style="43" customWidth="1"/>
    <col min="14600" max="14847" width="8.83203125" style="43"/>
    <col min="14848" max="14848" width="5.6640625" style="43" customWidth="1"/>
    <col min="14849" max="14849" width="46.1640625" style="43" customWidth="1"/>
    <col min="14850" max="14850" width="10.1640625" style="43" customWidth="1"/>
    <col min="14851" max="14851" width="8.83203125" style="43" customWidth="1"/>
    <col min="14852" max="14852" width="9.5" style="43" customWidth="1"/>
    <col min="14853" max="14853" width="10" style="43" customWidth="1"/>
    <col min="14854" max="14854" width="9.6640625" style="43" customWidth="1"/>
    <col min="14855" max="14855" width="10" style="43" customWidth="1"/>
    <col min="14856" max="15103" width="8.83203125" style="43"/>
    <col min="15104" max="15104" width="5.6640625" style="43" customWidth="1"/>
    <col min="15105" max="15105" width="46.1640625" style="43" customWidth="1"/>
    <col min="15106" max="15106" width="10.1640625" style="43" customWidth="1"/>
    <col min="15107" max="15107" width="8.83203125" style="43" customWidth="1"/>
    <col min="15108" max="15108" width="9.5" style="43" customWidth="1"/>
    <col min="15109" max="15109" width="10" style="43" customWidth="1"/>
    <col min="15110" max="15110" width="9.6640625" style="43" customWidth="1"/>
    <col min="15111" max="15111" width="10" style="43" customWidth="1"/>
    <col min="15112" max="15359" width="8.83203125" style="43"/>
    <col min="15360" max="15360" width="5.6640625" style="43" customWidth="1"/>
    <col min="15361" max="15361" width="46.1640625" style="43" customWidth="1"/>
    <col min="15362" max="15362" width="10.1640625" style="43" customWidth="1"/>
    <col min="15363" max="15363" width="8.83203125" style="43" customWidth="1"/>
    <col min="15364" max="15364" width="9.5" style="43" customWidth="1"/>
    <col min="15365" max="15365" width="10" style="43" customWidth="1"/>
    <col min="15366" max="15366" width="9.6640625" style="43" customWidth="1"/>
    <col min="15367" max="15367" width="10" style="43" customWidth="1"/>
    <col min="15368" max="15615" width="8.83203125" style="43"/>
    <col min="15616" max="15616" width="5.6640625" style="43" customWidth="1"/>
    <col min="15617" max="15617" width="46.1640625" style="43" customWidth="1"/>
    <col min="15618" max="15618" width="10.1640625" style="43" customWidth="1"/>
    <col min="15619" max="15619" width="8.83203125" style="43" customWidth="1"/>
    <col min="15620" max="15620" width="9.5" style="43" customWidth="1"/>
    <col min="15621" max="15621" width="10" style="43" customWidth="1"/>
    <col min="15622" max="15622" width="9.6640625" style="43" customWidth="1"/>
    <col min="15623" max="15623" width="10" style="43" customWidth="1"/>
    <col min="15624" max="15871" width="8.83203125" style="43"/>
    <col min="15872" max="15872" width="5.6640625" style="43" customWidth="1"/>
    <col min="15873" max="15873" width="46.1640625" style="43" customWidth="1"/>
    <col min="15874" max="15874" width="10.1640625" style="43" customWidth="1"/>
    <col min="15875" max="15875" width="8.83203125" style="43" customWidth="1"/>
    <col min="15876" max="15876" width="9.5" style="43" customWidth="1"/>
    <col min="15877" max="15877" width="10" style="43" customWidth="1"/>
    <col min="15878" max="15878" width="9.6640625" style="43" customWidth="1"/>
    <col min="15879" max="15879" width="10" style="43" customWidth="1"/>
    <col min="15880" max="16127" width="8.83203125" style="43"/>
    <col min="16128" max="16128" width="5.6640625" style="43" customWidth="1"/>
    <col min="16129" max="16129" width="46.1640625" style="43" customWidth="1"/>
    <col min="16130" max="16130" width="10.1640625" style="43" customWidth="1"/>
    <col min="16131" max="16131" width="8.83203125" style="43" customWidth="1"/>
    <col min="16132" max="16132" width="9.5" style="43" customWidth="1"/>
    <col min="16133" max="16133" width="10" style="43" customWidth="1"/>
    <col min="16134" max="16134" width="9.6640625" style="43" customWidth="1"/>
    <col min="16135" max="16135" width="10" style="43" customWidth="1"/>
    <col min="16136" max="16384" width="8.83203125" style="43"/>
  </cols>
  <sheetData>
    <row r="1" spans="1:7" ht="29" thickBot="1" x14ac:dyDescent="0.2">
      <c r="A1" s="72" t="s">
        <v>467</v>
      </c>
      <c r="B1" s="72" t="s">
        <v>468</v>
      </c>
      <c r="C1" s="72" t="s">
        <v>461</v>
      </c>
      <c r="D1" s="72" t="s">
        <v>202</v>
      </c>
      <c r="E1" s="72" t="s">
        <v>20</v>
      </c>
      <c r="F1" s="73" t="s">
        <v>624</v>
      </c>
      <c r="G1" s="73" t="s">
        <v>625</v>
      </c>
    </row>
    <row r="2" spans="1:7" ht="29" thickBot="1" x14ac:dyDescent="0.2">
      <c r="A2" s="74">
        <v>1</v>
      </c>
      <c r="B2" s="59" t="s">
        <v>539</v>
      </c>
      <c r="C2" s="60" t="s">
        <v>513</v>
      </c>
      <c r="D2" s="61">
        <v>10</v>
      </c>
      <c r="E2" s="60" t="s">
        <v>469</v>
      </c>
      <c r="F2" s="62">
        <f>1500000/88</f>
        <v>17045.454545454544</v>
      </c>
      <c r="G2" s="387">
        <f t="shared" ref="G2:G12" si="0">F2*D2</f>
        <v>170454.54545454544</v>
      </c>
    </row>
    <row r="3" spans="1:7" ht="29" thickBot="1" x14ac:dyDescent="0.2">
      <c r="A3" s="74">
        <v>2</v>
      </c>
      <c r="B3" s="63" t="s">
        <v>514</v>
      </c>
      <c r="C3" s="64" t="s">
        <v>515</v>
      </c>
      <c r="D3" s="65">
        <v>5</v>
      </c>
      <c r="E3" s="64" t="s">
        <v>470</v>
      </c>
      <c r="F3" s="66">
        <f>800000/88</f>
        <v>9090.9090909090901</v>
      </c>
      <c r="G3" s="388">
        <f t="shared" si="0"/>
        <v>45454.545454545449</v>
      </c>
    </row>
    <row r="4" spans="1:7" ht="29" thickBot="1" x14ac:dyDescent="0.2">
      <c r="A4" s="74">
        <v>3</v>
      </c>
      <c r="B4" s="63" t="s">
        <v>660</v>
      </c>
      <c r="C4" s="64" t="s">
        <v>659</v>
      </c>
      <c r="D4" s="65">
        <v>60</v>
      </c>
      <c r="E4" s="64" t="str">
        <f>E2</f>
        <v xml:space="preserve">No. </v>
      </c>
      <c r="F4" s="67">
        <f>1200000/88</f>
        <v>13636.363636363636</v>
      </c>
      <c r="G4" s="388">
        <f t="shared" si="0"/>
        <v>818181.81818181812</v>
      </c>
    </row>
    <row r="5" spans="1:7" ht="15" thickBot="1" x14ac:dyDescent="0.2">
      <c r="A5" s="74">
        <v>4</v>
      </c>
      <c r="B5" s="63" t="s">
        <v>661</v>
      </c>
      <c r="C5" s="64" t="s">
        <v>662</v>
      </c>
      <c r="D5" s="65">
        <v>30</v>
      </c>
      <c r="E5" s="64" t="s">
        <v>469</v>
      </c>
      <c r="F5" s="67">
        <f>300000/88</f>
        <v>3409.090909090909</v>
      </c>
      <c r="G5" s="388">
        <f t="shared" si="0"/>
        <v>102272.72727272726</v>
      </c>
    </row>
    <row r="6" spans="1:7" ht="15" thickBot="1" x14ac:dyDescent="0.2">
      <c r="A6" s="74">
        <v>5</v>
      </c>
      <c r="B6" s="63" t="s">
        <v>663</v>
      </c>
      <c r="C6" s="64" t="s">
        <v>662</v>
      </c>
      <c r="D6" s="65">
        <v>30</v>
      </c>
      <c r="E6" s="64" t="s">
        <v>452</v>
      </c>
      <c r="F6" s="67">
        <f>800000/88</f>
        <v>9090.9090909090901</v>
      </c>
      <c r="G6" s="388">
        <f t="shared" si="0"/>
        <v>272727.27272727271</v>
      </c>
    </row>
    <row r="7" spans="1:7" ht="29" thickBot="1" x14ac:dyDescent="0.2">
      <c r="A7" s="74">
        <v>4</v>
      </c>
      <c r="B7" s="59" t="s">
        <v>516</v>
      </c>
      <c r="C7" s="68" t="s">
        <v>517</v>
      </c>
      <c r="D7" s="69">
        <f>D2</f>
        <v>10</v>
      </c>
      <c r="E7" s="68" t="s">
        <v>469</v>
      </c>
      <c r="F7" s="67">
        <f>30000/88</f>
        <v>340.90909090909093</v>
      </c>
      <c r="G7" s="388">
        <f t="shared" si="0"/>
        <v>3409.0909090909095</v>
      </c>
    </row>
    <row r="8" spans="1:7" ht="15" thickBot="1" x14ac:dyDescent="0.2">
      <c r="A8" s="74">
        <v>5</v>
      </c>
      <c r="B8" s="63" t="s">
        <v>518</v>
      </c>
      <c r="C8" s="68" t="s">
        <v>517</v>
      </c>
      <c r="D8" s="65">
        <v>10</v>
      </c>
      <c r="E8" s="64" t="str">
        <f>E4</f>
        <v xml:space="preserve">No. </v>
      </c>
      <c r="F8" s="67">
        <f>F7</f>
        <v>340.90909090909093</v>
      </c>
      <c r="G8" s="388">
        <f t="shared" si="0"/>
        <v>3409.0909090909095</v>
      </c>
    </row>
    <row r="9" spans="1:7" ht="29" thickBot="1" x14ac:dyDescent="0.2">
      <c r="A9" s="74">
        <v>6</v>
      </c>
      <c r="B9" s="70" t="s">
        <v>540</v>
      </c>
      <c r="C9" s="68" t="s">
        <v>517</v>
      </c>
      <c r="D9" s="65">
        <v>10</v>
      </c>
      <c r="E9" s="64" t="str">
        <f>E8</f>
        <v xml:space="preserve">No. </v>
      </c>
      <c r="F9" s="67">
        <f>F8</f>
        <v>340.90909090909093</v>
      </c>
      <c r="G9" s="388">
        <f t="shared" si="0"/>
        <v>3409.0909090909095</v>
      </c>
    </row>
    <row r="10" spans="1:7" ht="15" thickBot="1" x14ac:dyDescent="0.2">
      <c r="A10" s="74">
        <v>7</v>
      </c>
      <c r="B10" s="63" t="s">
        <v>519</v>
      </c>
      <c r="C10" s="68" t="s">
        <v>517</v>
      </c>
      <c r="D10" s="65">
        <v>5</v>
      </c>
      <c r="E10" s="64" t="str">
        <f>E9</f>
        <v xml:space="preserve">No. </v>
      </c>
      <c r="F10" s="67">
        <f>130000/88</f>
        <v>1477.2727272727273</v>
      </c>
      <c r="G10" s="388">
        <f t="shared" si="0"/>
        <v>7386.363636363636</v>
      </c>
    </row>
    <row r="11" spans="1:7" ht="29" thickBot="1" x14ac:dyDescent="0.2">
      <c r="A11" s="74">
        <v>8</v>
      </c>
      <c r="B11" s="63" t="s">
        <v>553</v>
      </c>
      <c r="C11" s="68" t="s">
        <v>554</v>
      </c>
      <c r="D11" s="65">
        <v>3</v>
      </c>
      <c r="E11" s="64" t="s">
        <v>555</v>
      </c>
      <c r="F11" s="67">
        <f>300000/88</f>
        <v>3409.090909090909</v>
      </c>
      <c r="G11" s="388">
        <f t="shared" si="0"/>
        <v>10227.272727272728</v>
      </c>
    </row>
    <row r="12" spans="1:7" ht="29" thickBot="1" x14ac:dyDescent="0.2">
      <c r="A12" s="74">
        <v>9</v>
      </c>
      <c r="B12" s="63" t="s">
        <v>520</v>
      </c>
      <c r="C12" s="68" t="s">
        <v>517</v>
      </c>
      <c r="D12" s="65">
        <v>10</v>
      </c>
      <c r="E12" s="64" t="str">
        <f>E10</f>
        <v xml:space="preserve">No. </v>
      </c>
      <c r="F12" s="67">
        <f>120000/88</f>
        <v>1363.6363636363637</v>
      </c>
      <c r="G12" s="388">
        <f t="shared" si="0"/>
        <v>13636.363636363638</v>
      </c>
    </row>
    <row r="13" spans="1:7" ht="15" thickBot="1" x14ac:dyDescent="0.2">
      <c r="A13" s="74">
        <v>10</v>
      </c>
      <c r="B13" s="63" t="s">
        <v>657</v>
      </c>
      <c r="C13" s="71" t="s">
        <v>517</v>
      </c>
      <c r="D13" s="65">
        <v>10</v>
      </c>
      <c r="E13" s="64" t="str">
        <f>E12</f>
        <v xml:space="preserve">No. </v>
      </c>
      <c r="F13" s="66">
        <f>200000/88</f>
        <v>2272.7272727272725</v>
      </c>
      <c r="G13" s="388">
        <f>D13*F13</f>
        <v>22727.272727272724</v>
      </c>
    </row>
    <row r="14" spans="1:7" ht="15" thickBot="1" x14ac:dyDescent="0.2">
      <c r="A14" s="74">
        <v>11</v>
      </c>
      <c r="B14" s="63" t="s">
        <v>521</v>
      </c>
      <c r="C14" s="64" t="s">
        <v>522</v>
      </c>
      <c r="D14" s="65">
        <v>5</v>
      </c>
      <c r="E14" s="64" t="str">
        <f>E12</f>
        <v xml:space="preserve">No. </v>
      </c>
      <c r="F14" s="62">
        <f>250000/88</f>
        <v>2840.909090909091</v>
      </c>
      <c r="G14" s="387">
        <f>F14*D14</f>
        <v>14204.545454545456</v>
      </c>
    </row>
    <row r="15" spans="1:7" ht="29" thickBot="1" x14ac:dyDescent="0.2">
      <c r="A15" s="74">
        <v>12</v>
      </c>
      <c r="B15" s="59" t="s">
        <v>523</v>
      </c>
      <c r="C15" s="60" t="s">
        <v>471</v>
      </c>
      <c r="D15" s="61">
        <v>2</v>
      </c>
      <c r="E15" s="64" t="str">
        <f>E14</f>
        <v xml:space="preserve">No. </v>
      </c>
      <c r="F15" s="67">
        <f>300000/88</f>
        <v>3409.090909090909</v>
      </c>
      <c r="G15" s="388">
        <f t="shared" ref="G15:G20" si="1">D15*F15</f>
        <v>6818.181818181818</v>
      </c>
    </row>
    <row r="16" spans="1:7" ht="29" thickBot="1" x14ac:dyDescent="0.2">
      <c r="A16" s="74">
        <v>13</v>
      </c>
      <c r="B16" s="59" t="s">
        <v>524</v>
      </c>
      <c r="C16" s="60" t="s">
        <v>525</v>
      </c>
      <c r="D16" s="61">
        <v>1</v>
      </c>
      <c r="E16" s="64" t="str">
        <f>E15</f>
        <v xml:space="preserve">No. </v>
      </c>
      <c r="F16" s="67">
        <f>500000/88</f>
        <v>5681.818181818182</v>
      </c>
      <c r="G16" s="388">
        <f t="shared" si="1"/>
        <v>5681.818181818182</v>
      </c>
    </row>
    <row r="17" spans="1:7" ht="15" thickBot="1" x14ac:dyDescent="0.2">
      <c r="A17" s="74">
        <v>14</v>
      </c>
      <c r="B17" s="59" t="s">
        <v>526</v>
      </c>
      <c r="C17" s="60" t="s">
        <v>527</v>
      </c>
      <c r="D17" s="61">
        <v>1</v>
      </c>
      <c r="E17" s="64" t="str">
        <f>E16</f>
        <v xml:space="preserve">No. </v>
      </c>
      <c r="F17" s="67">
        <f>1200000/88</f>
        <v>13636.363636363636</v>
      </c>
      <c r="G17" s="388">
        <f t="shared" si="1"/>
        <v>13636.363636363636</v>
      </c>
    </row>
    <row r="18" spans="1:7" ht="29" thickBot="1" x14ac:dyDescent="0.2">
      <c r="A18" s="74">
        <v>15</v>
      </c>
      <c r="B18" s="59" t="s">
        <v>528</v>
      </c>
      <c r="C18" s="60" t="s">
        <v>529</v>
      </c>
      <c r="D18" s="61">
        <v>2</v>
      </c>
      <c r="E18" s="64" t="str">
        <f>E17</f>
        <v xml:space="preserve">No. </v>
      </c>
      <c r="F18" s="67">
        <f>3200000/88</f>
        <v>36363.63636363636</v>
      </c>
      <c r="G18" s="388">
        <f t="shared" si="1"/>
        <v>72727.272727272721</v>
      </c>
    </row>
    <row r="19" spans="1:7" ht="29" thickBot="1" x14ac:dyDescent="0.2">
      <c r="A19" s="74">
        <v>16</v>
      </c>
      <c r="B19" s="59" t="s">
        <v>530</v>
      </c>
      <c r="C19" s="60" t="s">
        <v>531</v>
      </c>
      <c r="D19" s="61">
        <v>300</v>
      </c>
      <c r="E19" s="64" t="s">
        <v>492</v>
      </c>
      <c r="F19" s="67">
        <f>37500/88</f>
        <v>426.13636363636363</v>
      </c>
      <c r="G19" s="388">
        <f t="shared" si="1"/>
        <v>127840.90909090909</v>
      </c>
    </row>
    <row r="20" spans="1:7" ht="29" thickBot="1" x14ac:dyDescent="0.2">
      <c r="A20" s="74">
        <v>17</v>
      </c>
      <c r="B20" s="59" t="s">
        <v>533</v>
      </c>
      <c r="C20" s="60" t="s">
        <v>532</v>
      </c>
      <c r="D20" s="61">
        <v>4000</v>
      </c>
      <c r="E20" s="60" t="s">
        <v>452</v>
      </c>
      <c r="F20" s="67">
        <f>500/88</f>
        <v>5.6818181818181817</v>
      </c>
      <c r="G20" s="388">
        <f t="shared" si="1"/>
        <v>22727.272727272728</v>
      </c>
    </row>
    <row r="21" spans="1:7" ht="15" thickBot="1" x14ac:dyDescent="0.2">
      <c r="A21" s="74">
        <v>18</v>
      </c>
      <c r="B21" s="59" t="s">
        <v>689</v>
      </c>
      <c r="C21" s="60"/>
      <c r="D21" s="61">
        <v>4</v>
      </c>
      <c r="E21" s="60" t="s">
        <v>452</v>
      </c>
      <c r="F21" s="67">
        <f>1000000/88</f>
        <v>11363.636363636364</v>
      </c>
      <c r="G21" s="388">
        <f t="shared" ref="G21:G28" si="2">D21*F21</f>
        <v>45454.545454545456</v>
      </c>
    </row>
    <row r="22" spans="1:7" ht="15" thickBot="1" x14ac:dyDescent="0.2">
      <c r="A22" s="74">
        <v>19</v>
      </c>
      <c r="B22" s="59" t="s">
        <v>534</v>
      </c>
      <c r="C22" s="60" t="s">
        <v>532</v>
      </c>
      <c r="D22" s="61">
        <v>8</v>
      </c>
      <c r="E22" s="60" t="s">
        <v>535</v>
      </c>
      <c r="F22" s="67">
        <f>1600000/88</f>
        <v>18181.81818181818</v>
      </c>
      <c r="G22" s="388">
        <f t="shared" si="2"/>
        <v>145454.54545454544</v>
      </c>
    </row>
    <row r="23" spans="1:7" ht="15" thickBot="1" x14ac:dyDescent="0.2">
      <c r="A23" s="74">
        <v>20</v>
      </c>
      <c r="B23" s="59" t="s">
        <v>536</v>
      </c>
      <c r="C23" s="60" t="s">
        <v>532</v>
      </c>
      <c r="D23" s="61">
        <v>3</v>
      </c>
      <c r="E23" s="60" t="s">
        <v>535</v>
      </c>
      <c r="F23" s="67">
        <f>2400000/88</f>
        <v>27272.727272727272</v>
      </c>
      <c r="G23" s="388">
        <f t="shared" si="2"/>
        <v>81818.181818181823</v>
      </c>
    </row>
    <row r="24" spans="1:7" ht="15" thickBot="1" x14ac:dyDescent="0.2">
      <c r="A24" s="74">
        <v>21</v>
      </c>
      <c r="B24" s="59" t="s">
        <v>588</v>
      </c>
      <c r="C24" s="60" t="s">
        <v>589</v>
      </c>
      <c r="D24" s="61">
        <v>190</v>
      </c>
      <c r="E24" s="60" t="s">
        <v>492</v>
      </c>
      <c r="F24" s="67">
        <f>80000*2.5/88</f>
        <v>2272.7272727272725</v>
      </c>
      <c r="G24" s="388">
        <f t="shared" si="2"/>
        <v>431818.18181818177</v>
      </c>
    </row>
    <row r="25" spans="1:7" ht="15" thickBot="1" x14ac:dyDescent="0.2">
      <c r="A25" s="74">
        <v>22</v>
      </c>
      <c r="B25" s="59" t="s">
        <v>598</v>
      </c>
      <c r="C25" s="60" t="s">
        <v>599</v>
      </c>
      <c r="D25" s="61">
        <v>5</v>
      </c>
      <c r="E25" s="60" t="s">
        <v>452</v>
      </c>
      <c r="F25" s="67">
        <f>180000/88</f>
        <v>2045.4545454545455</v>
      </c>
      <c r="G25" s="388">
        <f t="shared" si="2"/>
        <v>10227.272727272728</v>
      </c>
    </row>
    <row r="26" spans="1:7" ht="15" thickBot="1" x14ac:dyDescent="0.2">
      <c r="A26" s="74">
        <v>23</v>
      </c>
      <c r="B26" s="59" t="s">
        <v>621</v>
      </c>
      <c r="C26" s="60" t="s">
        <v>622</v>
      </c>
      <c r="D26" s="61">
        <v>2</v>
      </c>
      <c r="E26" s="60" t="s">
        <v>452</v>
      </c>
      <c r="F26" s="67">
        <f>2000000/88</f>
        <v>22727.272727272728</v>
      </c>
      <c r="G26" s="388">
        <f t="shared" si="2"/>
        <v>45454.545454545456</v>
      </c>
    </row>
    <row r="27" spans="1:7" ht="15" thickBot="1" x14ac:dyDescent="0.2">
      <c r="A27" s="74">
        <v>24</v>
      </c>
      <c r="B27" s="59" t="s">
        <v>600</v>
      </c>
      <c r="C27" s="60" t="s">
        <v>601</v>
      </c>
      <c r="D27" s="61">
        <v>5</v>
      </c>
      <c r="E27" s="60" t="s">
        <v>555</v>
      </c>
      <c r="F27" s="67">
        <f>200000/88</f>
        <v>2272.7272727272725</v>
      </c>
      <c r="G27" s="388">
        <f t="shared" si="2"/>
        <v>11363.636363636362</v>
      </c>
    </row>
    <row r="28" spans="1:7" ht="15" thickBot="1" x14ac:dyDescent="0.2">
      <c r="A28" s="74">
        <v>25</v>
      </c>
      <c r="B28" s="59" t="s">
        <v>674</v>
      </c>
      <c r="C28" s="60" t="s">
        <v>675</v>
      </c>
      <c r="D28" s="61">
        <v>1</v>
      </c>
      <c r="E28" s="60" t="s">
        <v>199</v>
      </c>
      <c r="F28" s="67">
        <f>12000000/88</f>
        <v>136363.63636363635</v>
      </c>
      <c r="G28" s="388">
        <f t="shared" si="2"/>
        <v>136363.63636363635</v>
      </c>
    </row>
    <row r="29" spans="1:7" ht="15" thickBot="1" x14ac:dyDescent="0.2">
      <c r="A29" s="74">
        <v>26</v>
      </c>
      <c r="B29" s="59" t="s">
        <v>656</v>
      </c>
      <c r="C29" s="60"/>
      <c r="D29" s="61">
        <v>2</v>
      </c>
      <c r="E29" s="60" t="s">
        <v>199</v>
      </c>
      <c r="F29" s="67">
        <f>4000000/88</f>
        <v>45454.545454545456</v>
      </c>
      <c r="G29" s="388">
        <f t="shared" ref="G29:G34" si="3">F29*D29</f>
        <v>90909.090909090912</v>
      </c>
    </row>
    <row r="30" spans="1:7" ht="15" thickBot="1" x14ac:dyDescent="0.2">
      <c r="A30" s="74">
        <v>27</v>
      </c>
      <c r="B30" s="59" t="s">
        <v>654</v>
      </c>
      <c r="C30" s="60" t="s">
        <v>655</v>
      </c>
      <c r="D30" s="61">
        <v>1</v>
      </c>
      <c r="E30" s="60" t="s">
        <v>199</v>
      </c>
      <c r="F30" s="67">
        <f>2400000/88</f>
        <v>27272.727272727272</v>
      </c>
      <c r="G30" s="388">
        <f t="shared" si="3"/>
        <v>27272.727272727272</v>
      </c>
    </row>
    <row r="31" spans="1:7" ht="15" thickBot="1" x14ac:dyDescent="0.2">
      <c r="A31" s="74">
        <v>28</v>
      </c>
      <c r="B31" s="59" t="s">
        <v>665</v>
      </c>
      <c r="C31" s="60"/>
      <c r="D31" s="61">
        <v>5000</v>
      </c>
      <c r="E31" s="60" t="s">
        <v>199</v>
      </c>
      <c r="F31" s="67">
        <f>400/88</f>
        <v>4.5454545454545459</v>
      </c>
      <c r="G31" s="388">
        <f t="shared" si="3"/>
        <v>22727.272727272728</v>
      </c>
    </row>
    <row r="32" spans="1:7" ht="15" thickBot="1" x14ac:dyDescent="0.2">
      <c r="A32" s="74">
        <v>29</v>
      </c>
      <c r="B32" s="59" t="s">
        <v>664</v>
      </c>
      <c r="C32" s="60"/>
      <c r="D32" s="61">
        <v>4</v>
      </c>
      <c r="E32" s="60" t="s">
        <v>199</v>
      </c>
      <c r="F32" s="67">
        <f>2500000/88</f>
        <v>28409.090909090908</v>
      </c>
      <c r="G32" s="388">
        <f t="shared" si="3"/>
        <v>113636.36363636363</v>
      </c>
    </row>
    <row r="33" spans="1:7" ht="15" thickBot="1" x14ac:dyDescent="0.2">
      <c r="A33" s="74">
        <v>30</v>
      </c>
      <c r="B33" s="59" t="s">
        <v>666</v>
      </c>
      <c r="C33" s="60"/>
      <c r="D33" s="61">
        <v>1</v>
      </c>
      <c r="E33" s="60" t="s">
        <v>199</v>
      </c>
      <c r="F33" s="67">
        <f>350000</f>
        <v>350000</v>
      </c>
      <c r="G33" s="388">
        <f t="shared" si="3"/>
        <v>350000</v>
      </c>
    </row>
    <row r="34" spans="1:7" ht="15" thickBot="1" x14ac:dyDescent="0.2">
      <c r="A34" s="74">
        <v>31</v>
      </c>
      <c r="B34" s="59" t="s">
        <v>667</v>
      </c>
      <c r="C34" s="60" t="s">
        <v>668</v>
      </c>
      <c r="D34" s="61">
        <v>1</v>
      </c>
      <c r="E34" s="60" t="s">
        <v>199</v>
      </c>
      <c r="F34" s="67">
        <f>(14000*3000)/88</f>
        <v>477272.72727272729</v>
      </c>
      <c r="G34" s="388">
        <f t="shared" si="3"/>
        <v>477272.72727272729</v>
      </c>
    </row>
    <row r="35" spans="1:7" ht="15" thickBot="1" x14ac:dyDescent="0.2">
      <c r="A35" s="74">
        <v>32</v>
      </c>
      <c r="B35" s="59" t="s">
        <v>537</v>
      </c>
      <c r="C35" s="60" t="s">
        <v>538</v>
      </c>
      <c r="D35" s="61">
        <v>1</v>
      </c>
      <c r="E35" s="60" t="s">
        <v>199</v>
      </c>
      <c r="F35" s="386">
        <f>(SUM(G2:G34))*0.05</f>
        <v>186335.22727272726</v>
      </c>
      <c r="G35" s="388">
        <f>D35*F35</f>
        <v>186335.22727272726</v>
      </c>
    </row>
    <row r="36" spans="1:7" ht="14" thickBot="1" x14ac:dyDescent="0.2">
      <c r="A36" s="75"/>
      <c r="B36" s="376" t="s">
        <v>686</v>
      </c>
      <c r="C36" s="75"/>
      <c r="D36" s="76"/>
      <c r="E36" s="77"/>
      <c r="F36" s="78"/>
      <c r="G36" s="389">
        <f>SUM(G2:G35)</f>
        <v>3913039.772727272</v>
      </c>
    </row>
    <row r="37" spans="1:7" ht="18" customHeight="1" x14ac:dyDescent="0.15">
      <c r="A37" s="45"/>
      <c r="B37" s="44"/>
      <c r="C37" s="46"/>
      <c r="D37" s="54"/>
      <c r="E37" s="46"/>
    </row>
    <row r="38" spans="1:7" ht="18" customHeight="1" x14ac:dyDescent="0.15">
      <c r="A38" s="49"/>
      <c r="B38" s="50"/>
      <c r="C38" s="48"/>
      <c r="D38" s="56"/>
      <c r="E38" s="51"/>
    </row>
    <row r="39" spans="1:7" ht="18" customHeight="1" x14ac:dyDescent="0.15">
      <c r="A39" s="49"/>
      <c r="B39" s="50"/>
      <c r="C39" s="48"/>
      <c r="D39" s="56"/>
      <c r="E39" s="51"/>
    </row>
    <row r="40" spans="1:7" ht="18" customHeight="1" x14ac:dyDescent="0.15">
      <c r="A40" s="49"/>
      <c r="B40" s="50"/>
      <c r="C40" s="48"/>
      <c r="D40" s="56"/>
      <c r="E40" s="51"/>
    </row>
    <row r="41" spans="1:7" ht="18" customHeight="1" x14ac:dyDescent="0.15">
      <c r="A41" s="49"/>
      <c r="B41" s="50"/>
      <c r="C41" s="48"/>
      <c r="D41" s="56"/>
      <c r="E41" s="51"/>
    </row>
    <row r="42" spans="1:7" ht="18" customHeight="1" x14ac:dyDescent="0.15">
      <c r="A42" s="49"/>
      <c r="B42" s="50"/>
      <c r="C42" s="48"/>
      <c r="D42" s="56"/>
      <c r="E42" s="51"/>
    </row>
    <row r="43" spans="1:7" ht="18" customHeight="1" x14ac:dyDescent="0.15">
      <c r="A43" s="49"/>
      <c r="B43" s="50"/>
      <c r="C43" s="48"/>
      <c r="D43" s="56"/>
      <c r="E43" s="51"/>
    </row>
    <row r="44" spans="1:7" ht="18" customHeight="1" x14ac:dyDescent="0.15">
      <c r="A44" s="49"/>
      <c r="B44" s="50"/>
      <c r="C44" s="48"/>
      <c r="D44" s="56"/>
      <c r="E44" s="51"/>
    </row>
    <row r="45" spans="1:7" ht="18" customHeight="1" x14ac:dyDescent="0.15">
      <c r="A45" s="49"/>
      <c r="B45" s="50"/>
      <c r="C45" s="48"/>
      <c r="D45" s="56"/>
      <c r="E45" s="51"/>
    </row>
    <row r="46" spans="1:7" ht="18" customHeight="1" x14ac:dyDescent="0.15">
      <c r="A46" s="49"/>
      <c r="B46" s="50"/>
      <c r="C46" s="48"/>
      <c r="D46" s="56"/>
      <c r="E46" s="51"/>
    </row>
    <row r="47" spans="1:7" ht="18" customHeight="1" x14ac:dyDescent="0.15">
      <c r="A47" s="49"/>
      <c r="B47" s="50"/>
      <c r="C47" s="48"/>
      <c r="D47" s="56"/>
      <c r="E47" s="51"/>
    </row>
    <row r="48" spans="1:7" ht="18" customHeight="1" x14ac:dyDescent="0.15">
      <c r="A48" s="49"/>
      <c r="B48" s="50"/>
      <c r="C48" s="48"/>
      <c r="D48" s="56"/>
      <c r="E48" s="51"/>
    </row>
    <row r="49" spans="1:5" ht="18" customHeight="1" x14ac:dyDescent="0.15">
      <c r="A49" s="49"/>
      <c r="B49" s="50"/>
      <c r="C49" s="48"/>
      <c r="D49" s="56"/>
      <c r="E49" s="51"/>
    </row>
    <row r="50" spans="1:5" ht="18" customHeight="1" x14ac:dyDescent="0.15">
      <c r="A50" s="49"/>
      <c r="B50" s="50"/>
      <c r="C50" s="48"/>
      <c r="D50" s="56"/>
      <c r="E50" s="51"/>
    </row>
    <row r="51" spans="1:5" ht="18" customHeight="1" x14ac:dyDescent="0.15">
      <c r="A51" s="49"/>
      <c r="B51" s="50"/>
      <c r="C51" s="48"/>
      <c r="D51" s="56"/>
      <c r="E51" s="51"/>
    </row>
    <row r="52" spans="1:5" ht="18" customHeight="1" x14ac:dyDescent="0.15">
      <c r="A52" s="49"/>
      <c r="B52" s="50"/>
      <c r="C52" s="48"/>
      <c r="D52" s="56"/>
      <c r="E52" s="51"/>
    </row>
    <row r="53" spans="1:5" ht="18" customHeight="1" x14ac:dyDescent="0.15">
      <c r="A53" s="49"/>
      <c r="B53" s="50"/>
      <c r="C53" s="48"/>
      <c r="D53" s="56"/>
      <c r="E53" s="51"/>
    </row>
    <row r="54" spans="1:5" ht="18" customHeight="1" x14ac:dyDescent="0.15">
      <c r="A54" s="49"/>
      <c r="B54" s="50"/>
      <c r="C54" s="48"/>
      <c r="D54" s="56"/>
      <c r="E54" s="51"/>
    </row>
    <row r="55" spans="1:5" ht="18" customHeight="1" x14ac:dyDescent="0.15">
      <c r="A55" s="49"/>
      <c r="B55" s="50"/>
      <c r="C55" s="48"/>
      <c r="D55" s="56"/>
      <c r="E55" s="51"/>
    </row>
    <row r="56" spans="1:5" ht="18" customHeight="1" x14ac:dyDescent="0.15">
      <c r="A56" s="49"/>
      <c r="B56" s="50"/>
      <c r="C56" s="48"/>
      <c r="D56" s="56"/>
      <c r="E56" s="51"/>
    </row>
    <row r="57" spans="1:5" ht="18" customHeight="1" x14ac:dyDescent="0.15">
      <c r="A57" s="49"/>
      <c r="B57" s="50"/>
      <c r="C57" s="48"/>
      <c r="D57" s="56"/>
      <c r="E57" s="51"/>
    </row>
    <row r="58" spans="1:5" ht="18" customHeight="1" x14ac:dyDescent="0.15">
      <c r="A58" s="49"/>
      <c r="B58" s="50"/>
      <c r="C58" s="48"/>
      <c r="D58" s="56"/>
      <c r="E58" s="51"/>
    </row>
    <row r="59" spans="1:5" ht="18" customHeight="1" x14ac:dyDescent="0.15">
      <c r="A59" s="49"/>
      <c r="B59" s="50"/>
      <c r="C59" s="48"/>
      <c r="D59" s="56"/>
      <c r="E59" s="51"/>
    </row>
    <row r="60" spans="1:5" ht="18" customHeight="1" x14ac:dyDescent="0.15">
      <c r="A60" s="49"/>
      <c r="B60" s="50"/>
      <c r="C60" s="48"/>
      <c r="D60" s="56"/>
      <c r="E60" s="51"/>
    </row>
    <row r="61" spans="1:5" ht="18" customHeight="1" x14ac:dyDescent="0.15">
      <c r="A61" s="49"/>
      <c r="B61" s="50"/>
      <c r="C61" s="48"/>
      <c r="D61" s="56"/>
      <c r="E61" s="51"/>
    </row>
    <row r="62" spans="1:5" ht="18" customHeight="1" x14ac:dyDescent="0.15">
      <c r="A62" s="49"/>
      <c r="B62" s="50"/>
      <c r="C62" s="48"/>
      <c r="D62" s="56"/>
      <c r="E62" s="51"/>
    </row>
    <row r="63" spans="1:5" ht="18" customHeight="1" x14ac:dyDescent="0.15">
      <c r="A63" s="49"/>
      <c r="B63" s="50"/>
      <c r="C63" s="48"/>
      <c r="D63" s="56"/>
      <c r="E63" s="51"/>
    </row>
    <row r="64" spans="1:5" ht="18" customHeight="1" x14ac:dyDescent="0.15">
      <c r="A64" s="49"/>
      <c r="B64" s="50"/>
      <c r="C64" s="48"/>
      <c r="D64" s="56"/>
      <c r="E64" s="51"/>
    </row>
    <row r="65" spans="1:5" ht="18" customHeight="1" x14ac:dyDescent="0.15">
      <c r="A65" s="49"/>
      <c r="B65" s="50"/>
      <c r="C65" s="48"/>
      <c r="D65" s="56"/>
      <c r="E65" s="51"/>
    </row>
    <row r="66" spans="1:5" ht="18" customHeight="1" x14ac:dyDescent="0.15">
      <c r="A66" s="49"/>
      <c r="B66" s="50"/>
      <c r="C66" s="48"/>
      <c r="D66" s="56"/>
      <c r="E66" s="51"/>
    </row>
    <row r="67" spans="1:5" ht="18" customHeight="1" x14ac:dyDescent="0.15">
      <c r="A67" s="49"/>
      <c r="B67" s="50"/>
      <c r="C67" s="48"/>
      <c r="D67" s="56"/>
      <c r="E67" s="51"/>
    </row>
    <row r="68" spans="1:5" ht="18" customHeight="1" x14ac:dyDescent="0.15">
      <c r="A68" s="49"/>
      <c r="B68" s="50"/>
      <c r="C68" s="48"/>
      <c r="D68" s="56"/>
      <c r="E68" s="51"/>
    </row>
    <row r="69" spans="1:5" ht="18" customHeight="1" x14ac:dyDescent="0.15">
      <c r="A69" s="49"/>
      <c r="B69" s="50"/>
      <c r="C69" s="48"/>
      <c r="D69" s="56"/>
      <c r="E69" s="51"/>
    </row>
    <row r="70" spans="1:5" ht="18" customHeight="1" x14ac:dyDescent="0.15">
      <c r="A70" s="49"/>
      <c r="B70" s="50"/>
      <c r="C70" s="48"/>
      <c r="D70" s="56"/>
      <c r="E70" s="51"/>
    </row>
    <row r="71" spans="1:5" ht="18" customHeight="1" x14ac:dyDescent="0.15">
      <c r="A71" s="49"/>
      <c r="B71" s="50"/>
      <c r="C71" s="48"/>
      <c r="D71" s="56"/>
      <c r="E71" s="51"/>
    </row>
    <row r="72" spans="1:5" ht="18" customHeight="1" x14ac:dyDescent="0.15">
      <c r="A72" s="49"/>
      <c r="B72" s="50"/>
      <c r="C72" s="48"/>
      <c r="D72" s="56"/>
      <c r="E72" s="51"/>
    </row>
    <row r="73" spans="1:5" ht="18" customHeight="1" x14ac:dyDescent="0.15">
      <c r="A73" s="49"/>
      <c r="B73" s="50"/>
      <c r="C73" s="48"/>
      <c r="D73" s="56"/>
      <c r="E73" s="51"/>
    </row>
    <row r="74" spans="1:5" ht="18" customHeight="1" x14ac:dyDescent="0.15">
      <c r="A74" s="49"/>
      <c r="B74" s="50"/>
      <c r="C74" s="48"/>
      <c r="D74" s="56"/>
      <c r="E74" s="51"/>
    </row>
    <row r="75" spans="1:5" ht="18" customHeight="1" x14ac:dyDescent="0.15">
      <c r="A75" s="49"/>
      <c r="B75" s="50"/>
      <c r="C75" s="48"/>
      <c r="D75" s="56"/>
      <c r="E75" s="51"/>
    </row>
    <row r="76" spans="1:5" ht="18" customHeight="1" x14ac:dyDescent="0.15">
      <c r="A76" s="49"/>
      <c r="B76" s="50"/>
      <c r="C76" s="48"/>
      <c r="D76" s="56"/>
      <c r="E76" s="51"/>
    </row>
    <row r="77" spans="1:5" ht="18" customHeight="1" x14ac:dyDescent="0.15">
      <c r="A77" s="49"/>
      <c r="B77" s="50"/>
      <c r="C77" s="48"/>
      <c r="D77" s="56"/>
      <c r="E77" s="51"/>
    </row>
    <row r="78" spans="1:5" ht="18" customHeight="1" x14ac:dyDescent="0.15">
      <c r="A78" s="49"/>
      <c r="B78" s="50"/>
      <c r="C78" s="48"/>
      <c r="D78" s="56"/>
      <c r="E78" s="51"/>
    </row>
    <row r="79" spans="1:5" ht="18" customHeight="1" x14ac:dyDescent="0.15">
      <c r="A79" s="49"/>
      <c r="B79" s="50"/>
      <c r="C79" s="48"/>
      <c r="D79" s="56"/>
      <c r="E79" s="51"/>
    </row>
    <row r="80" spans="1:5" ht="18" customHeight="1" x14ac:dyDescent="0.15">
      <c r="A80" s="49"/>
      <c r="B80" s="50"/>
      <c r="C80" s="48"/>
      <c r="D80" s="56"/>
      <c r="E80" s="51"/>
    </row>
    <row r="81" spans="1:5" ht="18" customHeight="1" x14ac:dyDescent="0.15">
      <c r="A81" s="49"/>
      <c r="B81" s="50"/>
      <c r="C81" s="48"/>
      <c r="D81" s="56"/>
      <c r="E81" s="51"/>
    </row>
    <row r="82" spans="1:5" ht="18" customHeight="1" x14ac:dyDescent="0.15">
      <c r="A82" s="49"/>
      <c r="B82" s="50"/>
      <c r="C82" s="48"/>
      <c r="D82" s="56"/>
      <c r="E82" s="51"/>
    </row>
    <row r="83" spans="1:5" ht="18" customHeight="1" x14ac:dyDescent="0.15">
      <c r="A83" s="49"/>
      <c r="B83" s="50"/>
      <c r="C83" s="48"/>
      <c r="D83" s="56"/>
      <c r="E83" s="51"/>
    </row>
    <row r="84" spans="1:5" ht="18" customHeight="1" x14ac:dyDescent="0.15">
      <c r="A84" s="49"/>
      <c r="B84" s="50"/>
      <c r="C84" s="48"/>
      <c r="D84" s="56"/>
      <c r="E84" s="51"/>
    </row>
    <row r="85" spans="1:5" ht="18" customHeight="1" x14ac:dyDescent="0.15">
      <c r="A85" s="49"/>
      <c r="B85" s="50"/>
      <c r="C85" s="48"/>
      <c r="D85" s="56"/>
      <c r="E85" s="51"/>
    </row>
    <row r="86" spans="1:5" ht="18" customHeight="1" x14ac:dyDescent="0.15"/>
    <row r="87" spans="1:5" ht="18" customHeight="1" x14ac:dyDescent="0.15"/>
    <row r="88" spans="1:5" ht="18" customHeight="1" x14ac:dyDescent="0.15"/>
    <row r="89" spans="1:5" ht="18" customHeight="1" x14ac:dyDescent="0.15"/>
    <row r="90" spans="1:5" ht="18" customHeight="1" x14ac:dyDescent="0.15"/>
    <row r="91" spans="1:5" ht="18" customHeight="1" x14ac:dyDescent="0.15"/>
    <row r="92" spans="1:5" ht="18" customHeight="1" x14ac:dyDescent="0.15"/>
    <row r="93" spans="1:5" ht="18" customHeight="1" x14ac:dyDescent="0.15"/>
    <row r="94" spans="1:5" ht="18" customHeight="1" x14ac:dyDescent="0.15"/>
    <row r="95" spans="1:5" ht="18" customHeight="1" x14ac:dyDescent="0.15"/>
    <row r="96" spans="1:5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</sheetData>
  <printOptions horizontalCentered="1"/>
  <pageMargins left="0.11811023622047245" right="0.11811023622047245" top="0.59055118110236227" bottom="0.19685039370078741" header="0.31496062992125984" footer="0.31496062992125984"/>
  <pageSetup paperSize="9" scale="96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39997558519241921"/>
  </sheetPr>
  <dimension ref="A1:I13"/>
  <sheetViews>
    <sheetView showGridLines="0" showZeros="0" workbookViewId="0">
      <pane xSplit="3" ySplit="2" topLeftCell="D3" activePane="bottomRight" state="frozen"/>
      <selection activeCell="G2" sqref="G2:G159"/>
      <selection pane="topRight" activeCell="G2" sqref="G2:G159"/>
      <selection pane="bottomLeft" activeCell="G2" sqref="G2:G159"/>
      <selection pane="bottomRight" activeCell="B4" sqref="B4:B8"/>
    </sheetView>
  </sheetViews>
  <sheetFormatPr baseColWidth="10" defaultColWidth="8.83203125" defaultRowHeight="13" x14ac:dyDescent="0.15"/>
  <cols>
    <col min="1" max="1" width="8.1640625" style="40" customWidth="1"/>
    <col min="2" max="2" width="19.83203125" style="41" bestFit="1" customWidth="1"/>
    <col min="3" max="3" width="25.33203125" bestFit="1" customWidth="1"/>
    <col min="4" max="4" width="15" style="4" bestFit="1" customWidth="1"/>
    <col min="5" max="5" width="11" bestFit="1" customWidth="1"/>
    <col min="6" max="6" width="15.5" style="4" customWidth="1"/>
    <col min="7" max="7" width="11.5" style="4" bestFit="1" customWidth="1"/>
    <col min="8" max="8" width="9.5" customWidth="1"/>
    <col min="9" max="9" width="9" customWidth="1"/>
  </cols>
  <sheetData>
    <row r="1" spans="1:9" ht="14" thickBot="1" x14ac:dyDescent="0.2">
      <c r="A1" s="459" t="s">
        <v>433</v>
      </c>
      <c r="B1" s="459" t="s">
        <v>0</v>
      </c>
      <c r="C1" s="460" t="s">
        <v>1</v>
      </c>
      <c r="D1" s="460" t="s">
        <v>2</v>
      </c>
      <c r="E1" s="459" t="s">
        <v>3</v>
      </c>
      <c r="F1" s="460" t="s">
        <v>4</v>
      </c>
      <c r="G1" s="460"/>
      <c r="H1" s="460"/>
      <c r="I1" s="460"/>
    </row>
    <row r="2" spans="1:9" ht="14" thickBot="1" x14ac:dyDescent="0.2">
      <c r="A2" s="459"/>
      <c r="B2" s="459"/>
      <c r="C2" s="460"/>
      <c r="D2" s="460"/>
      <c r="E2" s="459"/>
      <c r="F2" s="140" t="s">
        <v>5</v>
      </c>
      <c r="G2" s="140" t="s">
        <v>434</v>
      </c>
      <c r="H2" s="140" t="s">
        <v>432</v>
      </c>
      <c r="I2" s="140" t="s">
        <v>16</v>
      </c>
    </row>
    <row r="3" spans="1:9" ht="14" thickBot="1" x14ac:dyDescent="0.2">
      <c r="A3" s="392">
        <v>1</v>
      </c>
      <c r="B3" s="79"/>
      <c r="C3" s="80" t="s">
        <v>6</v>
      </c>
      <c r="D3" s="141">
        <v>15</v>
      </c>
      <c r="E3" s="142">
        <f>50000/88</f>
        <v>568.18181818181813</v>
      </c>
      <c r="F3" s="143">
        <f>D3*E3</f>
        <v>8522.7272727272721</v>
      </c>
      <c r="G3" s="144"/>
      <c r="H3" s="145"/>
      <c r="I3" s="390">
        <f>H3+++G3+F3</f>
        <v>8522.7272727272721</v>
      </c>
    </row>
    <row r="4" spans="1:9" ht="14" thickBot="1" x14ac:dyDescent="0.2">
      <c r="A4" s="462">
        <v>2</v>
      </c>
      <c r="B4" s="463"/>
      <c r="C4" s="80" t="s">
        <v>8</v>
      </c>
      <c r="D4" s="141">
        <f>D3</f>
        <v>15</v>
      </c>
      <c r="E4" s="142">
        <f>7000/88</f>
        <v>79.545454545454547</v>
      </c>
      <c r="F4" s="143">
        <f t="shared" ref="F4:F8" si="0">IF(D4=0,E4,E4*D4)</f>
        <v>1193.1818181818182</v>
      </c>
      <c r="G4" s="144"/>
      <c r="H4" s="145"/>
      <c r="I4" s="390">
        <f t="shared" ref="I4:I10" si="1">H4+++G4+F4</f>
        <v>1193.1818181818182</v>
      </c>
    </row>
    <row r="5" spans="1:9" ht="14" thickBot="1" x14ac:dyDescent="0.2">
      <c r="A5" s="462"/>
      <c r="B5" s="463"/>
      <c r="C5" s="80" t="s">
        <v>9</v>
      </c>
      <c r="D5" s="141">
        <f>D4*3</f>
        <v>45</v>
      </c>
      <c r="E5" s="142">
        <f>4500/88</f>
        <v>51.136363636363633</v>
      </c>
      <c r="F5" s="143">
        <f t="shared" si="0"/>
        <v>2301.1363636363635</v>
      </c>
      <c r="G5" s="144"/>
      <c r="H5" s="145"/>
      <c r="I5" s="390">
        <f t="shared" si="1"/>
        <v>2301.1363636363635</v>
      </c>
    </row>
    <row r="6" spans="1:9" ht="14" thickBot="1" x14ac:dyDescent="0.2">
      <c r="A6" s="462"/>
      <c r="B6" s="463"/>
      <c r="C6" s="80" t="s">
        <v>10</v>
      </c>
      <c r="D6" s="141">
        <f>D4</f>
        <v>15</v>
      </c>
      <c r="E6" s="142">
        <f>6000/88</f>
        <v>68.181818181818187</v>
      </c>
      <c r="F6" s="143">
        <f t="shared" si="0"/>
        <v>1022.7272727272727</v>
      </c>
      <c r="G6" s="144"/>
      <c r="H6" s="145"/>
      <c r="I6" s="390">
        <f t="shared" si="1"/>
        <v>1022.7272727272727</v>
      </c>
    </row>
    <row r="7" spans="1:9" ht="14" thickBot="1" x14ac:dyDescent="0.2">
      <c r="A7" s="462"/>
      <c r="B7" s="463"/>
      <c r="C7" s="80" t="s">
        <v>11</v>
      </c>
      <c r="D7" s="141">
        <f>D6</f>
        <v>15</v>
      </c>
      <c r="E7" s="142">
        <f>6000/88</f>
        <v>68.181818181818187</v>
      </c>
      <c r="F7" s="143">
        <f t="shared" si="0"/>
        <v>1022.7272727272727</v>
      </c>
      <c r="G7" s="144"/>
      <c r="H7" s="145"/>
      <c r="I7" s="390">
        <f t="shared" si="1"/>
        <v>1022.7272727272727</v>
      </c>
    </row>
    <row r="8" spans="1:9" ht="14" thickBot="1" x14ac:dyDescent="0.2">
      <c r="A8" s="462"/>
      <c r="B8" s="463"/>
      <c r="C8" s="80" t="s">
        <v>12</v>
      </c>
      <c r="D8" s="141">
        <f>D7</f>
        <v>15</v>
      </c>
      <c r="E8" s="142">
        <f>4000/88</f>
        <v>45.454545454545453</v>
      </c>
      <c r="F8" s="143">
        <f t="shared" si="0"/>
        <v>681.81818181818176</v>
      </c>
      <c r="G8" s="144"/>
      <c r="H8" s="145"/>
      <c r="I8" s="390">
        <f t="shared" si="1"/>
        <v>681.81818181818176</v>
      </c>
    </row>
    <row r="9" spans="1:9" ht="14" thickBot="1" x14ac:dyDescent="0.2">
      <c r="A9" s="146">
        <v>3</v>
      </c>
      <c r="B9" s="79"/>
      <c r="C9" s="80" t="s">
        <v>13</v>
      </c>
      <c r="D9" s="141">
        <f>D8</f>
        <v>15</v>
      </c>
      <c r="E9" s="142">
        <f>3000/88</f>
        <v>34.090909090909093</v>
      </c>
      <c r="F9" s="143">
        <f>IF(D9=0,E9,E9*D9)</f>
        <v>511.36363636363637</v>
      </c>
      <c r="G9" s="144"/>
      <c r="H9" s="145"/>
      <c r="I9" s="390">
        <f t="shared" si="1"/>
        <v>511.36363636363637</v>
      </c>
    </row>
    <row r="10" spans="1:9" ht="14" thickBot="1" x14ac:dyDescent="0.2">
      <c r="A10" s="461" t="s">
        <v>687</v>
      </c>
      <c r="B10" s="461"/>
      <c r="C10" s="461"/>
      <c r="D10" s="461"/>
      <c r="E10" s="383"/>
      <c r="F10" s="384">
        <f>SUBTOTAL(9,F3:F9)</f>
        <v>15255.681818181816</v>
      </c>
      <c r="G10" s="384">
        <f>SUBTOTAL(9,G3:G9)</f>
        <v>0</v>
      </c>
      <c r="H10" s="385">
        <f>SUBTOTAL(9,H3:H9)</f>
        <v>0</v>
      </c>
      <c r="I10" s="391">
        <f t="shared" si="1"/>
        <v>15255.681818181816</v>
      </c>
    </row>
    <row r="13" spans="1:9" x14ac:dyDescent="0.15">
      <c r="F13" s="57"/>
    </row>
  </sheetData>
  <mergeCells count="9">
    <mergeCell ref="E1:E2"/>
    <mergeCell ref="F1:I1"/>
    <mergeCell ref="A10:D10"/>
    <mergeCell ref="A4:A8"/>
    <mergeCell ref="B4:B8"/>
    <mergeCell ref="D1:D2"/>
    <mergeCell ref="A1:A2"/>
    <mergeCell ref="B1:B2"/>
    <mergeCell ref="C1:C2"/>
  </mergeCells>
  <printOptions horizontalCentered="1"/>
  <pageMargins left="0.11811023622047245" right="0.11811023622047245" top="0.59055118110236227" bottom="0.19685039370078741" header="0.31496062992125984" footer="0.31496062992125984"/>
  <pageSetup paperSize="9" orientation="landscape" horizontalDpi="1200" verticalDpi="1200" copies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04"/>
  <sheetViews>
    <sheetView tabSelected="1" workbookViewId="0">
      <selection activeCell="C188" sqref="C188:L188"/>
    </sheetView>
  </sheetViews>
  <sheetFormatPr baseColWidth="10" defaultColWidth="8.83203125" defaultRowHeight="13" x14ac:dyDescent="0.15"/>
  <cols>
    <col min="1" max="1" width="26.33203125" style="42" customWidth="1"/>
    <col min="2" max="2" width="12.33203125" style="58" customWidth="1"/>
    <col min="3" max="5" width="10.5" style="58" customWidth="1"/>
    <col min="6" max="6" width="12.5" style="58" customWidth="1"/>
    <col min="7" max="7" width="16.6640625" style="58" customWidth="1"/>
    <col min="8" max="12" width="12.5" style="58" customWidth="1"/>
    <col min="13" max="14" width="8.83203125" style="42"/>
    <col min="15" max="15" width="28.5" style="42" customWidth="1"/>
    <col min="16" max="16384" width="8.83203125" style="42"/>
  </cols>
  <sheetData>
    <row r="1" spans="1:17" ht="14" thickBot="1" x14ac:dyDescent="0.2">
      <c r="A1" s="81"/>
      <c r="B1" s="82"/>
      <c r="C1" s="140" t="s">
        <v>543</v>
      </c>
      <c r="D1" s="140" t="s">
        <v>544</v>
      </c>
      <c r="E1" s="140" t="s">
        <v>545</v>
      </c>
      <c r="F1" s="140" t="s">
        <v>546</v>
      </c>
      <c r="G1" s="140" t="s">
        <v>547</v>
      </c>
      <c r="H1" s="140" t="s">
        <v>548</v>
      </c>
      <c r="I1" s="140" t="s">
        <v>549</v>
      </c>
      <c r="J1" s="140" t="s">
        <v>550</v>
      </c>
      <c r="K1" s="140" t="s">
        <v>551</v>
      </c>
      <c r="L1" s="140" t="s">
        <v>552</v>
      </c>
    </row>
    <row r="2" spans="1:17" ht="14" thickBot="1" x14ac:dyDescent="0.2">
      <c r="A2" s="80"/>
      <c r="B2" s="98"/>
      <c r="C2" s="98"/>
      <c r="D2" s="98"/>
      <c r="E2" s="147"/>
      <c r="F2" s="147"/>
      <c r="G2" s="147"/>
      <c r="H2" s="147"/>
      <c r="I2" s="147"/>
      <c r="J2" s="147"/>
      <c r="K2" s="147"/>
      <c r="L2" s="147"/>
    </row>
    <row r="3" spans="1:17" ht="14" thickBot="1" x14ac:dyDescent="0.2">
      <c r="A3" s="80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</row>
    <row r="4" spans="1:17" ht="14" thickBot="1" x14ac:dyDescent="0.2">
      <c r="A4" s="465" t="s">
        <v>605</v>
      </c>
      <c r="B4" s="465"/>
      <c r="C4" s="465"/>
      <c r="D4" s="465"/>
      <c r="E4" s="465"/>
      <c r="F4" s="465"/>
      <c r="G4" s="465"/>
      <c r="H4" s="465"/>
      <c r="I4" s="465"/>
      <c r="J4" s="465"/>
      <c r="K4" s="465"/>
      <c r="L4" s="465"/>
    </row>
    <row r="5" spans="1:17" ht="14" thickBot="1" x14ac:dyDescent="0.2">
      <c r="A5" s="357" t="s">
        <v>68</v>
      </c>
      <c r="B5" s="159" t="s">
        <v>557</v>
      </c>
      <c r="C5" s="160">
        <v>80</v>
      </c>
      <c r="D5" s="160">
        <f>C5</f>
        <v>80</v>
      </c>
      <c r="E5" s="160">
        <f t="shared" ref="E5:L5" si="0">D5</f>
        <v>80</v>
      </c>
      <c r="F5" s="160">
        <f t="shared" si="0"/>
        <v>80</v>
      </c>
      <c r="G5" s="160">
        <f t="shared" si="0"/>
        <v>80</v>
      </c>
      <c r="H5" s="160">
        <f t="shared" si="0"/>
        <v>80</v>
      </c>
      <c r="I5" s="160">
        <f t="shared" si="0"/>
        <v>80</v>
      </c>
      <c r="J5" s="160">
        <f t="shared" si="0"/>
        <v>80</v>
      </c>
      <c r="K5" s="160">
        <f t="shared" si="0"/>
        <v>80</v>
      </c>
      <c r="L5" s="160">
        <f t="shared" si="0"/>
        <v>80</v>
      </c>
    </row>
    <row r="6" spans="1:17" ht="14" thickBot="1" x14ac:dyDescent="0.2">
      <c r="A6" s="161" t="s">
        <v>556</v>
      </c>
      <c r="B6" s="91">
        <v>19.559999999999999</v>
      </c>
      <c r="C6" s="394">
        <f>$B6*C$5</f>
        <v>1564.8</v>
      </c>
      <c r="D6" s="394">
        <f t="shared" ref="D6:L14" si="1">$B6*D$5</f>
        <v>1564.8</v>
      </c>
      <c r="E6" s="394">
        <f t="shared" si="1"/>
        <v>1564.8</v>
      </c>
      <c r="F6" s="394">
        <f t="shared" si="1"/>
        <v>1564.8</v>
      </c>
      <c r="G6" s="394">
        <f t="shared" si="1"/>
        <v>1564.8</v>
      </c>
      <c r="H6" s="394">
        <f t="shared" si="1"/>
        <v>1564.8</v>
      </c>
      <c r="I6" s="394">
        <f t="shared" si="1"/>
        <v>1564.8</v>
      </c>
      <c r="J6" s="394">
        <f t="shared" si="1"/>
        <v>1564.8</v>
      </c>
      <c r="K6" s="394">
        <f t="shared" si="1"/>
        <v>1564.8</v>
      </c>
      <c r="L6" s="394">
        <f t="shared" si="1"/>
        <v>1564.8</v>
      </c>
      <c r="N6" s="42">
        <f>64000/2.5</f>
        <v>25600</v>
      </c>
      <c r="P6" s="42" t="s">
        <v>578</v>
      </c>
    </row>
    <row r="7" spans="1:17" ht="14" thickBot="1" x14ac:dyDescent="0.2">
      <c r="A7" s="84" t="s">
        <v>558</v>
      </c>
      <c r="B7" s="91">
        <f>100*120/88</f>
        <v>136.36363636363637</v>
      </c>
      <c r="C7" s="394">
        <f t="shared" ref="C7:L14" si="2">$B7*C$5</f>
        <v>10909.09090909091</v>
      </c>
      <c r="D7" s="394">
        <f t="shared" si="1"/>
        <v>10909.09090909091</v>
      </c>
      <c r="E7" s="394">
        <f t="shared" si="1"/>
        <v>10909.09090909091</v>
      </c>
      <c r="F7" s="394">
        <f t="shared" si="1"/>
        <v>10909.09090909091</v>
      </c>
      <c r="G7" s="394">
        <f t="shared" si="1"/>
        <v>10909.09090909091</v>
      </c>
      <c r="H7" s="394">
        <f t="shared" si="1"/>
        <v>10909.09090909091</v>
      </c>
      <c r="I7" s="394">
        <f t="shared" si="1"/>
        <v>10909.09090909091</v>
      </c>
      <c r="J7" s="394">
        <f t="shared" si="1"/>
        <v>10909.09090909091</v>
      </c>
      <c r="K7" s="394">
        <f t="shared" si="1"/>
        <v>10909.09090909091</v>
      </c>
      <c r="L7" s="394">
        <f t="shared" si="1"/>
        <v>10909.09090909091</v>
      </c>
      <c r="O7" s="42" t="s">
        <v>577</v>
      </c>
      <c r="P7" s="42">
        <v>10</v>
      </c>
    </row>
    <row r="8" spans="1:17" ht="14" thickBot="1" x14ac:dyDescent="0.2">
      <c r="A8" s="84" t="s">
        <v>559</v>
      </c>
      <c r="B8" s="91">
        <f>1350*1.5*2.5/88</f>
        <v>57.528409090909093</v>
      </c>
      <c r="C8" s="394">
        <f t="shared" si="2"/>
        <v>4602.2727272727279</v>
      </c>
      <c r="D8" s="394">
        <f t="shared" si="2"/>
        <v>4602.2727272727279</v>
      </c>
      <c r="E8" s="394">
        <f t="shared" si="2"/>
        <v>4602.2727272727279</v>
      </c>
      <c r="F8" s="394">
        <f t="shared" si="2"/>
        <v>4602.2727272727279</v>
      </c>
      <c r="G8" s="394">
        <f t="shared" si="2"/>
        <v>4602.2727272727279</v>
      </c>
      <c r="H8" s="394">
        <f t="shared" si="2"/>
        <v>4602.2727272727279</v>
      </c>
      <c r="I8" s="394">
        <f t="shared" si="2"/>
        <v>4602.2727272727279</v>
      </c>
      <c r="J8" s="394">
        <f t="shared" si="2"/>
        <v>4602.2727272727279</v>
      </c>
      <c r="K8" s="394">
        <f t="shared" si="2"/>
        <v>4602.2727272727279</v>
      </c>
      <c r="L8" s="394">
        <f t="shared" si="2"/>
        <v>4602.2727272727279</v>
      </c>
      <c r="O8" s="42" t="s">
        <v>579</v>
      </c>
      <c r="P8" s="42">
        <f>75/88</f>
        <v>0.85227272727272729</v>
      </c>
    </row>
    <row r="9" spans="1:17" ht="14" thickBot="1" x14ac:dyDescent="0.2">
      <c r="A9" s="84" t="s">
        <v>574</v>
      </c>
      <c r="B9" s="91">
        <f>B6</f>
        <v>19.559999999999999</v>
      </c>
      <c r="C9" s="394">
        <f t="shared" si="2"/>
        <v>1564.8</v>
      </c>
      <c r="D9" s="394">
        <f t="shared" si="2"/>
        <v>1564.8</v>
      </c>
      <c r="E9" s="394">
        <f t="shared" si="2"/>
        <v>1564.8</v>
      </c>
      <c r="F9" s="394">
        <f t="shared" si="2"/>
        <v>1564.8</v>
      </c>
      <c r="G9" s="394">
        <f t="shared" si="2"/>
        <v>1564.8</v>
      </c>
      <c r="H9" s="394">
        <f t="shared" si="2"/>
        <v>1564.8</v>
      </c>
      <c r="I9" s="394">
        <f t="shared" si="2"/>
        <v>1564.8</v>
      </c>
      <c r="J9" s="394">
        <f t="shared" si="2"/>
        <v>1564.8</v>
      </c>
      <c r="K9" s="394">
        <f t="shared" si="2"/>
        <v>1564.8</v>
      </c>
      <c r="L9" s="394">
        <f t="shared" si="2"/>
        <v>1564.8</v>
      </c>
      <c r="O9" s="42" t="s">
        <v>580</v>
      </c>
      <c r="P9" s="42">
        <f>P8*P7</f>
        <v>8.5227272727272734</v>
      </c>
    </row>
    <row r="10" spans="1:17" ht="14" thickBot="1" x14ac:dyDescent="0.2">
      <c r="A10" s="84" t="s">
        <v>566</v>
      </c>
      <c r="B10" s="91">
        <f>Q17</f>
        <v>36.409090909090907</v>
      </c>
      <c r="C10" s="394">
        <f t="shared" si="2"/>
        <v>2912.7272727272725</v>
      </c>
      <c r="D10" s="394">
        <f t="shared" si="1"/>
        <v>2912.7272727272725</v>
      </c>
      <c r="E10" s="394">
        <f t="shared" si="1"/>
        <v>2912.7272727272725</v>
      </c>
      <c r="F10" s="394">
        <f t="shared" si="1"/>
        <v>2912.7272727272725</v>
      </c>
      <c r="G10" s="394">
        <f t="shared" si="1"/>
        <v>2912.7272727272725</v>
      </c>
      <c r="H10" s="394">
        <f t="shared" si="1"/>
        <v>2912.7272727272725</v>
      </c>
      <c r="I10" s="394">
        <f t="shared" si="1"/>
        <v>2912.7272727272725</v>
      </c>
      <c r="J10" s="394">
        <f t="shared" si="1"/>
        <v>2912.7272727272725</v>
      </c>
      <c r="K10" s="394">
        <f t="shared" si="1"/>
        <v>2912.7272727272725</v>
      </c>
      <c r="L10" s="394">
        <f t="shared" si="1"/>
        <v>2912.7272727272725</v>
      </c>
      <c r="O10" s="42" t="s">
        <v>581</v>
      </c>
      <c r="P10" s="42">
        <f>P9*25/33</f>
        <v>6.4566115702479348</v>
      </c>
    </row>
    <row r="11" spans="1:17" ht="14" thickBot="1" x14ac:dyDescent="0.2">
      <c r="A11" s="84" t="s">
        <v>565</v>
      </c>
      <c r="B11" s="91">
        <f>500*1.5*2.5/88</f>
        <v>21.306818181818183</v>
      </c>
      <c r="C11" s="394">
        <f t="shared" si="2"/>
        <v>1704.5454545454547</v>
      </c>
      <c r="D11" s="394">
        <f t="shared" si="1"/>
        <v>1704.5454545454547</v>
      </c>
      <c r="E11" s="394">
        <f t="shared" si="1"/>
        <v>1704.5454545454547</v>
      </c>
      <c r="F11" s="394">
        <f t="shared" si="1"/>
        <v>1704.5454545454547</v>
      </c>
      <c r="G11" s="394">
        <f t="shared" si="1"/>
        <v>1704.5454545454547</v>
      </c>
      <c r="H11" s="394">
        <f t="shared" si="1"/>
        <v>1704.5454545454547</v>
      </c>
      <c r="I11" s="394">
        <f t="shared" si="1"/>
        <v>1704.5454545454547</v>
      </c>
      <c r="J11" s="394">
        <f t="shared" si="1"/>
        <v>1704.5454545454547</v>
      </c>
      <c r="K11" s="394">
        <f t="shared" si="1"/>
        <v>1704.5454545454547</v>
      </c>
      <c r="L11" s="394">
        <f t="shared" si="1"/>
        <v>1704.5454545454547</v>
      </c>
      <c r="O11" s="42" t="s">
        <v>582</v>
      </c>
      <c r="P11" s="42">
        <v>5</v>
      </c>
    </row>
    <row r="12" spans="1:17" ht="14" thickBot="1" x14ac:dyDescent="0.2">
      <c r="A12" s="84" t="s">
        <v>568</v>
      </c>
      <c r="B12" s="91">
        <f>(2500*1.5*2.5)/88</f>
        <v>106.53409090909091</v>
      </c>
      <c r="C12" s="394">
        <f t="shared" si="2"/>
        <v>8522.7272727272721</v>
      </c>
      <c r="D12" s="394">
        <f t="shared" si="1"/>
        <v>8522.7272727272721</v>
      </c>
      <c r="E12" s="394">
        <f t="shared" si="1"/>
        <v>8522.7272727272721</v>
      </c>
      <c r="F12" s="394">
        <f t="shared" si="1"/>
        <v>8522.7272727272721</v>
      </c>
      <c r="G12" s="394">
        <f t="shared" si="1"/>
        <v>8522.7272727272721</v>
      </c>
      <c r="H12" s="394">
        <f t="shared" si="1"/>
        <v>8522.7272727272721</v>
      </c>
      <c r="I12" s="394">
        <f t="shared" si="1"/>
        <v>8522.7272727272721</v>
      </c>
      <c r="J12" s="394">
        <f t="shared" si="1"/>
        <v>8522.7272727272721</v>
      </c>
      <c r="K12" s="394">
        <f t="shared" si="1"/>
        <v>8522.7272727272721</v>
      </c>
      <c r="L12" s="394">
        <f t="shared" si="1"/>
        <v>8522.7272727272721</v>
      </c>
      <c r="O12" s="42" t="s">
        <v>583</v>
      </c>
      <c r="P12" s="42">
        <f>P11*P10*2</f>
        <v>64.566115702479351</v>
      </c>
    </row>
    <row r="13" spans="1:17" ht="14" thickBot="1" x14ac:dyDescent="0.2">
      <c r="A13" s="84" t="s">
        <v>576</v>
      </c>
      <c r="B13" s="91">
        <f>P12</f>
        <v>64.566115702479351</v>
      </c>
      <c r="C13" s="394">
        <f>B13*C5</f>
        <v>5165.2892561983481</v>
      </c>
      <c r="D13" s="394">
        <f>C13</f>
        <v>5165.2892561983481</v>
      </c>
      <c r="E13" s="394">
        <f t="shared" ref="E13:L13" si="3">D13</f>
        <v>5165.2892561983481</v>
      </c>
      <c r="F13" s="394">
        <f t="shared" si="3"/>
        <v>5165.2892561983481</v>
      </c>
      <c r="G13" s="394">
        <f t="shared" si="3"/>
        <v>5165.2892561983481</v>
      </c>
      <c r="H13" s="394">
        <f t="shared" si="3"/>
        <v>5165.2892561983481</v>
      </c>
      <c r="I13" s="394">
        <f t="shared" si="3"/>
        <v>5165.2892561983481</v>
      </c>
      <c r="J13" s="394">
        <f t="shared" si="3"/>
        <v>5165.2892561983481</v>
      </c>
      <c r="K13" s="394">
        <f t="shared" si="3"/>
        <v>5165.2892561983481</v>
      </c>
      <c r="L13" s="394">
        <f t="shared" si="3"/>
        <v>5165.2892561983481</v>
      </c>
    </row>
    <row r="14" spans="1:17" s="163" customFormat="1" ht="14" thickBot="1" x14ac:dyDescent="0.2">
      <c r="A14" s="162" t="s">
        <v>569</v>
      </c>
      <c r="B14" s="91">
        <f>1500*2.5/88</f>
        <v>42.613636363636367</v>
      </c>
      <c r="C14" s="394">
        <f t="shared" si="2"/>
        <v>3409.0909090909095</v>
      </c>
      <c r="D14" s="394">
        <f t="shared" si="1"/>
        <v>3409.0909090909095</v>
      </c>
      <c r="E14" s="394">
        <f t="shared" si="1"/>
        <v>3409.0909090909095</v>
      </c>
      <c r="F14" s="394">
        <f t="shared" si="1"/>
        <v>3409.0909090909095</v>
      </c>
      <c r="G14" s="394">
        <f t="shared" si="1"/>
        <v>3409.0909090909095</v>
      </c>
      <c r="H14" s="394">
        <f t="shared" si="1"/>
        <v>3409.0909090909095</v>
      </c>
      <c r="I14" s="394">
        <f t="shared" si="1"/>
        <v>3409.0909090909095</v>
      </c>
      <c r="J14" s="394">
        <f t="shared" si="1"/>
        <v>3409.0909090909095</v>
      </c>
      <c r="K14" s="394">
        <f t="shared" si="1"/>
        <v>3409.0909090909095</v>
      </c>
      <c r="L14" s="394">
        <f t="shared" si="1"/>
        <v>3409.0909090909095</v>
      </c>
      <c r="N14" s="163" t="s">
        <v>561</v>
      </c>
      <c r="O14" s="163" t="s">
        <v>562</v>
      </c>
      <c r="P14" s="163" t="s">
        <v>563</v>
      </c>
      <c r="Q14" s="163" t="s">
        <v>564</v>
      </c>
    </row>
    <row r="15" spans="1:17" s="163" customFormat="1" ht="14" thickBot="1" x14ac:dyDescent="0.2">
      <c r="A15" s="164" t="s">
        <v>154</v>
      </c>
      <c r="B15" s="91">
        <f>SUM(B6:B14)</f>
        <v>504.44179752066123</v>
      </c>
      <c r="C15" s="395">
        <f>SUM(C5:C14)</f>
        <v>40435.343801652896</v>
      </c>
      <c r="D15" s="395">
        <f t="shared" ref="D15:L15" si="4">SUM(D5:D14)</f>
        <v>40435.343801652896</v>
      </c>
      <c r="E15" s="395">
        <f t="shared" si="4"/>
        <v>40435.343801652896</v>
      </c>
      <c r="F15" s="395">
        <f t="shared" si="4"/>
        <v>40435.343801652896</v>
      </c>
      <c r="G15" s="395">
        <f t="shared" si="4"/>
        <v>40435.343801652896</v>
      </c>
      <c r="H15" s="395">
        <f t="shared" si="4"/>
        <v>40435.343801652896</v>
      </c>
      <c r="I15" s="395">
        <f t="shared" si="4"/>
        <v>40435.343801652896</v>
      </c>
      <c r="J15" s="395">
        <f t="shared" si="4"/>
        <v>40435.343801652896</v>
      </c>
      <c r="K15" s="395">
        <f t="shared" si="4"/>
        <v>40435.343801652896</v>
      </c>
      <c r="L15" s="395">
        <f t="shared" si="4"/>
        <v>40435.343801652896</v>
      </c>
      <c r="N15" s="163" t="s">
        <v>560</v>
      </c>
      <c r="O15" s="163">
        <v>100</v>
      </c>
      <c r="P15" s="166">
        <f>1200/50/88</f>
        <v>0.27272727272727271</v>
      </c>
      <c r="Q15" s="163">
        <f>P15*O15</f>
        <v>27.27272727272727</v>
      </c>
    </row>
    <row r="16" spans="1:17" s="163" customFormat="1" ht="14" thickBot="1" x14ac:dyDescent="0.2">
      <c r="A16" s="164" t="s">
        <v>570</v>
      </c>
      <c r="B16" s="148"/>
      <c r="C16" s="395">
        <f>700*1.5*2.5</f>
        <v>2625</v>
      </c>
      <c r="D16" s="395">
        <f>750*1.5*2.5</f>
        <v>2812.5</v>
      </c>
      <c r="E16" s="395">
        <f>775*1.5*2.5</f>
        <v>2906.25</v>
      </c>
      <c r="F16" s="395">
        <f>850*1.5*2.5</f>
        <v>3187.5</v>
      </c>
      <c r="G16" s="395">
        <f>1000*1.5*2.5</f>
        <v>3750</v>
      </c>
      <c r="H16" s="395">
        <f>G16</f>
        <v>3750</v>
      </c>
      <c r="I16" s="395">
        <f t="shared" ref="I16:L16" si="5">H16</f>
        <v>3750</v>
      </c>
      <c r="J16" s="395">
        <f t="shared" si="5"/>
        <v>3750</v>
      </c>
      <c r="K16" s="395">
        <f t="shared" si="5"/>
        <v>3750</v>
      </c>
      <c r="L16" s="395">
        <f t="shared" si="5"/>
        <v>3750</v>
      </c>
      <c r="N16" s="163" t="s">
        <v>567</v>
      </c>
      <c r="O16" s="163">
        <f>40*1.5*2.5</f>
        <v>150</v>
      </c>
      <c r="P16" s="166">
        <f>268/50/88</f>
        <v>6.0909090909090913E-2</v>
      </c>
      <c r="Q16" s="163">
        <f>P16*O16</f>
        <v>9.1363636363636367</v>
      </c>
    </row>
    <row r="17" spans="1:17" s="163" customFormat="1" ht="14" thickBot="1" x14ac:dyDescent="0.2">
      <c r="A17" s="164" t="s">
        <v>571</v>
      </c>
      <c r="B17" s="148"/>
      <c r="C17" s="395">
        <v>0.24</v>
      </c>
      <c r="D17" s="395">
        <f>C17</f>
        <v>0.24</v>
      </c>
      <c r="E17" s="395">
        <f>D17</f>
        <v>0.24</v>
      </c>
      <c r="F17" s="395">
        <f t="shared" ref="F17:L17" si="6">E17</f>
        <v>0.24</v>
      </c>
      <c r="G17" s="395">
        <f t="shared" si="6"/>
        <v>0.24</v>
      </c>
      <c r="H17" s="395">
        <f t="shared" si="6"/>
        <v>0.24</v>
      </c>
      <c r="I17" s="395">
        <f t="shared" si="6"/>
        <v>0.24</v>
      </c>
      <c r="J17" s="395">
        <f t="shared" si="6"/>
        <v>0.24</v>
      </c>
      <c r="K17" s="395">
        <f t="shared" si="6"/>
        <v>0.24</v>
      </c>
      <c r="L17" s="395">
        <f t="shared" si="6"/>
        <v>0.24</v>
      </c>
      <c r="Q17" s="163">
        <f>SUM(Q15:Q16)</f>
        <v>36.409090909090907</v>
      </c>
    </row>
    <row r="18" spans="1:17" s="163" customFormat="1" ht="14" thickBot="1" x14ac:dyDescent="0.2">
      <c r="A18" s="164" t="s">
        <v>572</v>
      </c>
      <c r="B18" s="148"/>
      <c r="C18" s="395">
        <f>C17*C16*C5</f>
        <v>50400</v>
      </c>
      <c r="D18" s="395">
        <f t="shared" ref="D18:L18" si="7">D17*D16*D5</f>
        <v>54000</v>
      </c>
      <c r="E18" s="395">
        <f t="shared" si="7"/>
        <v>55800</v>
      </c>
      <c r="F18" s="395">
        <f t="shared" si="7"/>
        <v>61200</v>
      </c>
      <c r="G18" s="395">
        <f t="shared" si="7"/>
        <v>72000</v>
      </c>
      <c r="H18" s="395">
        <f t="shared" si="7"/>
        <v>72000</v>
      </c>
      <c r="I18" s="395">
        <f t="shared" si="7"/>
        <v>72000</v>
      </c>
      <c r="J18" s="395">
        <f t="shared" si="7"/>
        <v>72000</v>
      </c>
      <c r="K18" s="395">
        <f t="shared" si="7"/>
        <v>72000</v>
      </c>
      <c r="L18" s="395">
        <f t="shared" si="7"/>
        <v>72000</v>
      </c>
    </row>
    <row r="19" spans="1:17" s="163" customFormat="1" ht="14" thickBot="1" x14ac:dyDescent="0.2">
      <c r="A19" s="164"/>
      <c r="B19" s="148"/>
      <c r="C19" s="160"/>
      <c r="D19" s="160"/>
      <c r="E19" s="160"/>
      <c r="F19" s="165"/>
      <c r="G19" s="165"/>
      <c r="H19" s="165"/>
      <c r="I19" s="165"/>
      <c r="J19" s="165"/>
      <c r="K19" s="165"/>
      <c r="L19" s="165"/>
    </row>
    <row r="20" spans="1:17" ht="14" thickBot="1" x14ac:dyDescent="0.2">
      <c r="A20" s="83" t="s">
        <v>573</v>
      </c>
      <c r="B20" s="148"/>
      <c r="C20" s="394">
        <f>C18-C15</f>
        <v>9964.6561983471038</v>
      </c>
      <c r="D20" s="394">
        <f t="shared" ref="D20:L20" si="8">D18-D15</f>
        <v>13564.656198347104</v>
      </c>
      <c r="E20" s="394">
        <f t="shared" si="8"/>
        <v>15364.656198347104</v>
      </c>
      <c r="F20" s="394">
        <f t="shared" si="8"/>
        <v>20764.656198347104</v>
      </c>
      <c r="G20" s="394">
        <f t="shared" si="8"/>
        <v>31564.656198347104</v>
      </c>
      <c r="H20" s="394">
        <f t="shared" si="8"/>
        <v>31564.656198347104</v>
      </c>
      <c r="I20" s="394">
        <f t="shared" si="8"/>
        <v>31564.656198347104</v>
      </c>
      <c r="J20" s="394">
        <f t="shared" si="8"/>
        <v>31564.656198347104</v>
      </c>
      <c r="K20" s="394">
        <f t="shared" si="8"/>
        <v>31564.656198347104</v>
      </c>
      <c r="L20" s="394">
        <f t="shared" si="8"/>
        <v>31564.656198347104</v>
      </c>
    </row>
    <row r="21" spans="1:17" ht="14" thickBot="1" x14ac:dyDescent="0.2">
      <c r="A21" s="80"/>
      <c r="B21" s="149"/>
      <c r="C21" s="98"/>
      <c r="D21" s="98"/>
      <c r="E21" s="98"/>
      <c r="F21" s="98"/>
      <c r="G21" s="98"/>
      <c r="H21" s="98"/>
      <c r="I21" s="98"/>
      <c r="J21" s="98"/>
      <c r="K21" s="98"/>
      <c r="L21" s="98"/>
    </row>
    <row r="22" spans="1:17" ht="14" thickBot="1" x14ac:dyDescent="0.2">
      <c r="A22" s="465" t="s">
        <v>652</v>
      </c>
      <c r="B22" s="465"/>
      <c r="C22" s="465"/>
      <c r="D22" s="465"/>
      <c r="E22" s="465"/>
      <c r="F22" s="465"/>
      <c r="G22" s="465"/>
      <c r="H22" s="465"/>
      <c r="I22" s="465"/>
      <c r="J22" s="465"/>
      <c r="K22" s="465"/>
      <c r="L22" s="465"/>
    </row>
    <row r="23" spans="1:17" ht="14" thickBot="1" x14ac:dyDescent="0.2">
      <c r="A23" s="357" t="s">
        <v>68</v>
      </c>
      <c r="B23" s="148"/>
      <c r="C23" s="515">
        <v>40</v>
      </c>
      <c r="D23" s="515">
        <f>C23</f>
        <v>40</v>
      </c>
      <c r="E23" s="515">
        <f t="shared" ref="E23:L23" si="9">D23</f>
        <v>40</v>
      </c>
      <c r="F23" s="515">
        <f t="shared" si="9"/>
        <v>40</v>
      </c>
      <c r="G23" s="515">
        <f t="shared" si="9"/>
        <v>40</v>
      </c>
      <c r="H23" s="515">
        <f t="shared" si="9"/>
        <v>40</v>
      </c>
      <c r="I23" s="515">
        <f t="shared" si="9"/>
        <v>40</v>
      </c>
      <c r="J23" s="515">
        <f t="shared" si="9"/>
        <v>40</v>
      </c>
      <c r="K23" s="515">
        <f t="shared" si="9"/>
        <v>40</v>
      </c>
      <c r="L23" s="515">
        <f t="shared" si="9"/>
        <v>40</v>
      </c>
    </row>
    <row r="24" spans="1:17" ht="14" thickBot="1" x14ac:dyDescent="0.2">
      <c r="A24" s="161" t="s">
        <v>556</v>
      </c>
      <c r="B24" s="393">
        <f>B42</f>
        <v>19.559999999999999</v>
      </c>
      <c r="C24" s="394">
        <f>C$23*$B24</f>
        <v>782.4</v>
      </c>
      <c r="D24" s="394">
        <f t="shared" ref="D24:L24" si="10">D$23*$B24</f>
        <v>782.4</v>
      </c>
      <c r="E24" s="394">
        <f t="shared" si="10"/>
        <v>782.4</v>
      </c>
      <c r="F24" s="394">
        <f t="shared" si="10"/>
        <v>782.4</v>
      </c>
      <c r="G24" s="394">
        <f t="shared" si="10"/>
        <v>782.4</v>
      </c>
      <c r="H24" s="394">
        <f t="shared" si="10"/>
        <v>782.4</v>
      </c>
      <c r="I24" s="394">
        <f t="shared" si="10"/>
        <v>782.4</v>
      </c>
      <c r="J24" s="394">
        <f t="shared" si="10"/>
        <v>782.4</v>
      </c>
      <c r="K24" s="394">
        <f t="shared" si="10"/>
        <v>782.4</v>
      </c>
      <c r="L24" s="394">
        <f t="shared" si="10"/>
        <v>782.4</v>
      </c>
    </row>
    <row r="25" spans="1:17" ht="14" thickBot="1" x14ac:dyDescent="0.2">
      <c r="A25" s="84" t="s">
        <v>558</v>
      </c>
      <c r="B25" s="393">
        <f>30*100/88</f>
        <v>34.090909090909093</v>
      </c>
      <c r="C25" s="394">
        <f t="shared" ref="C25:L32" si="11">C$23*$B25</f>
        <v>1363.6363636363637</v>
      </c>
      <c r="D25" s="394">
        <f t="shared" si="11"/>
        <v>1363.6363636363637</v>
      </c>
      <c r="E25" s="394">
        <f t="shared" si="11"/>
        <v>1363.6363636363637</v>
      </c>
      <c r="F25" s="394">
        <f t="shared" si="11"/>
        <v>1363.6363636363637</v>
      </c>
      <c r="G25" s="394">
        <f t="shared" si="11"/>
        <v>1363.6363636363637</v>
      </c>
      <c r="H25" s="394">
        <f t="shared" si="11"/>
        <v>1363.6363636363637</v>
      </c>
      <c r="I25" s="394">
        <f t="shared" si="11"/>
        <v>1363.6363636363637</v>
      </c>
      <c r="J25" s="394">
        <f t="shared" si="11"/>
        <v>1363.6363636363637</v>
      </c>
      <c r="K25" s="394">
        <f t="shared" si="11"/>
        <v>1363.6363636363637</v>
      </c>
      <c r="L25" s="394">
        <f t="shared" si="11"/>
        <v>1363.6363636363637</v>
      </c>
    </row>
    <row r="26" spans="1:17" ht="14" thickBot="1" x14ac:dyDescent="0.2">
      <c r="A26" s="84" t="s">
        <v>559</v>
      </c>
      <c r="B26" s="393">
        <f>35</f>
        <v>35</v>
      </c>
      <c r="C26" s="394">
        <f t="shared" si="11"/>
        <v>1400</v>
      </c>
      <c r="D26" s="394">
        <f t="shared" si="11"/>
        <v>1400</v>
      </c>
      <c r="E26" s="394">
        <f t="shared" si="11"/>
        <v>1400</v>
      </c>
      <c r="F26" s="394">
        <f t="shared" si="11"/>
        <v>1400</v>
      </c>
      <c r="G26" s="394">
        <f t="shared" si="11"/>
        <v>1400</v>
      </c>
      <c r="H26" s="394">
        <f t="shared" si="11"/>
        <v>1400</v>
      </c>
      <c r="I26" s="394">
        <f t="shared" si="11"/>
        <v>1400</v>
      </c>
      <c r="J26" s="394">
        <f t="shared" si="11"/>
        <v>1400</v>
      </c>
      <c r="K26" s="394">
        <f t="shared" si="11"/>
        <v>1400</v>
      </c>
      <c r="L26" s="394">
        <f t="shared" si="11"/>
        <v>1400</v>
      </c>
    </row>
    <row r="27" spans="1:17" ht="14" thickBot="1" x14ac:dyDescent="0.2">
      <c r="A27" s="84" t="s">
        <v>574</v>
      </c>
      <c r="B27" s="393">
        <f>B45</f>
        <v>56.81818181818182</v>
      </c>
      <c r="C27" s="394">
        <f t="shared" si="11"/>
        <v>2272.727272727273</v>
      </c>
      <c r="D27" s="394">
        <f t="shared" si="11"/>
        <v>2272.727272727273</v>
      </c>
      <c r="E27" s="394">
        <f t="shared" si="11"/>
        <v>2272.727272727273</v>
      </c>
      <c r="F27" s="394">
        <f t="shared" si="11"/>
        <v>2272.727272727273</v>
      </c>
      <c r="G27" s="394">
        <f t="shared" si="11"/>
        <v>2272.727272727273</v>
      </c>
      <c r="H27" s="394">
        <f t="shared" si="11"/>
        <v>2272.727272727273</v>
      </c>
      <c r="I27" s="394">
        <f t="shared" si="11"/>
        <v>2272.727272727273</v>
      </c>
      <c r="J27" s="394">
        <f t="shared" si="11"/>
        <v>2272.727272727273</v>
      </c>
      <c r="K27" s="394">
        <f t="shared" si="11"/>
        <v>2272.727272727273</v>
      </c>
      <c r="L27" s="394">
        <f t="shared" si="11"/>
        <v>2272.727272727273</v>
      </c>
    </row>
    <row r="28" spans="1:17" ht="14" thickBot="1" x14ac:dyDescent="0.2">
      <c r="A28" s="84" t="s">
        <v>566</v>
      </c>
      <c r="B28" s="393">
        <f>B10</f>
        <v>36.409090909090907</v>
      </c>
      <c r="C28" s="394">
        <f t="shared" si="11"/>
        <v>1456.3636363636363</v>
      </c>
      <c r="D28" s="394">
        <f t="shared" si="11"/>
        <v>1456.3636363636363</v>
      </c>
      <c r="E28" s="394">
        <f t="shared" si="11"/>
        <v>1456.3636363636363</v>
      </c>
      <c r="F28" s="394">
        <f t="shared" si="11"/>
        <v>1456.3636363636363</v>
      </c>
      <c r="G28" s="394">
        <f t="shared" si="11"/>
        <v>1456.3636363636363</v>
      </c>
      <c r="H28" s="394">
        <f t="shared" si="11"/>
        <v>1456.3636363636363</v>
      </c>
      <c r="I28" s="394">
        <f t="shared" si="11"/>
        <v>1456.3636363636363</v>
      </c>
      <c r="J28" s="394">
        <f t="shared" si="11"/>
        <v>1456.3636363636363</v>
      </c>
      <c r="K28" s="394">
        <f t="shared" si="11"/>
        <v>1456.3636363636363</v>
      </c>
      <c r="L28" s="394">
        <f t="shared" si="11"/>
        <v>1456.3636363636363</v>
      </c>
    </row>
    <row r="29" spans="1:17" ht="14" thickBot="1" x14ac:dyDescent="0.2">
      <c r="A29" s="84" t="s">
        <v>651</v>
      </c>
      <c r="B29" s="393">
        <f>10000/88</f>
        <v>113.63636363636364</v>
      </c>
      <c r="C29" s="394">
        <f t="shared" si="11"/>
        <v>4545.454545454546</v>
      </c>
      <c r="D29" s="394">
        <f t="shared" si="11"/>
        <v>4545.454545454546</v>
      </c>
      <c r="E29" s="394">
        <f t="shared" si="11"/>
        <v>4545.454545454546</v>
      </c>
      <c r="F29" s="394">
        <f t="shared" si="11"/>
        <v>4545.454545454546</v>
      </c>
      <c r="G29" s="394">
        <f t="shared" si="11"/>
        <v>4545.454545454546</v>
      </c>
      <c r="H29" s="394">
        <f t="shared" si="11"/>
        <v>4545.454545454546</v>
      </c>
      <c r="I29" s="394">
        <f t="shared" si="11"/>
        <v>4545.454545454546</v>
      </c>
      <c r="J29" s="394">
        <f t="shared" si="11"/>
        <v>4545.454545454546</v>
      </c>
      <c r="K29" s="394">
        <f t="shared" si="11"/>
        <v>4545.454545454546</v>
      </c>
      <c r="L29" s="394">
        <f t="shared" si="11"/>
        <v>4545.454545454546</v>
      </c>
    </row>
    <row r="30" spans="1:17" ht="14" thickBot="1" x14ac:dyDescent="0.2">
      <c r="A30" s="84" t="s">
        <v>568</v>
      </c>
      <c r="B30" s="393">
        <f>34</f>
        <v>34</v>
      </c>
      <c r="C30" s="394">
        <f t="shared" si="11"/>
        <v>1360</v>
      </c>
      <c r="D30" s="394">
        <f t="shared" si="11"/>
        <v>1360</v>
      </c>
      <c r="E30" s="394">
        <f t="shared" si="11"/>
        <v>1360</v>
      </c>
      <c r="F30" s="394">
        <f t="shared" si="11"/>
        <v>1360</v>
      </c>
      <c r="G30" s="394">
        <f t="shared" si="11"/>
        <v>1360</v>
      </c>
      <c r="H30" s="394">
        <f t="shared" si="11"/>
        <v>1360</v>
      </c>
      <c r="I30" s="394">
        <f t="shared" si="11"/>
        <v>1360</v>
      </c>
      <c r="J30" s="394">
        <f t="shared" si="11"/>
        <v>1360</v>
      </c>
      <c r="K30" s="394">
        <f t="shared" si="11"/>
        <v>1360</v>
      </c>
      <c r="L30" s="394">
        <f t="shared" si="11"/>
        <v>1360</v>
      </c>
    </row>
    <row r="31" spans="1:17" ht="14" thickBot="1" x14ac:dyDescent="0.2">
      <c r="A31" s="84" t="str">
        <f>A13</f>
        <v>Diesel for irrigation</v>
      </c>
      <c r="B31" s="393">
        <f>B13/2</f>
        <v>32.283057851239676</v>
      </c>
      <c r="C31" s="394">
        <f t="shared" si="11"/>
        <v>1291.322314049587</v>
      </c>
      <c r="D31" s="394">
        <f t="shared" si="11"/>
        <v>1291.322314049587</v>
      </c>
      <c r="E31" s="394">
        <f t="shared" si="11"/>
        <v>1291.322314049587</v>
      </c>
      <c r="F31" s="394">
        <f t="shared" si="11"/>
        <v>1291.322314049587</v>
      </c>
      <c r="G31" s="394">
        <f t="shared" si="11"/>
        <v>1291.322314049587</v>
      </c>
      <c r="H31" s="394">
        <f t="shared" si="11"/>
        <v>1291.322314049587</v>
      </c>
      <c r="I31" s="394">
        <f t="shared" si="11"/>
        <v>1291.322314049587</v>
      </c>
      <c r="J31" s="394">
        <f t="shared" si="11"/>
        <v>1291.322314049587</v>
      </c>
      <c r="K31" s="394">
        <f t="shared" si="11"/>
        <v>1291.322314049587</v>
      </c>
      <c r="L31" s="394">
        <f t="shared" si="11"/>
        <v>1291.322314049587</v>
      </c>
    </row>
    <row r="32" spans="1:17" ht="14" thickBot="1" x14ac:dyDescent="0.2">
      <c r="A32" s="162" t="s">
        <v>569</v>
      </c>
      <c r="B32" s="393">
        <f>137</f>
        <v>137</v>
      </c>
      <c r="C32" s="394">
        <f t="shared" si="11"/>
        <v>5480</v>
      </c>
      <c r="D32" s="394">
        <f t="shared" si="11"/>
        <v>5480</v>
      </c>
      <c r="E32" s="394">
        <f t="shared" si="11"/>
        <v>5480</v>
      </c>
      <c r="F32" s="394">
        <f t="shared" si="11"/>
        <v>5480</v>
      </c>
      <c r="G32" s="394">
        <f t="shared" si="11"/>
        <v>5480</v>
      </c>
      <c r="H32" s="394">
        <f t="shared" si="11"/>
        <v>5480</v>
      </c>
      <c r="I32" s="394">
        <f t="shared" si="11"/>
        <v>5480</v>
      </c>
      <c r="J32" s="394">
        <f t="shared" si="11"/>
        <v>5480</v>
      </c>
      <c r="K32" s="394">
        <f t="shared" si="11"/>
        <v>5480</v>
      </c>
      <c r="L32" s="394">
        <f t="shared" si="11"/>
        <v>5480</v>
      </c>
    </row>
    <row r="33" spans="1:12" ht="14" thickBot="1" x14ac:dyDescent="0.2">
      <c r="A33" s="164" t="s">
        <v>154</v>
      </c>
      <c r="B33" s="393">
        <f>SUM(B24:B32)</f>
        <v>498.79760330578512</v>
      </c>
      <c r="C33" s="394">
        <f t="shared" ref="C33:L33" si="12">SUM(C24:C32)</f>
        <v>19951.904132231404</v>
      </c>
      <c r="D33" s="394">
        <f t="shared" si="12"/>
        <v>19951.904132231404</v>
      </c>
      <c r="E33" s="394">
        <f t="shared" si="12"/>
        <v>19951.904132231404</v>
      </c>
      <c r="F33" s="394">
        <f t="shared" si="12"/>
        <v>19951.904132231404</v>
      </c>
      <c r="G33" s="394">
        <f t="shared" si="12"/>
        <v>19951.904132231404</v>
      </c>
      <c r="H33" s="394">
        <f t="shared" si="12"/>
        <v>19951.904132231404</v>
      </c>
      <c r="I33" s="394">
        <f t="shared" si="12"/>
        <v>19951.904132231404</v>
      </c>
      <c r="J33" s="394">
        <f t="shared" si="12"/>
        <v>19951.904132231404</v>
      </c>
      <c r="K33" s="394">
        <f t="shared" si="12"/>
        <v>19951.904132231404</v>
      </c>
      <c r="L33" s="394">
        <f t="shared" si="12"/>
        <v>19951.904132231404</v>
      </c>
    </row>
    <row r="34" spans="1:12" ht="14" thickBot="1" x14ac:dyDescent="0.2">
      <c r="A34" s="164" t="s">
        <v>570</v>
      </c>
      <c r="B34" s="85"/>
      <c r="C34" s="394">
        <v>900</v>
      </c>
      <c r="D34" s="394">
        <v>1000</v>
      </c>
      <c r="E34" s="394">
        <f>1100</f>
        <v>1100</v>
      </c>
      <c r="F34" s="394">
        <f>E34</f>
        <v>1100</v>
      </c>
      <c r="G34" s="394">
        <f t="shared" ref="G34:L34" si="13">F34</f>
        <v>1100</v>
      </c>
      <c r="H34" s="394">
        <f t="shared" si="13"/>
        <v>1100</v>
      </c>
      <c r="I34" s="394">
        <f t="shared" si="13"/>
        <v>1100</v>
      </c>
      <c r="J34" s="394">
        <f t="shared" si="13"/>
        <v>1100</v>
      </c>
      <c r="K34" s="394">
        <f t="shared" si="13"/>
        <v>1100</v>
      </c>
      <c r="L34" s="394">
        <f t="shared" si="13"/>
        <v>1100</v>
      </c>
    </row>
    <row r="35" spans="1:12" ht="14" thickBot="1" x14ac:dyDescent="0.2">
      <c r="A35" s="164" t="s">
        <v>571</v>
      </c>
      <c r="B35" s="85"/>
      <c r="C35" s="150">
        <v>1.3</v>
      </c>
      <c r="D35" s="150">
        <f>C35</f>
        <v>1.3</v>
      </c>
      <c r="E35" s="150">
        <f t="shared" ref="E35:L35" si="14">D35</f>
        <v>1.3</v>
      </c>
      <c r="F35" s="150">
        <f t="shared" si="14"/>
        <v>1.3</v>
      </c>
      <c r="G35" s="150">
        <f t="shared" si="14"/>
        <v>1.3</v>
      </c>
      <c r="H35" s="150">
        <f t="shared" si="14"/>
        <v>1.3</v>
      </c>
      <c r="I35" s="150">
        <f t="shared" si="14"/>
        <v>1.3</v>
      </c>
      <c r="J35" s="150">
        <f t="shared" si="14"/>
        <v>1.3</v>
      </c>
      <c r="K35" s="150">
        <f t="shared" si="14"/>
        <v>1.3</v>
      </c>
      <c r="L35" s="150">
        <f t="shared" si="14"/>
        <v>1.3</v>
      </c>
    </row>
    <row r="36" spans="1:12" ht="14" thickBot="1" x14ac:dyDescent="0.2">
      <c r="A36" s="164" t="s">
        <v>572</v>
      </c>
      <c r="B36" s="85"/>
      <c r="C36" s="394">
        <f>C35*C34*C23</f>
        <v>46800</v>
      </c>
      <c r="D36" s="394">
        <f t="shared" ref="D36:L36" si="15">D35*D34*D23</f>
        <v>52000</v>
      </c>
      <c r="E36" s="394">
        <f t="shared" si="15"/>
        <v>57200</v>
      </c>
      <c r="F36" s="394">
        <f t="shared" si="15"/>
        <v>57200</v>
      </c>
      <c r="G36" s="394">
        <f t="shared" si="15"/>
        <v>57200</v>
      </c>
      <c r="H36" s="394">
        <f t="shared" si="15"/>
        <v>57200</v>
      </c>
      <c r="I36" s="394">
        <f t="shared" si="15"/>
        <v>57200</v>
      </c>
      <c r="J36" s="394">
        <f t="shared" si="15"/>
        <v>57200</v>
      </c>
      <c r="K36" s="394">
        <f t="shared" si="15"/>
        <v>57200</v>
      </c>
      <c r="L36" s="394">
        <f t="shared" si="15"/>
        <v>57200</v>
      </c>
    </row>
    <row r="37" spans="1:12" ht="14" thickBot="1" x14ac:dyDescent="0.2">
      <c r="A37" s="164"/>
      <c r="B37" s="148"/>
      <c r="C37" s="394"/>
      <c r="D37" s="394"/>
      <c r="E37" s="394"/>
      <c r="F37" s="394"/>
      <c r="G37" s="394"/>
      <c r="H37" s="394"/>
      <c r="I37" s="394"/>
      <c r="J37" s="394"/>
      <c r="K37" s="394"/>
      <c r="L37" s="394"/>
    </row>
    <row r="38" spans="1:12" ht="14" thickBot="1" x14ac:dyDescent="0.2">
      <c r="A38" s="83" t="s">
        <v>573</v>
      </c>
      <c r="B38" s="148"/>
      <c r="C38" s="394">
        <f>C36-C33</f>
        <v>26848.095867768596</v>
      </c>
      <c r="D38" s="394">
        <f t="shared" ref="D38:L38" si="16">D36-D33</f>
        <v>32048.095867768596</v>
      </c>
      <c r="E38" s="394">
        <f t="shared" si="16"/>
        <v>37248.095867768599</v>
      </c>
      <c r="F38" s="394">
        <f t="shared" si="16"/>
        <v>37248.095867768599</v>
      </c>
      <c r="G38" s="394">
        <f t="shared" si="16"/>
        <v>37248.095867768599</v>
      </c>
      <c r="H38" s="394">
        <f t="shared" si="16"/>
        <v>37248.095867768599</v>
      </c>
      <c r="I38" s="394">
        <f t="shared" si="16"/>
        <v>37248.095867768599</v>
      </c>
      <c r="J38" s="394">
        <f t="shared" si="16"/>
        <v>37248.095867768599</v>
      </c>
      <c r="K38" s="394">
        <f t="shared" si="16"/>
        <v>37248.095867768599</v>
      </c>
      <c r="L38" s="394">
        <f t="shared" si="16"/>
        <v>37248.095867768599</v>
      </c>
    </row>
    <row r="39" spans="1:12" ht="14" thickBot="1" x14ac:dyDescent="0.2">
      <c r="A39" s="80"/>
      <c r="B39" s="149"/>
      <c r="C39" s="147"/>
      <c r="D39" s="147"/>
      <c r="E39" s="147"/>
      <c r="F39" s="147"/>
      <c r="G39" s="147"/>
      <c r="H39" s="147"/>
      <c r="I39" s="147"/>
      <c r="J39" s="147"/>
      <c r="K39" s="147"/>
      <c r="L39" s="147"/>
    </row>
    <row r="40" spans="1:12" ht="14" thickBot="1" x14ac:dyDescent="0.2">
      <c r="A40" s="466" t="s">
        <v>650</v>
      </c>
      <c r="B40" s="466"/>
      <c r="C40" s="466"/>
      <c r="D40" s="466"/>
      <c r="E40" s="466"/>
      <c r="F40" s="466"/>
      <c r="G40" s="466"/>
      <c r="H40" s="466"/>
      <c r="I40" s="466"/>
      <c r="J40" s="466"/>
      <c r="K40" s="466"/>
      <c r="L40" s="466"/>
    </row>
    <row r="41" spans="1:12" ht="14" thickBot="1" x14ac:dyDescent="0.2">
      <c r="A41" s="358" t="s">
        <v>68</v>
      </c>
      <c r="B41" s="87" t="s">
        <v>649</v>
      </c>
      <c r="C41" s="516">
        <v>80</v>
      </c>
      <c r="D41" s="516">
        <f>C41</f>
        <v>80</v>
      </c>
      <c r="E41" s="516">
        <f t="shared" ref="E41:L41" si="17">D41</f>
        <v>80</v>
      </c>
      <c r="F41" s="516">
        <f t="shared" si="17"/>
        <v>80</v>
      </c>
      <c r="G41" s="516">
        <f t="shared" si="17"/>
        <v>80</v>
      </c>
      <c r="H41" s="516">
        <f t="shared" si="17"/>
        <v>80</v>
      </c>
      <c r="I41" s="516">
        <f t="shared" si="17"/>
        <v>80</v>
      </c>
      <c r="J41" s="516">
        <f t="shared" si="17"/>
        <v>80</v>
      </c>
      <c r="K41" s="516">
        <f t="shared" si="17"/>
        <v>80</v>
      </c>
      <c r="L41" s="516">
        <f t="shared" si="17"/>
        <v>80</v>
      </c>
    </row>
    <row r="42" spans="1:12" ht="14" thickBot="1" x14ac:dyDescent="0.2">
      <c r="A42" s="167" t="s">
        <v>556</v>
      </c>
      <c r="B42" s="396">
        <f>B60</f>
        <v>19.559999999999999</v>
      </c>
      <c r="C42" s="397">
        <f>$B42*C$41</f>
        <v>1564.8</v>
      </c>
      <c r="D42" s="397">
        <f t="shared" ref="D42:L42" si="18">$B42*D$41</f>
        <v>1564.8</v>
      </c>
      <c r="E42" s="397">
        <f t="shared" si="18"/>
        <v>1564.8</v>
      </c>
      <c r="F42" s="397">
        <f t="shared" si="18"/>
        <v>1564.8</v>
      </c>
      <c r="G42" s="397">
        <f t="shared" si="18"/>
        <v>1564.8</v>
      </c>
      <c r="H42" s="397">
        <f t="shared" si="18"/>
        <v>1564.8</v>
      </c>
      <c r="I42" s="397">
        <f t="shared" si="18"/>
        <v>1564.8</v>
      </c>
      <c r="J42" s="397">
        <f t="shared" si="18"/>
        <v>1564.8</v>
      </c>
      <c r="K42" s="397">
        <f t="shared" si="18"/>
        <v>1564.8</v>
      </c>
      <c r="L42" s="397">
        <f t="shared" si="18"/>
        <v>1564.8</v>
      </c>
    </row>
    <row r="43" spans="1:12" ht="14" thickBot="1" x14ac:dyDescent="0.2">
      <c r="A43" s="88" t="s">
        <v>558</v>
      </c>
      <c r="B43" s="396">
        <f>100*75/88</f>
        <v>85.227272727272734</v>
      </c>
      <c r="C43" s="397">
        <f t="shared" ref="C43:L51" si="19">$B43*C$41</f>
        <v>6818.1818181818189</v>
      </c>
      <c r="D43" s="397">
        <f t="shared" si="19"/>
        <v>6818.1818181818189</v>
      </c>
      <c r="E43" s="397">
        <f t="shared" si="19"/>
        <v>6818.1818181818189</v>
      </c>
      <c r="F43" s="397">
        <f t="shared" si="19"/>
        <v>6818.1818181818189</v>
      </c>
      <c r="G43" s="397">
        <f t="shared" si="19"/>
        <v>6818.1818181818189</v>
      </c>
      <c r="H43" s="397">
        <f t="shared" si="19"/>
        <v>6818.1818181818189</v>
      </c>
      <c r="I43" s="397">
        <f t="shared" si="19"/>
        <v>6818.1818181818189</v>
      </c>
      <c r="J43" s="397">
        <f t="shared" si="19"/>
        <v>6818.1818181818189</v>
      </c>
      <c r="K43" s="397">
        <f t="shared" si="19"/>
        <v>6818.1818181818189</v>
      </c>
      <c r="L43" s="397">
        <f t="shared" si="19"/>
        <v>6818.1818181818189</v>
      </c>
    </row>
    <row r="44" spans="1:12" ht="14" thickBot="1" x14ac:dyDescent="0.2">
      <c r="A44" s="88" t="s">
        <v>559</v>
      </c>
      <c r="B44" s="396"/>
      <c r="C44" s="397">
        <f t="shared" si="19"/>
        <v>0</v>
      </c>
      <c r="D44" s="397">
        <f t="shared" si="19"/>
        <v>0</v>
      </c>
      <c r="E44" s="397">
        <f t="shared" si="19"/>
        <v>0</v>
      </c>
      <c r="F44" s="397">
        <f t="shared" si="19"/>
        <v>0</v>
      </c>
      <c r="G44" s="397">
        <f t="shared" si="19"/>
        <v>0</v>
      </c>
      <c r="H44" s="397">
        <f t="shared" si="19"/>
        <v>0</v>
      </c>
      <c r="I44" s="397">
        <f t="shared" si="19"/>
        <v>0</v>
      </c>
      <c r="J44" s="397">
        <f t="shared" si="19"/>
        <v>0</v>
      </c>
      <c r="K44" s="397">
        <f t="shared" si="19"/>
        <v>0</v>
      </c>
      <c r="L44" s="397">
        <f t="shared" si="19"/>
        <v>0</v>
      </c>
    </row>
    <row r="45" spans="1:12" ht="14" thickBot="1" x14ac:dyDescent="0.2">
      <c r="A45" s="88" t="s">
        <v>574</v>
      </c>
      <c r="B45" s="396">
        <f>5000/88</f>
        <v>56.81818181818182</v>
      </c>
      <c r="C45" s="397">
        <f t="shared" si="19"/>
        <v>4545.454545454546</v>
      </c>
      <c r="D45" s="397">
        <f t="shared" si="19"/>
        <v>4545.454545454546</v>
      </c>
      <c r="E45" s="397">
        <f t="shared" si="19"/>
        <v>4545.454545454546</v>
      </c>
      <c r="F45" s="397">
        <f t="shared" si="19"/>
        <v>4545.454545454546</v>
      </c>
      <c r="G45" s="397">
        <f t="shared" si="19"/>
        <v>4545.454545454546</v>
      </c>
      <c r="H45" s="397">
        <f t="shared" si="19"/>
        <v>4545.454545454546</v>
      </c>
      <c r="I45" s="397">
        <f t="shared" si="19"/>
        <v>4545.454545454546</v>
      </c>
      <c r="J45" s="397">
        <f t="shared" si="19"/>
        <v>4545.454545454546</v>
      </c>
      <c r="K45" s="397">
        <f t="shared" si="19"/>
        <v>4545.454545454546</v>
      </c>
      <c r="L45" s="397">
        <f t="shared" si="19"/>
        <v>4545.454545454546</v>
      </c>
    </row>
    <row r="46" spans="1:12" ht="14" thickBot="1" x14ac:dyDescent="0.2">
      <c r="A46" s="88" t="s">
        <v>566</v>
      </c>
      <c r="B46" s="396">
        <f>10000/88</f>
        <v>113.63636363636364</v>
      </c>
      <c r="C46" s="397">
        <f t="shared" si="19"/>
        <v>9090.9090909090919</v>
      </c>
      <c r="D46" s="397">
        <f t="shared" si="19"/>
        <v>9090.9090909090919</v>
      </c>
      <c r="E46" s="397">
        <f t="shared" si="19"/>
        <v>9090.9090909090919</v>
      </c>
      <c r="F46" s="397">
        <f t="shared" si="19"/>
        <v>9090.9090909090919</v>
      </c>
      <c r="G46" s="397">
        <f t="shared" si="19"/>
        <v>9090.9090909090919</v>
      </c>
      <c r="H46" s="397">
        <f t="shared" si="19"/>
        <v>9090.9090909090919</v>
      </c>
      <c r="I46" s="397">
        <f t="shared" si="19"/>
        <v>9090.9090909090919</v>
      </c>
      <c r="J46" s="397">
        <f t="shared" si="19"/>
        <v>9090.9090909090919</v>
      </c>
      <c r="K46" s="397">
        <f t="shared" si="19"/>
        <v>9090.9090909090919</v>
      </c>
      <c r="L46" s="397">
        <f t="shared" si="19"/>
        <v>9090.9090909090919</v>
      </c>
    </row>
    <row r="47" spans="1:12" ht="14" thickBot="1" x14ac:dyDescent="0.2">
      <c r="A47" s="88" t="s">
        <v>651</v>
      </c>
      <c r="B47" s="396">
        <f>B45+2500/88</f>
        <v>85.227272727272734</v>
      </c>
      <c r="C47" s="397">
        <f t="shared" si="19"/>
        <v>6818.1818181818189</v>
      </c>
      <c r="D47" s="397">
        <f t="shared" si="19"/>
        <v>6818.1818181818189</v>
      </c>
      <c r="E47" s="397">
        <f t="shared" si="19"/>
        <v>6818.1818181818189</v>
      </c>
      <c r="F47" s="397">
        <f t="shared" si="19"/>
        <v>6818.1818181818189</v>
      </c>
      <c r="G47" s="397">
        <f t="shared" si="19"/>
        <v>6818.1818181818189</v>
      </c>
      <c r="H47" s="397">
        <f t="shared" si="19"/>
        <v>6818.1818181818189</v>
      </c>
      <c r="I47" s="397">
        <f t="shared" si="19"/>
        <v>6818.1818181818189</v>
      </c>
      <c r="J47" s="397">
        <f t="shared" si="19"/>
        <v>6818.1818181818189</v>
      </c>
      <c r="K47" s="397">
        <f t="shared" si="19"/>
        <v>6818.1818181818189</v>
      </c>
      <c r="L47" s="397">
        <f t="shared" si="19"/>
        <v>6818.1818181818189</v>
      </c>
    </row>
    <row r="48" spans="1:12" ht="14" thickBot="1" x14ac:dyDescent="0.2">
      <c r="A48" s="88" t="s">
        <v>568</v>
      </c>
      <c r="B48" s="396">
        <f>B47</f>
        <v>85.227272727272734</v>
      </c>
      <c r="C48" s="397">
        <f t="shared" si="19"/>
        <v>6818.1818181818189</v>
      </c>
      <c r="D48" s="397">
        <f t="shared" si="19"/>
        <v>6818.1818181818189</v>
      </c>
      <c r="E48" s="397">
        <f t="shared" si="19"/>
        <v>6818.1818181818189</v>
      </c>
      <c r="F48" s="397">
        <f t="shared" si="19"/>
        <v>6818.1818181818189</v>
      </c>
      <c r="G48" s="397">
        <f t="shared" si="19"/>
        <v>6818.1818181818189</v>
      </c>
      <c r="H48" s="397">
        <f t="shared" si="19"/>
        <v>6818.1818181818189</v>
      </c>
      <c r="I48" s="397">
        <f t="shared" si="19"/>
        <v>6818.1818181818189</v>
      </c>
      <c r="J48" s="397">
        <f t="shared" si="19"/>
        <v>6818.1818181818189</v>
      </c>
      <c r="K48" s="397">
        <f t="shared" si="19"/>
        <v>6818.1818181818189</v>
      </c>
      <c r="L48" s="397">
        <f t="shared" si="19"/>
        <v>6818.1818181818189</v>
      </c>
    </row>
    <row r="49" spans="1:16" ht="14" thickBot="1" x14ac:dyDescent="0.2">
      <c r="A49" s="88" t="str">
        <f>A13</f>
        <v>Diesel for irrigation</v>
      </c>
      <c r="B49" s="396">
        <f>B13*2</f>
        <v>129.1322314049587</v>
      </c>
      <c r="C49" s="397">
        <f t="shared" si="19"/>
        <v>10330.578512396696</v>
      </c>
      <c r="D49" s="397">
        <f t="shared" si="19"/>
        <v>10330.578512396696</v>
      </c>
      <c r="E49" s="397">
        <f t="shared" si="19"/>
        <v>10330.578512396696</v>
      </c>
      <c r="F49" s="397">
        <f t="shared" si="19"/>
        <v>10330.578512396696</v>
      </c>
      <c r="G49" s="397">
        <f t="shared" si="19"/>
        <v>10330.578512396696</v>
      </c>
      <c r="H49" s="397">
        <f t="shared" si="19"/>
        <v>10330.578512396696</v>
      </c>
      <c r="I49" s="397">
        <f t="shared" si="19"/>
        <v>10330.578512396696</v>
      </c>
      <c r="J49" s="397">
        <f t="shared" si="19"/>
        <v>10330.578512396696</v>
      </c>
      <c r="K49" s="397">
        <f t="shared" si="19"/>
        <v>10330.578512396696</v>
      </c>
      <c r="L49" s="397">
        <f t="shared" si="19"/>
        <v>10330.578512396696</v>
      </c>
    </row>
    <row r="50" spans="1:16" ht="14" thickBot="1" x14ac:dyDescent="0.2">
      <c r="A50" s="168" t="s">
        <v>569</v>
      </c>
      <c r="B50" s="396">
        <f>10000/88</f>
        <v>113.63636363636364</v>
      </c>
      <c r="C50" s="397">
        <f t="shared" si="19"/>
        <v>9090.9090909090919</v>
      </c>
      <c r="D50" s="397">
        <f t="shared" si="19"/>
        <v>9090.9090909090919</v>
      </c>
      <c r="E50" s="397">
        <f t="shared" si="19"/>
        <v>9090.9090909090919</v>
      </c>
      <c r="F50" s="397">
        <f t="shared" si="19"/>
        <v>9090.9090909090919</v>
      </c>
      <c r="G50" s="397">
        <f t="shared" si="19"/>
        <v>9090.9090909090919</v>
      </c>
      <c r="H50" s="397">
        <f t="shared" si="19"/>
        <v>9090.9090909090919</v>
      </c>
      <c r="I50" s="397">
        <f t="shared" si="19"/>
        <v>9090.9090909090919</v>
      </c>
      <c r="J50" s="397">
        <f t="shared" si="19"/>
        <v>9090.9090909090919</v>
      </c>
      <c r="K50" s="397">
        <f t="shared" si="19"/>
        <v>9090.9090909090919</v>
      </c>
      <c r="L50" s="397">
        <f t="shared" si="19"/>
        <v>9090.9090909090919</v>
      </c>
    </row>
    <row r="51" spans="1:16" ht="14" thickBot="1" x14ac:dyDescent="0.2">
      <c r="A51" s="169" t="s">
        <v>154</v>
      </c>
      <c r="B51" s="396">
        <f>SUM(B42:B50)</f>
        <v>688.46495867768601</v>
      </c>
      <c r="C51" s="397">
        <f t="shared" si="19"/>
        <v>55077.196694214879</v>
      </c>
      <c r="D51" s="397">
        <f t="shared" si="19"/>
        <v>55077.196694214879</v>
      </c>
      <c r="E51" s="397">
        <f t="shared" si="19"/>
        <v>55077.196694214879</v>
      </c>
      <c r="F51" s="397">
        <f t="shared" si="19"/>
        <v>55077.196694214879</v>
      </c>
      <c r="G51" s="397">
        <f t="shared" si="19"/>
        <v>55077.196694214879</v>
      </c>
      <c r="H51" s="397">
        <f t="shared" si="19"/>
        <v>55077.196694214879</v>
      </c>
      <c r="I51" s="397">
        <f t="shared" si="19"/>
        <v>55077.196694214879</v>
      </c>
      <c r="J51" s="397">
        <f t="shared" si="19"/>
        <v>55077.196694214879</v>
      </c>
      <c r="K51" s="397">
        <f t="shared" si="19"/>
        <v>55077.196694214879</v>
      </c>
      <c r="L51" s="397">
        <f t="shared" si="19"/>
        <v>55077.196694214879</v>
      </c>
    </row>
    <row r="52" spans="1:16" ht="14" thickBot="1" x14ac:dyDescent="0.2">
      <c r="A52" s="169" t="s">
        <v>570</v>
      </c>
      <c r="B52" s="87"/>
      <c r="C52" s="397">
        <v>3750</v>
      </c>
      <c r="D52" s="397">
        <v>4000</v>
      </c>
      <c r="E52" s="397">
        <v>4250</v>
      </c>
      <c r="F52" s="397">
        <v>4500</v>
      </c>
      <c r="G52" s="397">
        <v>5000</v>
      </c>
      <c r="H52" s="397">
        <f>G52</f>
        <v>5000</v>
      </c>
      <c r="I52" s="397">
        <f t="shared" ref="I52:L53" si="20">H52</f>
        <v>5000</v>
      </c>
      <c r="J52" s="397">
        <f t="shared" si="20"/>
        <v>5000</v>
      </c>
      <c r="K52" s="397">
        <f t="shared" si="20"/>
        <v>5000</v>
      </c>
      <c r="L52" s="397">
        <f t="shared" si="20"/>
        <v>5000</v>
      </c>
    </row>
    <row r="53" spans="1:16" ht="14" thickBot="1" x14ac:dyDescent="0.2">
      <c r="A53" s="169" t="s">
        <v>571</v>
      </c>
      <c r="B53" s="87"/>
      <c r="C53" s="152">
        <f>16/88</f>
        <v>0.18181818181818182</v>
      </c>
      <c r="D53" s="152">
        <f>C53</f>
        <v>0.18181818181818182</v>
      </c>
      <c r="E53" s="152">
        <f t="shared" ref="E53:H53" si="21">D53</f>
        <v>0.18181818181818182</v>
      </c>
      <c r="F53" s="152">
        <f t="shared" si="21"/>
        <v>0.18181818181818182</v>
      </c>
      <c r="G53" s="152">
        <f t="shared" si="21"/>
        <v>0.18181818181818182</v>
      </c>
      <c r="H53" s="152">
        <f t="shared" si="21"/>
        <v>0.18181818181818182</v>
      </c>
      <c r="I53" s="152">
        <f t="shared" si="20"/>
        <v>0.18181818181818182</v>
      </c>
      <c r="J53" s="152">
        <f t="shared" si="20"/>
        <v>0.18181818181818182</v>
      </c>
      <c r="K53" s="152">
        <f t="shared" si="20"/>
        <v>0.18181818181818182</v>
      </c>
      <c r="L53" s="152">
        <f t="shared" si="20"/>
        <v>0.18181818181818182</v>
      </c>
    </row>
    <row r="54" spans="1:16" ht="14" thickBot="1" x14ac:dyDescent="0.2">
      <c r="A54" s="169" t="s">
        <v>572</v>
      </c>
      <c r="B54" s="87"/>
      <c r="C54" s="397">
        <f>C53*C52*C41</f>
        <v>54545.454545454551</v>
      </c>
      <c r="D54" s="397">
        <f t="shared" ref="D54:L54" si="22">D53*D52*D41</f>
        <v>58181.818181818177</v>
      </c>
      <c r="E54" s="397">
        <f t="shared" si="22"/>
        <v>61818.181818181823</v>
      </c>
      <c r="F54" s="397">
        <f t="shared" si="22"/>
        <v>65454.545454545456</v>
      </c>
      <c r="G54" s="397">
        <f t="shared" si="22"/>
        <v>72727.272727272735</v>
      </c>
      <c r="H54" s="397">
        <f t="shared" si="22"/>
        <v>72727.272727272735</v>
      </c>
      <c r="I54" s="397">
        <f t="shared" si="22"/>
        <v>72727.272727272735</v>
      </c>
      <c r="J54" s="397">
        <f t="shared" si="22"/>
        <v>72727.272727272735</v>
      </c>
      <c r="K54" s="397">
        <f t="shared" si="22"/>
        <v>72727.272727272735</v>
      </c>
      <c r="L54" s="397">
        <f t="shared" si="22"/>
        <v>72727.272727272735</v>
      </c>
    </row>
    <row r="55" spans="1:16" ht="14" thickBot="1" x14ac:dyDescent="0.2">
      <c r="A55" s="169"/>
      <c r="B55" s="87"/>
      <c r="C55" s="151"/>
      <c r="D55" s="151"/>
      <c r="E55" s="151"/>
      <c r="F55" s="151"/>
      <c r="G55" s="151"/>
      <c r="H55" s="151"/>
      <c r="I55" s="151"/>
      <c r="J55" s="151"/>
      <c r="K55" s="151"/>
      <c r="L55" s="151"/>
    </row>
    <row r="56" spans="1:16" ht="14" thickBot="1" x14ac:dyDescent="0.2">
      <c r="A56" s="86" t="s">
        <v>573</v>
      </c>
      <c r="B56" s="87"/>
      <c r="C56" s="87">
        <f>C54-C51</f>
        <v>-531.74214876032784</v>
      </c>
      <c r="D56" s="397">
        <f t="shared" ref="D56:L56" si="23">D54-D51</f>
        <v>3104.6214876032973</v>
      </c>
      <c r="E56" s="397">
        <f t="shared" si="23"/>
        <v>6740.9851239669442</v>
      </c>
      <c r="F56" s="397">
        <f t="shared" si="23"/>
        <v>10377.348760330577</v>
      </c>
      <c r="G56" s="397">
        <f t="shared" si="23"/>
        <v>17650.076033057856</v>
      </c>
      <c r="H56" s="397">
        <f t="shared" si="23"/>
        <v>17650.076033057856</v>
      </c>
      <c r="I56" s="397">
        <f t="shared" si="23"/>
        <v>17650.076033057856</v>
      </c>
      <c r="J56" s="397">
        <f t="shared" si="23"/>
        <v>17650.076033057856</v>
      </c>
      <c r="K56" s="397">
        <f t="shared" si="23"/>
        <v>17650.076033057856</v>
      </c>
      <c r="L56" s="397">
        <f t="shared" si="23"/>
        <v>17650.076033057856</v>
      </c>
    </row>
    <row r="57" spans="1:16" ht="14" thickBot="1" x14ac:dyDescent="0.2">
      <c r="A57" s="80"/>
      <c r="B57" s="149"/>
      <c r="C57" s="98"/>
      <c r="D57" s="98"/>
      <c r="E57" s="98"/>
      <c r="F57" s="98"/>
      <c r="G57" s="98"/>
      <c r="H57" s="98"/>
      <c r="I57" s="98"/>
      <c r="J57" s="98"/>
      <c r="K57" s="98"/>
      <c r="L57" s="98"/>
    </row>
    <row r="58" spans="1:16" ht="14" thickBot="1" x14ac:dyDescent="0.2">
      <c r="A58" s="465" t="s">
        <v>575</v>
      </c>
      <c r="B58" s="465"/>
      <c r="C58" s="465"/>
      <c r="D58" s="465"/>
      <c r="E58" s="465"/>
      <c r="F58" s="465"/>
      <c r="G58" s="465"/>
      <c r="H58" s="465"/>
      <c r="I58" s="465"/>
      <c r="J58" s="465"/>
      <c r="K58" s="465"/>
      <c r="L58" s="465"/>
    </row>
    <row r="59" spans="1:16" ht="14" thickBot="1" x14ac:dyDescent="0.2">
      <c r="A59" s="357" t="s">
        <v>68</v>
      </c>
      <c r="B59" s="159" t="s">
        <v>557</v>
      </c>
      <c r="C59" s="160">
        <v>80</v>
      </c>
      <c r="D59" s="160">
        <f>C59</f>
        <v>80</v>
      </c>
      <c r="E59" s="160">
        <f t="shared" ref="E59" si="24">D59</f>
        <v>80</v>
      </c>
      <c r="F59" s="160">
        <f t="shared" ref="F59" si="25">E59</f>
        <v>80</v>
      </c>
      <c r="G59" s="160">
        <f t="shared" ref="G59" si="26">F59</f>
        <v>80</v>
      </c>
      <c r="H59" s="160">
        <f t="shared" ref="H59" si="27">G59</f>
        <v>80</v>
      </c>
      <c r="I59" s="160">
        <f t="shared" ref="I59" si="28">H59</f>
        <v>80</v>
      </c>
      <c r="J59" s="160">
        <f t="shared" ref="J59" si="29">I59</f>
        <v>80</v>
      </c>
      <c r="K59" s="160">
        <f t="shared" ref="K59" si="30">J59</f>
        <v>80</v>
      </c>
      <c r="L59" s="160">
        <f t="shared" ref="L59" si="31">K59</f>
        <v>80</v>
      </c>
    </row>
    <row r="60" spans="1:16" ht="14" thickBot="1" x14ac:dyDescent="0.2">
      <c r="A60" s="161" t="s">
        <v>556</v>
      </c>
      <c r="B60" s="91">
        <v>19.559999999999999</v>
      </c>
      <c r="C60" s="394">
        <f>$B60*C$5</f>
        <v>1564.8</v>
      </c>
      <c r="D60" s="394">
        <f t="shared" ref="D60:L60" si="32">$B60*D$5</f>
        <v>1564.8</v>
      </c>
      <c r="E60" s="394">
        <f t="shared" si="32"/>
        <v>1564.8</v>
      </c>
      <c r="F60" s="394">
        <f t="shared" si="32"/>
        <v>1564.8</v>
      </c>
      <c r="G60" s="394">
        <f t="shared" si="32"/>
        <v>1564.8</v>
      </c>
      <c r="H60" s="394">
        <f t="shared" si="32"/>
        <v>1564.8</v>
      </c>
      <c r="I60" s="394">
        <f t="shared" si="32"/>
        <v>1564.8</v>
      </c>
      <c r="J60" s="394">
        <f t="shared" si="32"/>
        <v>1564.8</v>
      </c>
      <c r="K60" s="394">
        <f t="shared" si="32"/>
        <v>1564.8</v>
      </c>
      <c r="L60" s="394">
        <f t="shared" si="32"/>
        <v>1564.8</v>
      </c>
      <c r="P60" s="42" t="s">
        <v>578</v>
      </c>
    </row>
    <row r="61" spans="1:16" ht="14" thickBot="1" x14ac:dyDescent="0.2">
      <c r="A61" s="84" t="s">
        <v>558</v>
      </c>
      <c r="B61" s="91">
        <f>300*6/88</f>
        <v>20.454545454545453</v>
      </c>
      <c r="C61" s="394">
        <f t="shared" ref="C61:L69" si="33">$B61*C$5</f>
        <v>1636.3636363636363</v>
      </c>
      <c r="D61" s="394">
        <f t="shared" si="33"/>
        <v>1636.3636363636363</v>
      </c>
      <c r="E61" s="394">
        <f t="shared" si="33"/>
        <v>1636.3636363636363</v>
      </c>
      <c r="F61" s="394">
        <f t="shared" si="33"/>
        <v>1636.3636363636363</v>
      </c>
      <c r="G61" s="394">
        <f t="shared" si="33"/>
        <v>1636.3636363636363</v>
      </c>
      <c r="H61" s="394">
        <f t="shared" si="33"/>
        <v>1636.3636363636363</v>
      </c>
      <c r="I61" s="394">
        <f t="shared" si="33"/>
        <v>1636.3636363636363</v>
      </c>
      <c r="J61" s="394">
        <f t="shared" si="33"/>
        <v>1636.3636363636363</v>
      </c>
      <c r="K61" s="394">
        <f t="shared" si="33"/>
        <v>1636.3636363636363</v>
      </c>
      <c r="L61" s="394">
        <f t="shared" si="33"/>
        <v>1636.3636363636363</v>
      </c>
      <c r="O61" s="42" t="s">
        <v>577</v>
      </c>
      <c r="P61" s="42">
        <v>10</v>
      </c>
    </row>
    <row r="62" spans="1:16" ht="14" thickBot="1" x14ac:dyDescent="0.2">
      <c r="A62" s="84" t="s">
        <v>559</v>
      </c>
      <c r="B62" s="91">
        <f>150*1.5*2.5/88</f>
        <v>6.3920454545454541</v>
      </c>
      <c r="C62" s="394">
        <f t="shared" si="33"/>
        <v>511.36363636363632</v>
      </c>
      <c r="D62" s="394">
        <f t="shared" si="33"/>
        <v>511.36363636363632</v>
      </c>
      <c r="E62" s="394">
        <f t="shared" si="33"/>
        <v>511.36363636363632</v>
      </c>
      <c r="F62" s="394">
        <f t="shared" si="33"/>
        <v>511.36363636363632</v>
      </c>
      <c r="G62" s="394">
        <f t="shared" si="33"/>
        <v>511.36363636363632</v>
      </c>
      <c r="H62" s="394">
        <f t="shared" si="33"/>
        <v>511.36363636363632</v>
      </c>
      <c r="I62" s="394">
        <f t="shared" si="33"/>
        <v>511.36363636363632</v>
      </c>
      <c r="J62" s="394">
        <f t="shared" si="33"/>
        <v>511.36363636363632</v>
      </c>
      <c r="K62" s="394">
        <f t="shared" si="33"/>
        <v>511.36363636363632</v>
      </c>
      <c r="L62" s="394">
        <f t="shared" si="33"/>
        <v>511.36363636363632</v>
      </c>
      <c r="O62" s="42" t="s">
        <v>579</v>
      </c>
      <c r="P62" s="42">
        <f>75/88</f>
        <v>0.85227272727272729</v>
      </c>
    </row>
    <row r="63" spans="1:16" ht="14" thickBot="1" x14ac:dyDescent="0.2">
      <c r="A63" s="84" t="s">
        <v>574</v>
      </c>
      <c r="B63" s="91">
        <f>B60</f>
        <v>19.559999999999999</v>
      </c>
      <c r="C63" s="394">
        <f t="shared" si="33"/>
        <v>1564.8</v>
      </c>
      <c r="D63" s="394">
        <f t="shared" si="33"/>
        <v>1564.8</v>
      </c>
      <c r="E63" s="394">
        <f t="shared" si="33"/>
        <v>1564.8</v>
      </c>
      <c r="F63" s="394">
        <f t="shared" si="33"/>
        <v>1564.8</v>
      </c>
      <c r="G63" s="394">
        <f t="shared" si="33"/>
        <v>1564.8</v>
      </c>
      <c r="H63" s="394">
        <f t="shared" si="33"/>
        <v>1564.8</v>
      </c>
      <c r="I63" s="394">
        <f t="shared" si="33"/>
        <v>1564.8</v>
      </c>
      <c r="J63" s="394">
        <f t="shared" si="33"/>
        <v>1564.8</v>
      </c>
      <c r="K63" s="394">
        <f t="shared" si="33"/>
        <v>1564.8</v>
      </c>
      <c r="L63" s="394">
        <f t="shared" si="33"/>
        <v>1564.8</v>
      </c>
      <c r="O63" s="42" t="s">
        <v>580</v>
      </c>
      <c r="P63" s="42">
        <f>P62*P61</f>
        <v>8.5227272727272734</v>
      </c>
    </row>
    <row r="64" spans="1:16" ht="14" thickBot="1" x14ac:dyDescent="0.2">
      <c r="A64" s="84" t="s">
        <v>566</v>
      </c>
      <c r="B64" s="91">
        <f>Q17</f>
        <v>36.409090909090907</v>
      </c>
      <c r="C64" s="394">
        <f t="shared" si="33"/>
        <v>2912.7272727272725</v>
      </c>
      <c r="D64" s="394">
        <f t="shared" si="33"/>
        <v>2912.7272727272725</v>
      </c>
      <c r="E64" s="394">
        <f t="shared" si="33"/>
        <v>2912.7272727272725</v>
      </c>
      <c r="F64" s="394">
        <f t="shared" si="33"/>
        <v>2912.7272727272725</v>
      </c>
      <c r="G64" s="394">
        <f t="shared" si="33"/>
        <v>2912.7272727272725</v>
      </c>
      <c r="H64" s="394">
        <f t="shared" si="33"/>
        <v>2912.7272727272725</v>
      </c>
      <c r="I64" s="394">
        <f t="shared" si="33"/>
        <v>2912.7272727272725</v>
      </c>
      <c r="J64" s="394">
        <f t="shared" si="33"/>
        <v>2912.7272727272725</v>
      </c>
      <c r="K64" s="394">
        <f t="shared" si="33"/>
        <v>2912.7272727272725</v>
      </c>
      <c r="L64" s="394">
        <f t="shared" si="33"/>
        <v>2912.7272727272725</v>
      </c>
      <c r="O64" s="42" t="s">
        <v>581</v>
      </c>
      <c r="P64" s="42">
        <f>P63*25/33</f>
        <v>6.4566115702479348</v>
      </c>
    </row>
    <row r="65" spans="1:16" ht="14" thickBot="1" x14ac:dyDescent="0.2">
      <c r="A65" s="84" t="s">
        <v>565</v>
      </c>
      <c r="B65" s="91">
        <f>500*1.5*2.5/88</f>
        <v>21.306818181818183</v>
      </c>
      <c r="C65" s="394">
        <f t="shared" si="33"/>
        <v>1704.5454545454547</v>
      </c>
      <c r="D65" s="394">
        <f t="shared" si="33"/>
        <v>1704.5454545454547</v>
      </c>
      <c r="E65" s="394">
        <f t="shared" si="33"/>
        <v>1704.5454545454547</v>
      </c>
      <c r="F65" s="394">
        <f t="shared" si="33"/>
        <v>1704.5454545454547</v>
      </c>
      <c r="G65" s="394">
        <f t="shared" si="33"/>
        <v>1704.5454545454547</v>
      </c>
      <c r="H65" s="394">
        <f t="shared" si="33"/>
        <v>1704.5454545454547</v>
      </c>
      <c r="I65" s="394">
        <f t="shared" si="33"/>
        <v>1704.5454545454547</v>
      </c>
      <c r="J65" s="394">
        <f t="shared" si="33"/>
        <v>1704.5454545454547</v>
      </c>
      <c r="K65" s="394">
        <f t="shared" si="33"/>
        <v>1704.5454545454547</v>
      </c>
      <c r="L65" s="394">
        <f t="shared" si="33"/>
        <v>1704.5454545454547</v>
      </c>
      <c r="O65" s="42" t="s">
        <v>582</v>
      </c>
      <c r="P65" s="42">
        <v>3</v>
      </c>
    </row>
    <row r="66" spans="1:16" ht="14" thickBot="1" x14ac:dyDescent="0.2">
      <c r="A66" s="84" t="s">
        <v>568</v>
      </c>
      <c r="B66" s="91">
        <f>(1000*1.5*2.5)/88</f>
        <v>42.613636363636367</v>
      </c>
      <c r="C66" s="394">
        <f t="shared" si="33"/>
        <v>3409.0909090909095</v>
      </c>
      <c r="D66" s="394">
        <f t="shared" si="33"/>
        <v>3409.0909090909095</v>
      </c>
      <c r="E66" s="394">
        <f t="shared" si="33"/>
        <v>3409.0909090909095</v>
      </c>
      <c r="F66" s="394">
        <f t="shared" si="33"/>
        <v>3409.0909090909095</v>
      </c>
      <c r="G66" s="394">
        <f t="shared" si="33"/>
        <v>3409.0909090909095</v>
      </c>
      <c r="H66" s="394">
        <f t="shared" si="33"/>
        <v>3409.0909090909095</v>
      </c>
      <c r="I66" s="394">
        <f t="shared" si="33"/>
        <v>3409.0909090909095</v>
      </c>
      <c r="J66" s="394">
        <f t="shared" si="33"/>
        <v>3409.0909090909095</v>
      </c>
      <c r="K66" s="394">
        <f t="shared" si="33"/>
        <v>3409.0909090909095</v>
      </c>
      <c r="L66" s="394">
        <f t="shared" si="33"/>
        <v>3409.0909090909095</v>
      </c>
      <c r="O66" s="42" t="s">
        <v>583</v>
      </c>
      <c r="P66" s="42">
        <f>P65*P64*2</f>
        <v>38.739669421487605</v>
      </c>
    </row>
    <row r="67" spans="1:16" ht="14" thickBot="1" x14ac:dyDescent="0.2">
      <c r="A67" s="84" t="str">
        <f>A13</f>
        <v>Diesel for irrigation</v>
      </c>
      <c r="B67" s="91">
        <f>P66</f>
        <v>38.739669421487605</v>
      </c>
      <c r="C67" s="394">
        <f>B67*C5</f>
        <v>3099.1735537190084</v>
      </c>
      <c r="D67" s="394">
        <f>C67</f>
        <v>3099.1735537190084</v>
      </c>
      <c r="E67" s="394">
        <f t="shared" ref="E67:L67" si="34">D67</f>
        <v>3099.1735537190084</v>
      </c>
      <c r="F67" s="394">
        <f t="shared" si="34"/>
        <v>3099.1735537190084</v>
      </c>
      <c r="G67" s="394">
        <f t="shared" si="34"/>
        <v>3099.1735537190084</v>
      </c>
      <c r="H67" s="394">
        <f t="shared" si="34"/>
        <v>3099.1735537190084</v>
      </c>
      <c r="I67" s="394">
        <f t="shared" si="34"/>
        <v>3099.1735537190084</v>
      </c>
      <c r="J67" s="394">
        <f t="shared" si="34"/>
        <v>3099.1735537190084</v>
      </c>
      <c r="K67" s="394">
        <f t="shared" si="34"/>
        <v>3099.1735537190084</v>
      </c>
      <c r="L67" s="394">
        <f t="shared" si="34"/>
        <v>3099.1735537190084</v>
      </c>
    </row>
    <row r="68" spans="1:16" ht="14" thickBot="1" x14ac:dyDescent="0.2">
      <c r="A68" s="162" t="s">
        <v>569</v>
      </c>
      <c r="B68" s="91">
        <f>1000*2.5/88</f>
        <v>28.40909090909091</v>
      </c>
      <c r="C68" s="394">
        <f t="shared" si="33"/>
        <v>2272.727272727273</v>
      </c>
      <c r="D68" s="394">
        <f t="shared" si="33"/>
        <v>2272.727272727273</v>
      </c>
      <c r="E68" s="394">
        <f t="shared" si="33"/>
        <v>2272.727272727273</v>
      </c>
      <c r="F68" s="394">
        <f t="shared" si="33"/>
        <v>2272.727272727273</v>
      </c>
      <c r="G68" s="394">
        <f t="shared" si="33"/>
        <v>2272.727272727273</v>
      </c>
      <c r="H68" s="394">
        <f t="shared" si="33"/>
        <v>2272.727272727273</v>
      </c>
      <c r="I68" s="394">
        <f t="shared" si="33"/>
        <v>2272.727272727273</v>
      </c>
      <c r="J68" s="394">
        <f t="shared" si="33"/>
        <v>2272.727272727273</v>
      </c>
      <c r="K68" s="394">
        <f t="shared" si="33"/>
        <v>2272.727272727273</v>
      </c>
      <c r="L68" s="394">
        <f t="shared" si="33"/>
        <v>2272.727272727273</v>
      </c>
    </row>
    <row r="69" spans="1:16" ht="14" thickBot="1" x14ac:dyDescent="0.2">
      <c r="A69" s="164" t="s">
        <v>154</v>
      </c>
      <c r="B69" s="393">
        <f>SUM(B60:B68)</f>
        <v>233.44489669421489</v>
      </c>
      <c r="C69" s="394">
        <f t="shared" si="33"/>
        <v>18675.591735537193</v>
      </c>
      <c r="D69" s="394">
        <f t="shared" si="33"/>
        <v>18675.591735537193</v>
      </c>
      <c r="E69" s="394">
        <f t="shared" si="33"/>
        <v>18675.591735537193</v>
      </c>
      <c r="F69" s="394">
        <f t="shared" si="33"/>
        <v>18675.591735537193</v>
      </c>
      <c r="G69" s="394">
        <f t="shared" si="33"/>
        <v>18675.591735537193</v>
      </c>
      <c r="H69" s="394">
        <f t="shared" si="33"/>
        <v>18675.591735537193</v>
      </c>
      <c r="I69" s="394">
        <f t="shared" si="33"/>
        <v>18675.591735537193</v>
      </c>
      <c r="J69" s="394">
        <f t="shared" si="33"/>
        <v>18675.591735537193</v>
      </c>
      <c r="K69" s="394">
        <f t="shared" si="33"/>
        <v>18675.591735537193</v>
      </c>
      <c r="L69" s="394">
        <f t="shared" si="33"/>
        <v>18675.591735537193</v>
      </c>
    </row>
    <row r="70" spans="1:16" ht="14" thickBot="1" x14ac:dyDescent="0.2">
      <c r="A70" s="164" t="s">
        <v>570</v>
      </c>
      <c r="B70" s="148"/>
      <c r="C70" s="394">
        <v>800</v>
      </c>
      <c r="D70" s="394">
        <v>900</v>
      </c>
      <c r="E70" s="394">
        <v>1000</v>
      </c>
      <c r="F70" s="394">
        <f>E70</f>
        <v>1000</v>
      </c>
      <c r="G70" s="394">
        <f t="shared" ref="G70:L70" si="35">F70</f>
        <v>1000</v>
      </c>
      <c r="H70" s="394">
        <f t="shared" si="35"/>
        <v>1000</v>
      </c>
      <c r="I70" s="394">
        <f t="shared" si="35"/>
        <v>1000</v>
      </c>
      <c r="J70" s="394">
        <f t="shared" si="35"/>
        <v>1000</v>
      </c>
      <c r="K70" s="394">
        <f t="shared" si="35"/>
        <v>1000</v>
      </c>
      <c r="L70" s="394">
        <f t="shared" si="35"/>
        <v>1000</v>
      </c>
    </row>
    <row r="71" spans="1:16" ht="14" thickBot="1" x14ac:dyDescent="0.2">
      <c r="A71" s="164" t="s">
        <v>571</v>
      </c>
      <c r="B71" s="148"/>
      <c r="C71" s="91">
        <v>0.55000000000000004</v>
      </c>
      <c r="D71" s="91">
        <f>C71</f>
        <v>0.55000000000000004</v>
      </c>
      <c r="E71" s="91">
        <f t="shared" ref="E71:L71" si="36">D71</f>
        <v>0.55000000000000004</v>
      </c>
      <c r="F71" s="91">
        <f t="shared" si="36"/>
        <v>0.55000000000000004</v>
      </c>
      <c r="G71" s="91">
        <f t="shared" si="36"/>
        <v>0.55000000000000004</v>
      </c>
      <c r="H71" s="91">
        <f t="shared" si="36"/>
        <v>0.55000000000000004</v>
      </c>
      <c r="I71" s="91">
        <f t="shared" si="36"/>
        <v>0.55000000000000004</v>
      </c>
      <c r="J71" s="91">
        <f t="shared" si="36"/>
        <v>0.55000000000000004</v>
      </c>
      <c r="K71" s="91">
        <f t="shared" si="36"/>
        <v>0.55000000000000004</v>
      </c>
      <c r="L71" s="91">
        <f t="shared" si="36"/>
        <v>0.55000000000000004</v>
      </c>
    </row>
    <row r="72" spans="1:16" ht="15.75" customHeight="1" thickBot="1" x14ac:dyDescent="0.2">
      <c r="A72" s="164" t="s">
        <v>572</v>
      </c>
      <c r="B72" s="148"/>
      <c r="C72" s="395">
        <f t="shared" ref="C72:L72" si="37">C71*C70*C5</f>
        <v>35200.000000000007</v>
      </c>
      <c r="D72" s="395">
        <f t="shared" si="37"/>
        <v>39600.000000000007</v>
      </c>
      <c r="E72" s="395">
        <f t="shared" si="37"/>
        <v>44000</v>
      </c>
      <c r="F72" s="395">
        <f t="shared" si="37"/>
        <v>44000</v>
      </c>
      <c r="G72" s="395">
        <f t="shared" si="37"/>
        <v>44000</v>
      </c>
      <c r="H72" s="395">
        <f t="shared" si="37"/>
        <v>44000</v>
      </c>
      <c r="I72" s="395">
        <f t="shared" si="37"/>
        <v>44000</v>
      </c>
      <c r="J72" s="395">
        <f t="shared" si="37"/>
        <v>44000</v>
      </c>
      <c r="K72" s="395">
        <f t="shared" si="37"/>
        <v>44000</v>
      </c>
      <c r="L72" s="395">
        <f t="shared" si="37"/>
        <v>44000</v>
      </c>
    </row>
    <row r="73" spans="1:16" ht="15.75" customHeight="1" thickBot="1" x14ac:dyDescent="0.2">
      <c r="A73" s="164"/>
      <c r="B73" s="148"/>
      <c r="C73" s="394"/>
      <c r="D73" s="394"/>
      <c r="E73" s="394"/>
      <c r="F73" s="394"/>
      <c r="G73" s="394"/>
      <c r="H73" s="394"/>
      <c r="I73" s="394"/>
      <c r="J73" s="394"/>
      <c r="K73" s="394"/>
      <c r="L73" s="394"/>
    </row>
    <row r="74" spans="1:16" ht="14" thickBot="1" x14ac:dyDescent="0.2">
      <c r="A74" s="83" t="s">
        <v>573</v>
      </c>
      <c r="B74" s="148"/>
      <c r="C74" s="394">
        <f>C72-C69</f>
        <v>16524.408264462814</v>
      </c>
      <c r="D74" s="394">
        <f t="shared" ref="D74:L74" si="38">D72-D69</f>
        <v>20924.408264462814</v>
      </c>
      <c r="E74" s="394">
        <f t="shared" si="38"/>
        <v>25324.408264462807</v>
      </c>
      <c r="F74" s="394">
        <f t="shared" si="38"/>
        <v>25324.408264462807</v>
      </c>
      <c r="G74" s="394">
        <f t="shared" si="38"/>
        <v>25324.408264462807</v>
      </c>
      <c r="H74" s="394">
        <f t="shared" si="38"/>
        <v>25324.408264462807</v>
      </c>
      <c r="I74" s="394">
        <f t="shared" si="38"/>
        <v>25324.408264462807</v>
      </c>
      <c r="J74" s="394">
        <f t="shared" si="38"/>
        <v>25324.408264462807</v>
      </c>
      <c r="K74" s="394">
        <f t="shared" si="38"/>
        <v>25324.408264462807</v>
      </c>
      <c r="L74" s="394">
        <f t="shared" si="38"/>
        <v>25324.408264462807</v>
      </c>
    </row>
    <row r="75" spans="1:16" ht="14" thickBot="1" x14ac:dyDescent="0.2">
      <c r="A75" s="153"/>
      <c r="B75" s="154"/>
      <c r="C75" s="98"/>
      <c r="D75" s="98"/>
      <c r="E75" s="147"/>
      <c r="F75" s="147"/>
      <c r="G75" s="147"/>
      <c r="H75" s="147"/>
      <c r="I75" s="147"/>
      <c r="J75" s="147"/>
      <c r="K75" s="147"/>
      <c r="L75" s="147"/>
    </row>
    <row r="76" spans="1:16" ht="14" thickBot="1" x14ac:dyDescent="0.2">
      <c r="A76" s="153"/>
      <c r="B76" s="154"/>
      <c r="C76" s="98"/>
      <c r="D76" s="98"/>
      <c r="E76" s="147"/>
      <c r="F76" s="147"/>
      <c r="G76" s="147"/>
      <c r="H76" s="147"/>
      <c r="I76" s="147"/>
      <c r="J76" s="147"/>
      <c r="K76" s="147"/>
      <c r="L76" s="147"/>
    </row>
    <row r="77" spans="1:16" ht="14" thickBot="1" x14ac:dyDescent="0.2">
      <c r="A77" s="464" t="s">
        <v>595</v>
      </c>
      <c r="B77" s="464"/>
      <c r="C77" s="464"/>
      <c r="D77" s="464"/>
      <c r="E77" s="464"/>
      <c r="F77" s="464"/>
      <c r="G77" s="464"/>
      <c r="H77" s="464"/>
      <c r="I77" s="464"/>
      <c r="J77" s="464"/>
      <c r="K77" s="464"/>
      <c r="L77" s="464"/>
    </row>
    <row r="78" spans="1:16" ht="14" thickBot="1" x14ac:dyDescent="0.2">
      <c r="A78" s="359" t="s">
        <v>68</v>
      </c>
      <c r="B78" s="170" t="s">
        <v>557</v>
      </c>
      <c r="C78" s="171">
        <v>20</v>
      </c>
      <c r="D78" s="171">
        <f>C78</f>
        <v>20</v>
      </c>
      <c r="E78" s="171">
        <f t="shared" ref="E78" si="39">D78</f>
        <v>20</v>
      </c>
      <c r="F78" s="171">
        <f t="shared" ref="F78" si="40">E78</f>
        <v>20</v>
      </c>
      <c r="G78" s="171">
        <f t="shared" ref="G78" si="41">F78</f>
        <v>20</v>
      </c>
      <c r="H78" s="171">
        <f t="shared" ref="H78" si="42">G78</f>
        <v>20</v>
      </c>
      <c r="I78" s="171">
        <f t="shared" ref="I78" si="43">H78</f>
        <v>20</v>
      </c>
      <c r="J78" s="171">
        <f t="shared" ref="J78" si="44">I78</f>
        <v>20</v>
      </c>
      <c r="K78" s="171">
        <f t="shared" ref="K78" si="45">J78</f>
        <v>20</v>
      </c>
      <c r="L78" s="171">
        <f t="shared" ref="L78" si="46">K78</f>
        <v>20</v>
      </c>
    </row>
    <row r="79" spans="1:16" ht="14" thickBot="1" x14ac:dyDescent="0.2">
      <c r="A79" s="155"/>
      <c r="B79" s="156"/>
      <c r="C79" s="157"/>
      <c r="D79" s="157"/>
      <c r="E79" s="96"/>
      <c r="F79" s="96"/>
      <c r="G79" s="96"/>
      <c r="H79" s="96"/>
      <c r="I79" s="96"/>
      <c r="J79" s="96"/>
      <c r="K79" s="96"/>
      <c r="L79" s="96"/>
      <c r="N79" s="42" t="s">
        <v>577</v>
      </c>
      <c r="O79" s="42">
        <v>10</v>
      </c>
    </row>
    <row r="80" spans="1:16" ht="14" thickBot="1" x14ac:dyDescent="0.2">
      <c r="A80" s="172" t="s">
        <v>556</v>
      </c>
      <c r="B80" s="398">
        <f>1500*2.5/88</f>
        <v>42.613636363636367</v>
      </c>
      <c r="C80" s="399">
        <f>$B80*C$78</f>
        <v>852.27272727272737</v>
      </c>
      <c r="D80" s="399">
        <f t="shared" ref="D80:L80" si="47">$B80*D$78</f>
        <v>852.27272727272737</v>
      </c>
      <c r="E80" s="399">
        <f t="shared" si="47"/>
        <v>852.27272727272737</v>
      </c>
      <c r="F80" s="399">
        <f t="shared" si="47"/>
        <v>852.27272727272737</v>
      </c>
      <c r="G80" s="399">
        <f t="shared" si="47"/>
        <v>852.27272727272737</v>
      </c>
      <c r="H80" s="399">
        <f t="shared" si="47"/>
        <v>852.27272727272737</v>
      </c>
      <c r="I80" s="399">
        <f t="shared" si="47"/>
        <v>852.27272727272737</v>
      </c>
      <c r="J80" s="399">
        <f t="shared" si="47"/>
        <v>852.27272727272737</v>
      </c>
      <c r="K80" s="399">
        <f t="shared" si="47"/>
        <v>852.27272727272737</v>
      </c>
      <c r="L80" s="399">
        <f t="shared" si="47"/>
        <v>852.27272727272737</v>
      </c>
      <c r="N80" s="42" t="s">
        <v>579</v>
      </c>
      <c r="O80" s="42">
        <f>75/88</f>
        <v>0.85227272727272729</v>
      </c>
    </row>
    <row r="81" spans="1:15" ht="14" thickBot="1" x14ac:dyDescent="0.2">
      <c r="A81" s="90" t="s">
        <v>558</v>
      </c>
      <c r="B81" s="398">
        <f>4000*2.5/88</f>
        <v>113.63636363636364</v>
      </c>
      <c r="C81" s="399">
        <f t="shared" ref="C81:L88" si="48">$B81*C$78</f>
        <v>2272.727272727273</v>
      </c>
      <c r="D81" s="399">
        <f t="shared" si="48"/>
        <v>2272.727272727273</v>
      </c>
      <c r="E81" s="399">
        <f t="shared" si="48"/>
        <v>2272.727272727273</v>
      </c>
      <c r="F81" s="399">
        <f t="shared" si="48"/>
        <v>2272.727272727273</v>
      </c>
      <c r="G81" s="399">
        <f t="shared" si="48"/>
        <v>2272.727272727273</v>
      </c>
      <c r="H81" s="399">
        <f t="shared" si="48"/>
        <v>2272.727272727273</v>
      </c>
      <c r="I81" s="399">
        <f t="shared" si="48"/>
        <v>2272.727272727273</v>
      </c>
      <c r="J81" s="399">
        <f t="shared" si="48"/>
        <v>2272.727272727273</v>
      </c>
      <c r="K81" s="399">
        <f t="shared" si="48"/>
        <v>2272.727272727273</v>
      </c>
      <c r="L81" s="399">
        <f t="shared" si="48"/>
        <v>2272.727272727273</v>
      </c>
      <c r="N81" s="42" t="s">
        <v>580</v>
      </c>
      <c r="O81" s="42">
        <f>O80*O79</f>
        <v>8.5227272727272734</v>
      </c>
    </row>
    <row r="82" spans="1:15" ht="14" thickBot="1" x14ac:dyDescent="0.2">
      <c r="A82" s="90" t="s">
        <v>559</v>
      </c>
      <c r="B82" s="398"/>
      <c r="C82" s="399">
        <f t="shared" si="48"/>
        <v>0</v>
      </c>
      <c r="D82" s="399">
        <f t="shared" si="48"/>
        <v>0</v>
      </c>
      <c r="E82" s="399">
        <f t="shared" si="48"/>
        <v>0</v>
      </c>
      <c r="F82" s="399">
        <f t="shared" si="48"/>
        <v>0</v>
      </c>
      <c r="G82" s="399">
        <f t="shared" si="48"/>
        <v>0</v>
      </c>
      <c r="H82" s="399">
        <f t="shared" si="48"/>
        <v>0</v>
      </c>
      <c r="I82" s="399">
        <f t="shared" si="48"/>
        <v>0</v>
      </c>
      <c r="J82" s="399">
        <f t="shared" si="48"/>
        <v>0</v>
      </c>
      <c r="K82" s="399">
        <f t="shared" si="48"/>
        <v>0</v>
      </c>
      <c r="L82" s="399">
        <f t="shared" si="48"/>
        <v>0</v>
      </c>
      <c r="N82" s="42" t="s">
        <v>581</v>
      </c>
      <c r="O82" s="42">
        <f>O81*25/66</f>
        <v>3.2283057851239674</v>
      </c>
    </row>
    <row r="83" spans="1:15" ht="14" thickBot="1" x14ac:dyDescent="0.2">
      <c r="A83" s="90" t="s">
        <v>574</v>
      </c>
      <c r="B83" s="398">
        <f>18000*2.5/88</f>
        <v>511.36363636363637</v>
      </c>
      <c r="C83" s="399">
        <f t="shared" si="48"/>
        <v>10227.272727272728</v>
      </c>
      <c r="D83" s="399">
        <f t="shared" si="48"/>
        <v>10227.272727272728</v>
      </c>
      <c r="E83" s="399">
        <f t="shared" si="48"/>
        <v>10227.272727272728</v>
      </c>
      <c r="F83" s="399">
        <f t="shared" si="48"/>
        <v>10227.272727272728</v>
      </c>
      <c r="G83" s="399">
        <f t="shared" si="48"/>
        <v>10227.272727272728</v>
      </c>
      <c r="H83" s="399">
        <f t="shared" si="48"/>
        <v>10227.272727272728</v>
      </c>
      <c r="I83" s="399">
        <f t="shared" si="48"/>
        <v>10227.272727272728</v>
      </c>
      <c r="J83" s="399">
        <f t="shared" si="48"/>
        <v>10227.272727272728</v>
      </c>
      <c r="K83" s="399">
        <f t="shared" si="48"/>
        <v>10227.272727272728</v>
      </c>
      <c r="L83" s="399">
        <f t="shared" si="48"/>
        <v>10227.272727272728</v>
      </c>
      <c r="N83" s="42" t="s">
        <v>582</v>
      </c>
      <c r="O83" s="42">
        <v>9</v>
      </c>
    </row>
    <row r="84" spans="1:15" ht="14" thickBot="1" x14ac:dyDescent="0.2">
      <c r="A84" s="90" t="s">
        <v>585</v>
      </c>
      <c r="B84" s="398">
        <f>20000*2.5/88</f>
        <v>568.18181818181813</v>
      </c>
      <c r="C84" s="399">
        <f t="shared" si="48"/>
        <v>11363.636363636362</v>
      </c>
      <c r="D84" s="399">
        <f t="shared" si="48"/>
        <v>11363.636363636362</v>
      </c>
      <c r="E84" s="399">
        <f t="shared" si="48"/>
        <v>11363.636363636362</v>
      </c>
      <c r="F84" s="399">
        <f t="shared" si="48"/>
        <v>11363.636363636362</v>
      </c>
      <c r="G84" s="399">
        <f t="shared" si="48"/>
        <v>11363.636363636362</v>
      </c>
      <c r="H84" s="399">
        <f t="shared" si="48"/>
        <v>11363.636363636362</v>
      </c>
      <c r="I84" s="399">
        <f t="shared" si="48"/>
        <v>11363.636363636362</v>
      </c>
      <c r="J84" s="399">
        <f t="shared" si="48"/>
        <v>11363.636363636362</v>
      </c>
      <c r="K84" s="399">
        <f t="shared" si="48"/>
        <v>11363.636363636362</v>
      </c>
      <c r="L84" s="399">
        <f t="shared" si="48"/>
        <v>11363.636363636362</v>
      </c>
      <c r="N84" s="42" t="s">
        <v>583</v>
      </c>
      <c r="O84" s="42">
        <f>O83*O82*2</f>
        <v>58.109504132231415</v>
      </c>
    </row>
    <row r="85" spans="1:15" ht="14" thickBot="1" x14ac:dyDescent="0.2">
      <c r="A85" s="90" t="s">
        <v>565</v>
      </c>
      <c r="B85" s="398"/>
      <c r="C85" s="399">
        <f t="shared" si="48"/>
        <v>0</v>
      </c>
      <c r="D85" s="399">
        <f t="shared" si="48"/>
        <v>0</v>
      </c>
      <c r="E85" s="399">
        <f t="shared" si="48"/>
        <v>0</v>
      </c>
      <c r="F85" s="399">
        <f t="shared" si="48"/>
        <v>0</v>
      </c>
      <c r="G85" s="399">
        <f t="shared" si="48"/>
        <v>0</v>
      </c>
      <c r="H85" s="399">
        <f t="shared" si="48"/>
        <v>0</v>
      </c>
      <c r="I85" s="399">
        <f t="shared" si="48"/>
        <v>0</v>
      </c>
      <c r="J85" s="399">
        <f t="shared" si="48"/>
        <v>0</v>
      </c>
      <c r="K85" s="399">
        <f t="shared" si="48"/>
        <v>0</v>
      </c>
      <c r="L85" s="399">
        <f t="shared" si="48"/>
        <v>0</v>
      </c>
    </row>
    <row r="86" spans="1:15" ht="14" thickBot="1" x14ac:dyDescent="0.2">
      <c r="A86" s="90" t="s">
        <v>568</v>
      </c>
      <c r="B86" s="398">
        <f>15000*2.5/88</f>
        <v>426.13636363636363</v>
      </c>
      <c r="C86" s="399">
        <f t="shared" si="48"/>
        <v>8522.7272727272721</v>
      </c>
      <c r="D86" s="399">
        <f t="shared" si="48"/>
        <v>8522.7272727272721</v>
      </c>
      <c r="E86" s="399">
        <f t="shared" si="48"/>
        <v>8522.7272727272721</v>
      </c>
      <c r="F86" s="399">
        <f t="shared" si="48"/>
        <v>8522.7272727272721</v>
      </c>
      <c r="G86" s="399">
        <f t="shared" si="48"/>
        <v>8522.7272727272721</v>
      </c>
      <c r="H86" s="399">
        <f t="shared" si="48"/>
        <v>8522.7272727272721</v>
      </c>
      <c r="I86" s="399">
        <f t="shared" si="48"/>
        <v>8522.7272727272721</v>
      </c>
      <c r="J86" s="399">
        <f t="shared" si="48"/>
        <v>8522.7272727272721</v>
      </c>
      <c r="K86" s="399">
        <f t="shared" si="48"/>
        <v>8522.7272727272721</v>
      </c>
      <c r="L86" s="399">
        <f t="shared" si="48"/>
        <v>8522.7272727272721</v>
      </c>
    </row>
    <row r="87" spans="1:15" ht="14" thickBot="1" x14ac:dyDescent="0.2">
      <c r="A87" s="90" t="s">
        <v>586</v>
      </c>
      <c r="B87" s="398">
        <f>O84</f>
        <v>58.109504132231415</v>
      </c>
      <c r="C87" s="399">
        <f t="shared" si="48"/>
        <v>1162.1900826446283</v>
      </c>
      <c r="D87" s="399">
        <f t="shared" si="48"/>
        <v>1162.1900826446283</v>
      </c>
      <c r="E87" s="399">
        <f t="shared" si="48"/>
        <v>1162.1900826446283</v>
      </c>
      <c r="F87" s="399">
        <f t="shared" si="48"/>
        <v>1162.1900826446283</v>
      </c>
      <c r="G87" s="399">
        <f t="shared" si="48"/>
        <v>1162.1900826446283</v>
      </c>
      <c r="H87" s="399">
        <f t="shared" si="48"/>
        <v>1162.1900826446283</v>
      </c>
      <c r="I87" s="399">
        <f t="shared" si="48"/>
        <v>1162.1900826446283</v>
      </c>
      <c r="J87" s="399">
        <f t="shared" si="48"/>
        <v>1162.1900826446283</v>
      </c>
      <c r="K87" s="399">
        <f t="shared" si="48"/>
        <v>1162.1900826446283</v>
      </c>
      <c r="L87" s="399">
        <f t="shared" si="48"/>
        <v>1162.1900826446283</v>
      </c>
    </row>
    <row r="88" spans="1:15" ht="14" thickBot="1" x14ac:dyDescent="0.2">
      <c r="A88" s="173" t="s">
        <v>569</v>
      </c>
      <c r="B88" s="398">
        <f>38500*2.5/88</f>
        <v>1093.75</v>
      </c>
      <c r="C88" s="399">
        <f t="shared" si="48"/>
        <v>21875</v>
      </c>
      <c r="D88" s="399">
        <f t="shared" si="48"/>
        <v>21875</v>
      </c>
      <c r="E88" s="399">
        <f t="shared" si="48"/>
        <v>21875</v>
      </c>
      <c r="F88" s="399">
        <f t="shared" si="48"/>
        <v>21875</v>
      </c>
      <c r="G88" s="399">
        <f t="shared" si="48"/>
        <v>21875</v>
      </c>
      <c r="H88" s="399">
        <f t="shared" si="48"/>
        <v>21875</v>
      </c>
      <c r="I88" s="399">
        <f t="shared" si="48"/>
        <v>21875</v>
      </c>
      <c r="J88" s="399">
        <f t="shared" si="48"/>
        <v>21875</v>
      </c>
      <c r="K88" s="399">
        <f t="shared" si="48"/>
        <v>21875</v>
      </c>
      <c r="L88" s="399">
        <f t="shared" si="48"/>
        <v>21875</v>
      </c>
    </row>
    <row r="89" spans="1:15" ht="14" thickBot="1" x14ac:dyDescent="0.2">
      <c r="A89" s="174" t="s">
        <v>154</v>
      </c>
      <c r="B89" s="398">
        <f>SUM(B80:B88)</f>
        <v>2813.7913223140495</v>
      </c>
      <c r="C89" s="399">
        <f t="shared" ref="C89:L89" si="49">SUM(C80:C88)</f>
        <v>56275.826446280989</v>
      </c>
      <c r="D89" s="399">
        <f t="shared" si="49"/>
        <v>56275.826446280989</v>
      </c>
      <c r="E89" s="399">
        <f t="shared" si="49"/>
        <v>56275.826446280989</v>
      </c>
      <c r="F89" s="399">
        <f t="shared" si="49"/>
        <v>56275.826446280989</v>
      </c>
      <c r="G89" s="399">
        <f t="shared" si="49"/>
        <v>56275.826446280989</v>
      </c>
      <c r="H89" s="399">
        <f t="shared" si="49"/>
        <v>56275.826446280989</v>
      </c>
      <c r="I89" s="399">
        <f t="shared" si="49"/>
        <v>56275.826446280989</v>
      </c>
      <c r="J89" s="399">
        <f t="shared" si="49"/>
        <v>56275.826446280989</v>
      </c>
      <c r="K89" s="399">
        <f t="shared" si="49"/>
        <v>56275.826446280989</v>
      </c>
      <c r="L89" s="399">
        <f t="shared" si="49"/>
        <v>56275.826446280989</v>
      </c>
    </row>
    <row r="90" spans="1:15" ht="14" thickBot="1" x14ac:dyDescent="0.2">
      <c r="A90" s="174" t="s">
        <v>570</v>
      </c>
      <c r="B90" s="94"/>
      <c r="C90" s="399">
        <v>8000</v>
      </c>
      <c r="D90" s="399">
        <f>C90+1000</f>
        <v>9000</v>
      </c>
      <c r="E90" s="399">
        <f t="shared" ref="E90:G90" si="50">D90+1000</f>
        <v>10000</v>
      </c>
      <c r="F90" s="399">
        <f t="shared" si="50"/>
        <v>11000</v>
      </c>
      <c r="G90" s="399">
        <f t="shared" si="50"/>
        <v>12000</v>
      </c>
      <c r="H90" s="399">
        <f>G90</f>
        <v>12000</v>
      </c>
      <c r="I90" s="399">
        <f t="shared" ref="I90:L90" si="51">H90</f>
        <v>12000</v>
      </c>
      <c r="J90" s="399">
        <f t="shared" si="51"/>
        <v>12000</v>
      </c>
      <c r="K90" s="399">
        <f t="shared" si="51"/>
        <v>12000</v>
      </c>
      <c r="L90" s="399">
        <f t="shared" si="51"/>
        <v>12000</v>
      </c>
    </row>
    <row r="91" spans="1:15" ht="14" thickBot="1" x14ac:dyDescent="0.2">
      <c r="A91" s="174" t="s">
        <v>571</v>
      </c>
      <c r="B91" s="94"/>
      <c r="C91" s="157">
        <v>0.35</v>
      </c>
      <c r="D91" s="157">
        <f>C91</f>
        <v>0.35</v>
      </c>
      <c r="E91" s="157">
        <f t="shared" ref="E91:L91" si="52">D91</f>
        <v>0.35</v>
      </c>
      <c r="F91" s="157">
        <f t="shared" si="52"/>
        <v>0.35</v>
      </c>
      <c r="G91" s="157">
        <f t="shared" si="52"/>
        <v>0.35</v>
      </c>
      <c r="H91" s="157">
        <f t="shared" si="52"/>
        <v>0.35</v>
      </c>
      <c r="I91" s="157">
        <f t="shared" si="52"/>
        <v>0.35</v>
      </c>
      <c r="J91" s="157">
        <f t="shared" si="52"/>
        <v>0.35</v>
      </c>
      <c r="K91" s="157">
        <f t="shared" si="52"/>
        <v>0.35</v>
      </c>
      <c r="L91" s="157">
        <f t="shared" si="52"/>
        <v>0.35</v>
      </c>
    </row>
    <row r="92" spans="1:15" ht="14" thickBot="1" x14ac:dyDescent="0.2">
      <c r="A92" s="174" t="s">
        <v>572</v>
      </c>
      <c r="B92" s="94"/>
      <c r="C92" s="399">
        <f>C91*C90*C78</f>
        <v>56000</v>
      </c>
      <c r="D92" s="399">
        <f t="shared" ref="D92:L92" si="53">D91*D90*D78</f>
        <v>63000</v>
      </c>
      <c r="E92" s="399">
        <f t="shared" si="53"/>
        <v>70000</v>
      </c>
      <c r="F92" s="399">
        <f t="shared" si="53"/>
        <v>76999.999999999985</v>
      </c>
      <c r="G92" s="399">
        <f t="shared" si="53"/>
        <v>84000</v>
      </c>
      <c r="H92" s="399">
        <f t="shared" si="53"/>
        <v>84000</v>
      </c>
      <c r="I92" s="399">
        <f t="shared" si="53"/>
        <v>84000</v>
      </c>
      <c r="J92" s="399">
        <f t="shared" si="53"/>
        <v>84000</v>
      </c>
      <c r="K92" s="399">
        <f t="shared" si="53"/>
        <v>84000</v>
      </c>
      <c r="L92" s="399">
        <f t="shared" si="53"/>
        <v>84000</v>
      </c>
    </row>
    <row r="93" spans="1:15" ht="14" thickBot="1" x14ac:dyDescent="0.2">
      <c r="A93" s="174"/>
      <c r="B93" s="94"/>
      <c r="C93" s="157"/>
      <c r="D93" s="157"/>
      <c r="E93" s="96"/>
      <c r="F93" s="96"/>
      <c r="G93" s="96"/>
      <c r="H93" s="96"/>
      <c r="I93" s="96"/>
      <c r="J93" s="96"/>
      <c r="K93" s="96"/>
      <c r="L93" s="96"/>
    </row>
    <row r="94" spans="1:15" ht="14" thickBot="1" x14ac:dyDescent="0.2">
      <c r="A94" s="89" t="s">
        <v>573</v>
      </c>
      <c r="B94" s="94"/>
      <c r="C94" s="96">
        <f>C92-C89</f>
        <v>-275.82644628098933</v>
      </c>
      <c r="D94" s="399">
        <f t="shared" ref="D94:L94" si="54">D92-D89</f>
        <v>6724.1735537190107</v>
      </c>
      <c r="E94" s="399">
        <f t="shared" si="54"/>
        <v>13724.173553719011</v>
      </c>
      <c r="F94" s="399">
        <f t="shared" si="54"/>
        <v>20724.173553718996</v>
      </c>
      <c r="G94" s="399">
        <f t="shared" si="54"/>
        <v>27724.173553719011</v>
      </c>
      <c r="H94" s="399">
        <f t="shared" si="54"/>
        <v>27724.173553719011</v>
      </c>
      <c r="I94" s="399">
        <f t="shared" si="54"/>
        <v>27724.173553719011</v>
      </c>
      <c r="J94" s="399">
        <f t="shared" si="54"/>
        <v>27724.173553719011</v>
      </c>
      <c r="K94" s="399">
        <f t="shared" si="54"/>
        <v>27724.173553719011</v>
      </c>
      <c r="L94" s="399">
        <f t="shared" si="54"/>
        <v>27724.173553719011</v>
      </c>
    </row>
    <row r="95" spans="1:15" ht="14" thickBot="1" x14ac:dyDescent="0.2">
      <c r="A95" s="153"/>
      <c r="B95" s="158"/>
      <c r="C95" s="98"/>
      <c r="D95" s="98"/>
      <c r="E95" s="147"/>
      <c r="F95" s="147"/>
      <c r="G95" s="147"/>
      <c r="H95" s="147"/>
      <c r="I95" s="147"/>
      <c r="J95" s="147"/>
      <c r="K95" s="147"/>
      <c r="L95" s="147"/>
    </row>
    <row r="96" spans="1:15" ht="14" thickBot="1" x14ac:dyDescent="0.2">
      <c r="A96" s="465" t="s">
        <v>679</v>
      </c>
      <c r="B96" s="465"/>
      <c r="C96" s="465"/>
      <c r="D96" s="465"/>
      <c r="E96" s="465"/>
      <c r="F96" s="465"/>
      <c r="G96" s="465"/>
      <c r="H96" s="465"/>
      <c r="I96" s="465"/>
      <c r="J96" s="465"/>
      <c r="K96" s="465"/>
      <c r="L96" s="465"/>
    </row>
    <row r="97" spans="1:12" ht="14" thickBot="1" x14ac:dyDescent="0.2">
      <c r="A97" s="360" t="s">
        <v>68</v>
      </c>
      <c r="B97" s="91" t="s">
        <v>646</v>
      </c>
      <c r="C97" s="515">
        <v>40</v>
      </c>
      <c r="D97" s="515">
        <f>C97</f>
        <v>40</v>
      </c>
      <c r="E97" s="515">
        <f t="shared" ref="E97:L97" si="55">D97</f>
        <v>40</v>
      </c>
      <c r="F97" s="515">
        <f t="shared" si="55"/>
        <v>40</v>
      </c>
      <c r="G97" s="515">
        <f t="shared" si="55"/>
        <v>40</v>
      </c>
      <c r="H97" s="515">
        <f t="shared" si="55"/>
        <v>40</v>
      </c>
      <c r="I97" s="515">
        <f t="shared" si="55"/>
        <v>40</v>
      </c>
      <c r="J97" s="515">
        <f t="shared" si="55"/>
        <v>40</v>
      </c>
      <c r="K97" s="515">
        <f t="shared" si="55"/>
        <v>40</v>
      </c>
      <c r="L97" s="515">
        <f t="shared" si="55"/>
        <v>40</v>
      </c>
    </row>
    <row r="98" spans="1:12" ht="14" thickBot="1" x14ac:dyDescent="0.2">
      <c r="A98" s="161" t="s">
        <v>556</v>
      </c>
      <c r="B98" s="91">
        <f>B80</f>
        <v>42.613636363636367</v>
      </c>
      <c r="C98" s="394">
        <f>$B98*C$97</f>
        <v>1704.5454545454547</v>
      </c>
      <c r="D98" s="394">
        <f t="shared" ref="D98:L98" si="56">$B98*D$97</f>
        <v>1704.5454545454547</v>
      </c>
      <c r="E98" s="394">
        <f t="shared" si="56"/>
        <v>1704.5454545454547</v>
      </c>
      <c r="F98" s="394">
        <f t="shared" si="56"/>
        <v>1704.5454545454547</v>
      </c>
      <c r="G98" s="394">
        <f t="shared" si="56"/>
        <v>1704.5454545454547</v>
      </c>
      <c r="H98" s="394">
        <f t="shared" si="56"/>
        <v>1704.5454545454547</v>
      </c>
      <c r="I98" s="394">
        <f t="shared" si="56"/>
        <v>1704.5454545454547</v>
      </c>
      <c r="J98" s="394">
        <f t="shared" si="56"/>
        <v>1704.5454545454547</v>
      </c>
      <c r="K98" s="394">
        <f t="shared" si="56"/>
        <v>1704.5454545454547</v>
      </c>
      <c r="L98" s="394">
        <f t="shared" si="56"/>
        <v>1704.5454545454547</v>
      </c>
    </row>
    <row r="99" spans="1:12" ht="14" thickBot="1" x14ac:dyDescent="0.2">
      <c r="A99" s="84" t="s">
        <v>558</v>
      </c>
      <c r="B99" s="91">
        <f>2000/88</f>
        <v>22.727272727272727</v>
      </c>
      <c r="C99" s="394">
        <f t="shared" ref="C99:L106" si="57">$B99*C$97</f>
        <v>909.09090909090901</v>
      </c>
      <c r="D99" s="394">
        <f t="shared" si="57"/>
        <v>909.09090909090901</v>
      </c>
      <c r="E99" s="394">
        <f t="shared" si="57"/>
        <v>909.09090909090901</v>
      </c>
      <c r="F99" s="394">
        <f t="shared" si="57"/>
        <v>909.09090909090901</v>
      </c>
      <c r="G99" s="394">
        <f t="shared" si="57"/>
        <v>909.09090909090901</v>
      </c>
      <c r="H99" s="394">
        <f t="shared" si="57"/>
        <v>909.09090909090901</v>
      </c>
      <c r="I99" s="394">
        <f t="shared" si="57"/>
        <v>909.09090909090901</v>
      </c>
      <c r="J99" s="394">
        <f t="shared" si="57"/>
        <v>909.09090909090901</v>
      </c>
      <c r="K99" s="394">
        <f t="shared" si="57"/>
        <v>909.09090909090901</v>
      </c>
      <c r="L99" s="394">
        <f t="shared" si="57"/>
        <v>909.09090909090901</v>
      </c>
    </row>
    <row r="100" spans="1:12" ht="14" thickBot="1" x14ac:dyDescent="0.2">
      <c r="A100" s="84" t="s">
        <v>559</v>
      </c>
      <c r="B100" s="91">
        <f>B62</f>
        <v>6.3920454545454541</v>
      </c>
      <c r="C100" s="394">
        <f t="shared" si="57"/>
        <v>255.68181818181816</v>
      </c>
      <c r="D100" s="394">
        <f t="shared" si="57"/>
        <v>255.68181818181816</v>
      </c>
      <c r="E100" s="394">
        <f t="shared" si="57"/>
        <v>255.68181818181816</v>
      </c>
      <c r="F100" s="394">
        <f t="shared" si="57"/>
        <v>255.68181818181816</v>
      </c>
      <c r="G100" s="394">
        <f t="shared" si="57"/>
        <v>255.68181818181816</v>
      </c>
      <c r="H100" s="394">
        <f t="shared" si="57"/>
        <v>255.68181818181816</v>
      </c>
      <c r="I100" s="394">
        <f t="shared" si="57"/>
        <v>255.68181818181816</v>
      </c>
      <c r="J100" s="394">
        <f t="shared" si="57"/>
        <v>255.68181818181816</v>
      </c>
      <c r="K100" s="394">
        <f t="shared" si="57"/>
        <v>255.68181818181816</v>
      </c>
      <c r="L100" s="394">
        <f t="shared" si="57"/>
        <v>255.68181818181816</v>
      </c>
    </row>
    <row r="101" spans="1:12" ht="14" thickBot="1" x14ac:dyDescent="0.2">
      <c r="A101" s="84" t="s">
        <v>574</v>
      </c>
      <c r="B101" s="91">
        <f>B63*2</f>
        <v>39.119999999999997</v>
      </c>
      <c r="C101" s="394">
        <f t="shared" si="57"/>
        <v>1564.8</v>
      </c>
      <c r="D101" s="394">
        <f t="shared" si="57"/>
        <v>1564.8</v>
      </c>
      <c r="E101" s="394">
        <f t="shared" si="57"/>
        <v>1564.8</v>
      </c>
      <c r="F101" s="394">
        <f t="shared" si="57"/>
        <v>1564.8</v>
      </c>
      <c r="G101" s="394">
        <f t="shared" si="57"/>
        <v>1564.8</v>
      </c>
      <c r="H101" s="394">
        <f t="shared" si="57"/>
        <v>1564.8</v>
      </c>
      <c r="I101" s="394">
        <f t="shared" si="57"/>
        <v>1564.8</v>
      </c>
      <c r="J101" s="394">
        <f t="shared" si="57"/>
        <v>1564.8</v>
      </c>
      <c r="K101" s="394">
        <f t="shared" si="57"/>
        <v>1564.8</v>
      </c>
      <c r="L101" s="394">
        <f t="shared" si="57"/>
        <v>1564.8</v>
      </c>
    </row>
    <row r="102" spans="1:12" ht="14" thickBot="1" x14ac:dyDescent="0.2">
      <c r="A102" s="84" t="s">
        <v>566</v>
      </c>
      <c r="B102" s="91">
        <f>B64</f>
        <v>36.409090909090907</v>
      </c>
      <c r="C102" s="394">
        <f t="shared" si="57"/>
        <v>1456.3636363636363</v>
      </c>
      <c r="D102" s="394">
        <f t="shared" si="57"/>
        <v>1456.3636363636363</v>
      </c>
      <c r="E102" s="394">
        <f t="shared" si="57"/>
        <v>1456.3636363636363</v>
      </c>
      <c r="F102" s="394">
        <f t="shared" si="57"/>
        <v>1456.3636363636363</v>
      </c>
      <c r="G102" s="394">
        <f t="shared" si="57"/>
        <v>1456.3636363636363</v>
      </c>
      <c r="H102" s="394">
        <f t="shared" si="57"/>
        <v>1456.3636363636363</v>
      </c>
      <c r="I102" s="394">
        <f t="shared" si="57"/>
        <v>1456.3636363636363</v>
      </c>
      <c r="J102" s="394">
        <f t="shared" si="57"/>
        <v>1456.3636363636363</v>
      </c>
      <c r="K102" s="394">
        <f t="shared" si="57"/>
        <v>1456.3636363636363</v>
      </c>
      <c r="L102" s="394">
        <f t="shared" si="57"/>
        <v>1456.3636363636363</v>
      </c>
    </row>
    <row r="103" spans="1:12" ht="14" thickBot="1" x14ac:dyDescent="0.2">
      <c r="A103" s="84" t="s">
        <v>565</v>
      </c>
      <c r="B103" s="91">
        <f>B65*0.7</f>
        <v>14.914772727272727</v>
      </c>
      <c r="C103" s="394">
        <f t="shared" si="57"/>
        <v>596.59090909090901</v>
      </c>
      <c r="D103" s="394">
        <f t="shared" si="57"/>
        <v>596.59090909090901</v>
      </c>
      <c r="E103" s="394">
        <f t="shared" si="57"/>
        <v>596.59090909090901</v>
      </c>
      <c r="F103" s="394">
        <f t="shared" si="57"/>
        <v>596.59090909090901</v>
      </c>
      <c r="G103" s="394">
        <f t="shared" si="57"/>
        <v>596.59090909090901</v>
      </c>
      <c r="H103" s="394">
        <f t="shared" si="57"/>
        <v>596.59090909090901</v>
      </c>
      <c r="I103" s="394">
        <f t="shared" si="57"/>
        <v>596.59090909090901</v>
      </c>
      <c r="J103" s="394">
        <f t="shared" si="57"/>
        <v>596.59090909090901</v>
      </c>
      <c r="K103" s="394">
        <f t="shared" si="57"/>
        <v>596.59090909090901</v>
      </c>
      <c r="L103" s="394">
        <f t="shared" si="57"/>
        <v>596.59090909090901</v>
      </c>
    </row>
    <row r="104" spans="1:12" ht="14" thickBot="1" x14ac:dyDescent="0.2">
      <c r="A104" s="84" t="s">
        <v>568</v>
      </c>
      <c r="B104" s="91">
        <f>B66*1.5</f>
        <v>63.920454545454547</v>
      </c>
      <c r="C104" s="394">
        <f t="shared" si="57"/>
        <v>2556.818181818182</v>
      </c>
      <c r="D104" s="394">
        <f t="shared" si="57"/>
        <v>2556.818181818182</v>
      </c>
      <c r="E104" s="394">
        <f t="shared" si="57"/>
        <v>2556.818181818182</v>
      </c>
      <c r="F104" s="394">
        <f t="shared" si="57"/>
        <v>2556.818181818182</v>
      </c>
      <c r="G104" s="394">
        <f t="shared" si="57"/>
        <v>2556.818181818182</v>
      </c>
      <c r="H104" s="394">
        <f t="shared" si="57"/>
        <v>2556.818181818182</v>
      </c>
      <c r="I104" s="394">
        <f t="shared" si="57"/>
        <v>2556.818181818182</v>
      </c>
      <c r="J104" s="394">
        <f t="shared" si="57"/>
        <v>2556.818181818182</v>
      </c>
      <c r="K104" s="394">
        <f t="shared" si="57"/>
        <v>2556.818181818182</v>
      </c>
      <c r="L104" s="394">
        <f t="shared" si="57"/>
        <v>2556.818181818182</v>
      </c>
    </row>
    <row r="105" spans="1:12" ht="14" thickBot="1" x14ac:dyDescent="0.2">
      <c r="A105" s="84" t="str">
        <f>A87</f>
        <v>Diesel for Irrigation</v>
      </c>
      <c r="B105" s="91">
        <f>B67</f>
        <v>38.739669421487605</v>
      </c>
      <c r="C105" s="394">
        <f t="shared" si="57"/>
        <v>1549.5867768595042</v>
      </c>
      <c r="D105" s="394">
        <f t="shared" si="57"/>
        <v>1549.5867768595042</v>
      </c>
      <c r="E105" s="394">
        <f t="shared" si="57"/>
        <v>1549.5867768595042</v>
      </c>
      <c r="F105" s="394">
        <f t="shared" si="57"/>
        <v>1549.5867768595042</v>
      </c>
      <c r="G105" s="394">
        <f t="shared" si="57"/>
        <v>1549.5867768595042</v>
      </c>
      <c r="H105" s="394">
        <f t="shared" si="57"/>
        <v>1549.5867768595042</v>
      </c>
      <c r="I105" s="394">
        <f t="shared" si="57"/>
        <v>1549.5867768595042</v>
      </c>
      <c r="J105" s="394">
        <f t="shared" si="57"/>
        <v>1549.5867768595042</v>
      </c>
      <c r="K105" s="394">
        <f t="shared" si="57"/>
        <v>1549.5867768595042</v>
      </c>
      <c r="L105" s="394">
        <f t="shared" si="57"/>
        <v>1549.5867768595042</v>
      </c>
    </row>
    <row r="106" spans="1:12" ht="14" thickBot="1" x14ac:dyDescent="0.2">
      <c r="A106" s="162" t="s">
        <v>569</v>
      </c>
      <c r="B106" s="91">
        <v>45</v>
      </c>
      <c r="C106" s="394">
        <f t="shared" si="57"/>
        <v>1800</v>
      </c>
      <c r="D106" s="394">
        <f t="shared" si="57"/>
        <v>1800</v>
      </c>
      <c r="E106" s="394">
        <f t="shared" si="57"/>
        <v>1800</v>
      </c>
      <c r="F106" s="394">
        <f t="shared" si="57"/>
        <v>1800</v>
      </c>
      <c r="G106" s="394">
        <f t="shared" si="57"/>
        <v>1800</v>
      </c>
      <c r="H106" s="394">
        <f t="shared" si="57"/>
        <v>1800</v>
      </c>
      <c r="I106" s="394">
        <f t="shared" si="57"/>
        <v>1800</v>
      </c>
      <c r="J106" s="394">
        <f t="shared" si="57"/>
        <v>1800</v>
      </c>
      <c r="K106" s="394">
        <f t="shared" si="57"/>
        <v>1800</v>
      </c>
      <c r="L106" s="394">
        <f t="shared" si="57"/>
        <v>1800</v>
      </c>
    </row>
    <row r="107" spans="1:12" ht="14" thickBot="1" x14ac:dyDescent="0.2">
      <c r="A107" s="164" t="s">
        <v>154</v>
      </c>
      <c r="B107" s="393">
        <f>SUM(B97:B106)</f>
        <v>309.83694214876027</v>
      </c>
      <c r="C107" s="394">
        <f>SUM(C97:C106)</f>
        <v>12433.477685950413</v>
      </c>
      <c r="D107" s="394">
        <f t="shared" ref="D107:L107" si="58">SUM(D97:D106)</f>
        <v>12433.477685950413</v>
      </c>
      <c r="E107" s="394">
        <f t="shared" si="58"/>
        <v>12433.477685950413</v>
      </c>
      <c r="F107" s="394">
        <f t="shared" si="58"/>
        <v>12433.477685950413</v>
      </c>
      <c r="G107" s="394">
        <f t="shared" si="58"/>
        <v>12433.477685950413</v>
      </c>
      <c r="H107" s="394">
        <f t="shared" si="58"/>
        <v>12433.477685950413</v>
      </c>
      <c r="I107" s="394">
        <f t="shared" si="58"/>
        <v>12433.477685950413</v>
      </c>
      <c r="J107" s="394">
        <f t="shared" si="58"/>
        <v>12433.477685950413</v>
      </c>
      <c r="K107" s="394">
        <f t="shared" si="58"/>
        <v>12433.477685950413</v>
      </c>
      <c r="L107" s="394">
        <f t="shared" si="58"/>
        <v>12433.477685950413</v>
      </c>
    </row>
    <row r="108" spans="1:12" ht="14" thickBot="1" x14ac:dyDescent="0.2">
      <c r="A108" s="164" t="s">
        <v>570</v>
      </c>
      <c r="B108" s="91"/>
      <c r="C108" s="394">
        <v>2000</v>
      </c>
      <c r="D108" s="394">
        <f>C108*1.1</f>
        <v>2200</v>
      </c>
      <c r="E108" s="394">
        <f t="shared" ref="E108:G108" si="59">D108*1.1</f>
        <v>2420</v>
      </c>
      <c r="F108" s="394">
        <f t="shared" si="59"/>
        <v>2662</v>
      </c>
      <c r="G108" s="394">
        <f t="shared" si="59"/>
        <v>2928.2000000000003</v>
      </c>
      <c r="H108" s="394">
        <f>G108</f>
        <v>2928.2000000000003</v>
      </c>
      <c r="I108" s="394">
        <f t="shared" ref="I108:L108" si="60">H108</f>
        <v>2928.2000000000003</v>
      </c>
      <c r="J108" s="394">
        <f t="shared" si="60"/>
        <v>2928.2000000000003</v>
      </c>
      <c r="K108" s="394">
        <f t="shared" si="60"/>
        <v>2928.2000000000003</v>
      </c>
      <c r="L108" s="394">
        <f t="shared" si="60"/>
        <v>2928.2000000000003</v>
      </c>
    </row>
    <row r="109" spans="1:12" ht="14" thickBot="1" x14ac:dyDescent="0.2">
      <c r="A109" s="164" t="s">
        <v>571</v>
      </c>
      <c r="B109" s="91"/>
      <c r="C109" s="91">
        <f>(0.4/75)*88</f>
        <v>0.46933333333333338</v>
      </c>
      <c r="D109" s="91">
        <f>C109</f>
        <v>0.46933333333333338</v>
      </c>
      <c r="E109" s="91">
        <f t="shared" ref="E109:L109" si="61">D109</f>
        <v>0.46933333333333338</v>
      </c>
      <c r="F109" s="91">
        <f t="shared" si="61"/>
        <v>0.46933333333333338</v>
      </c>
      <c r="G109" s="91">
        <f t="shared" si="61"/>
        <v>0.46933333333333338</v>
      </c>
      <c r="H109" s="91">
        <f t="shared" si="61"/>
        <v>0.46933333333333338</v>
      </c>
      <c r="I109" s="91">
        <f t="shared" si="61"/>
        <v>0.46933333333333338</v>
      </c>
      <c r="J109" s="91">
        <f t="shared" si="61"/>
        <v>0.46933333333333338</v>
      </c>
      <c r="K109" s="91">
        <f t="shared" si="61"/>
        <v>0.46933333333333338</v>
      </c>
      <c r="L109" s="91">
        <f t="shared" si="61"/>
        <v>0.46933333333333338</v>
      </c>
    </row>
    <row r="110" spans="1:12" ht="14" thickBot="1" x14ac:dyDescent="0.2">
      <c r="A110" s="164" t="s">
        <v>572</v>
      </c>
      <c r="B110" s="91"/>
      <c r="C110" s="394">
        <f>C109*C108*C97</f>
        <v>37546.666666666672</v>
      </c>
      <c r="D110" s="394">
        <f t="shared" ref="D110:L110" si="62">D109*D108*D97</f>
        <v>41301.333333333343</v>
      </c>
      <c r="E110" s="394">
        <f t="shared" si="62"/>
        <v>45431.466666666674</v>
      </c>
      <c r="F110" s="394">
        <f t="shared" si="62"/>
        <v>49974.613333333335</v>
      </c>
      <c r="G110" s="394">
        <f t="shared" si="62"/>
        <v>54972.074666666675</v>
      </c>
      <c r="H110" s="394">
        <f t="shared" si="62"/>
        <v>54972.074666666675</v>
      </c>
      <c r="I110" s="394">
        <f t="shared" si="62"/>
        <v>54972.074666666675</v>
      </c>
      <c r="J110" s="394">
        <f t="shared" si="62"/>
        <v>54972.074666666675</v>
      </c>
      <c r="K110" s="394">
        <f t="shared" si="62"/>
        <v>54972.074666666675</v>
      </c>
      <c r="L110" s="394">
        <f t="shared" si="62"/>
        <v>54972.074666666675</v>
      </c>
    </row>
    <row r="111" spans="1:12" ht="14" thickBot="1" x14ac:dyDescent="0.2">
      <c r="A111" s="164"/>
      <c r="B111" s="91"/>
      <c r="C111" s="150"/>
      <c r="D111" s="150"/>
      <c r="E111" s="85"/>
      <c r="F111" s="85"/>
      <c r="G111" s="85"/>
      <c r="H111" s="85"/>
      <c r="I111" s="85"/>
      <c r="J111" s="85"/>
      <c r="K111" s="85"/>
      <c r="L111" s="85"/>
    </row>
    <row r="112" spans="1:12" ht="14" thickBot="1" x14ac:dyDescent="0.2">
      <c r="A112" s="83" t="s">
        <v>573</v>
      </c>
      <c r="B112" s="91"/>
      <c r="C112" s="394">
        <f>C110-C107</f>
        <v>25113.188980716259</v>
      </c>
      <c r="D112" s="394">
        <f t="shared" ref="D112:L112" si="63">D110-D107</f>
        <v>28867.85564738293</v>
      </c>
      <c r="E112" s="394">
        <f t="shared" si="63"/>
        <v>32997.988980716262</v>
      </c>
      <c r="F112" s="394">
        <f t="shared" si="63"/>
        <v>37541.135647382922</v>
      </c>
      <c r="G112" s="394">
        <f t="shared" si="63"/>
        <v>42538.596980716262</v>
      </c>
      <c r="H112" s="394">
        <f t="shared" si="63"/>
        <v>42538.596980716262</v>
      </c>
      <c r="I112" s="394">
        <f t="shared" si="63"/>
        <v>42538.596980716262</v>
      </c>
      <c r="J112" s="394">
        <f t="shared" si="63"/>
        <v>42538.596980716262</v>
      </c>
      <c r="K112" s="394">
        <f t="shared" si="63"/>
        <v>42538.596980716262</v>
      </c>
      <c r="L112" s="394">
        <f t="shared" si="63"/>
        <v>42538.596980716262</v>
      </c>
    </row>
    <row r="113" spans="1:12" ht="14" thickBot="1" x14ac:dyDescent="0.2">
      <c r="A113" s="80"/>
      <c r="B113" s="158"/>
      <c r="C113" s="147"/>
      <c r="D113" s="98"/>
      <c r="E113" s="98"/>
      <c r="F113" s="98"/>
      <c r="G113" s="98"/>
      <c r="H113" s="98"/>
      <c r="I113" s="98"/>
      <c r="J113" s="98"/>
      <c r="K113" s="98"/>
      <c r="L113" s="98"/>
    </row>
    <row r="114" spans="1:12" ht="14" thickBot="1" x14ac:dyDescent="0.2">
      <c r="A114" s="466" t="s">
        <v>644</v>
      </c>
      <c r="B114" s="466"/>
      <c r="C114" s="466"/>
      <c r="D114" s="466"/>
      <c r="E114" s="466"/>
      <c r="F114" s="466"/>
      <c r="G114" s="466"/>
      <c r="H114" s="466"/>
      <c r="I114" s="466"/>
      <c r="J114" s="466"/>
      <c r="K114" s="466"/>
      <c r="L114" s="466"/>
    </row>
    <row r="115" spans="1:12" ht="14" thickBot="1" x14ac:dyDescent="0.2">
      <c r="A115" s="92"/>
      <c r="B115" s="93" t="s">
        <v>557</v>
      </c>
      <c r="C115" s="92">
        <v>80</v>
      </c>
      <c r="D115" s="92">
        <f>C115</f>
        <v>80</v>
      </c>
      <c r="E115" s="92">
        <f t="shared" ref="E115:L115" si="64">D115</f>
        <v>80</v>
      </c>
      <c r="F115" s="92">
        <f t="shared" si="64"/>
        <v>80</v>
      </c>
      <c r="G115" s="92">
        <f t="shared" si="64"/>
        <v>80</v>
      </c>
      <c r="H115" s="92">
        <f t="shared" si="64"/>
        <v>80</v>
      </c>
      <c r="I115" s="92">
        <f t="shared" si="64"/>
        <v>80</v>
      </c>
      <c r="J115" s="92">
        <f t="shared" si="64"/>
        <v>80</v>
      </c>
      <c r="K115" s="92">
        <f t="shared" si="64"/>
        <v>80</v>
      </c>
      <c r="L115" s="92">
        <f t="shared" si="64"/>
        <v>80</v>
      </c>
    </row>
    <row r="116" spans="1:12" ht="14" thickBot="1" x14ac:dyDescent="0.2">
      <c r="A116" s="167" t="s">
        <v>556</v>
      </c>
      <c r="B116" s="97">
        <f>B80</f>
        <v>42.613636363636367</v>
      </c>
      <c r="C116" s="397">
        <f>$B116*C$115</f>
        <v>3409.0909090909095</v>
      </c>
      <c r="D116" s="397">
        <f t="shared" ref="D116:L116" si="65">$B116*D$115</f>
        <v>3409.0909090909095</v>
      </c>
      <c r="E116" s="397">
        <f t="shared" si="65"/>
        <v>3409.0909090909095</v>
      </c>
      <c r="F116" s="397">
        <f t="shared" si="65"/>
        <v>3409.0909090909095</v>
      </c>
      <c r="G116" s="397">
        <f t="shared" si="65"/>
        <v>3409.0909090909095</v>
      </c>
      <c r="H116" s="397">
        <f t="shared" si="65"/>
        <v>3409.0909090909095</v>
      </c>
      <c r="I116" s="397">
        <f t="shared" si="65"/>
        <v>3409.0909090909095</v>
      </c>
      <c r="J116" s="397">
        <f t="shared" si="65"/>
        <v>3409.0909090909095</v>
      </c>
      <c r="K116" s="397">
        <f t="shared" si="65"/>
        <v>3409.0909090909095</v>
      </c>
      <c r="L116" s="397">
        <f t="shared" si="65"/>
        <v>3409.0909090909095</v>
      </c>
    </row>
    <row r="117" spans="1:12" ht="14" thickBot="1" x14ac:dyDescent="0.2">
      <c r="A117" s="88" t="s">
        <v>558</v>
      </c>
      <c r="B117" s="97">
        <f>9000*2.5/88</f>
        <v>255.68181818181819</v>
      </c>
      <c r="C117" s="397">
        <f t="shared" ref="C117:L125" si="66">$B117*C$115</f>
        <v>20454.545454545456</v>
      </c>
      <c r="D117" s="397">
        <f t="shared" si="66"/>
        <v>20454.545454545456</v>
      </c>
      <c r="E117" s="397">
        <f t="shared" si="66"/>
        <v>20454.545454545456</v>
      </c>
      <c r="F117" s="397">
        <f t="shared" si="66"/>
        <v>20454.545454545456</v>
      </c>
      <c r="G117" s="397">
        <f t="shared" si="66"/>
        <v>20454.545454545456</v>
      </c>
      <c r="H117" s="397">
        <f t="shared" si="66"/>
        <v>20454.545454545456</v>
      </c>
      <c r="I117" s="397">
        <f t="shared" si="66"/>
        <v>20454.545454545456</v>
      </c>
      <c r="J117" s="397">
        <f t="shared" si="66"/>
        <v>20454.545454545456</v>
      </c>
      <c r="K117" s="397">
        <f t="shared" si="66"/>
        <v>20454.545454545456</v>
      </c>
      <c r="L117" s="397">
        <f t="shared" si="66"/>
        <v>20454.545454545456</v>
      </c>
    </row>
    <row r="118" spans="1:12" ht="14" thickBot="1" x14ac:dyDescent="0.2">
      <c r="A118" s="88" t="s">
        <v>593</v>
      </c>
      <c r="B118" s="97"/>
      <c r="C118" s="87">
        <f t="shared" si="66"/>
        <v>0</v>
      </c>
      <c r="D118" s="87">
        <f t="shared" si="66"/>
        <v>0</v>
      </c>
      <c r="E118" s="87">
        <f t="shared" si="66"/>
        <v>0</v>
      </c>
      <c r="F118" s="87">
        <f t="shared" si="66"/>
        <v>0</v>
      </c>
      <c r="G118" s="87">
        <f t="shared" si="66"/>
        <v>0</v>
      </c>
      <c r="H118" s="87">
        <f t="shared" si="66"/>
        <v>0</v>
      </c>
      <c r="I118" s="87">
        <f t="shared" si="66"/>
        <v>0</v>
      </c>
      <c r="J118" s="87">
        <f t="shared" si="66"/>
        <v>0</v>
      </c>
      <c r="K118" s="87">
        <f t="shared" si="66"/>
        <v>0</v>
      </c>
      <c r="L118" s="87">
        <f t="shared" si="66"/>
        <v>0</v>
      </c>
    </row>
    <row r="119" spans="1:12" ht="14" thickBot="1" x14ac:dyDescent="0.2">
      <c r="A119" s="88" t="s">
        <v>574</v>
      </c>
      <c r="B119" s="97">
        <f>6000*2.5/88</f>
        <v>170.45454545454547</v>
      </c>
      <c r="C119" s="397">
        <f t="shared" si="66"/>
        <v>13636.363636363638</v>
      </c>
      <c r="D119" s="397">
        <f t="shared" si="66"/>
        <v>13636.363636363638</v>
      </c>
      <c r="E119" s="397">
        <f t="shared" si="66"/>
        <v>13636.363636363638</v>
      </c>
      <c r="F119" s="397">
        <f t="shared" si="66"/>
        <v>13636.363636363638</v>
      </c>
      <c r="G119" s="397">
        <f t="shared" si="66"/>
        <v>13636.363636363638</v>
      </c>
      <c r="H119" s="397">
        <f t="shared" si="66"/>
        <v>13636.363636363638</v>
      </c>
      <c r="I119" s="397">
        <f t="shared" si="66"/>
        <v>13636.363636363638</v>
      </c>
      <c r="J119" s="397">
        <f t="shared" si="66"/>
        <v>13636.363636363638</v>
      </c>
      <c r="K119" s="397">
        <f t="shared" si="66"/>
        <v>13636.363636363638</v>
      </c>
      <c r="L119" s="397">
        <f t="shared" si="66"/>
        <v>13636.363636363638</v>
      </c>
    </row>
    <row r="120" spans="1:12" ht="14" thickBot="1" x14ac:dyDescent="0.2">
      <c r="A120" s="88" t="s">
        <v>585</v>
      </c>
      <c r="B120" s="97">
        <f>18000*2.5/88</f>
        <v>511.36363636363637</v>
      </c>
      <c r="C120" s="397">
        <f t="shared" si="66"/>
        <v>40909.090909090912</v>
      </c>
      <c r="D120" s="397">
        <f t="shared" si="66"/>
        <v>40909.090909090912</v>
      </c>
      <c r="E120" s="397">
        <f t="shared" si="66"/>
        <v>40909.090909090912</v>
      </c>
      <c r="F120" s="397">
        <f t="shared" si="66"/>
        <v>40909.090909090912</v>
      </c>
      <c r="G120" s="397">
        <f t="shared" si="66"/>
        <v>40909.090909090912</v>
      </c>
      <c r="H120" s="397">
        <f t="shared" si="66"/>
        <v>40909.090909090912</v>
      </c>
      <c r="I120" s="397">
        <f t="shared" si="66"/>
        <v>40909.090909090912</v>
      </c>
      <c r="J120" s="397">
        <f t="shared" si="66"/>
        <v>40909.090909090912</v>
      </c>
      <c r="K120" s="397">
        <f t="shared" si="66"/>
        <v>40909.090909090912</v>
      </c>
      <c r="L120" s="397">
        <f t="shared" si="66"/>
        <v>40909.090909090912</v>
      </c>
    </row>
    <row r="121" spans="1:12" ht="14" thickBot="1" x14ac:dyDescent="0.2">
      <c r="A121" s="88" t="s">
        <v>594</v>
      </c>
      <c r="B121" s="97"/>
      <c r="C121" s="87">
        <f t="shared" si="66"/>
        <v>0</v>
      </c>
      <c r="D121" s="87">
        <f t="shared" si="66"/>
        <v>0</v>
      </c>
      <c r="E121" s="87">
        <f t="shared" si="66"/>
        <v>0</v>
      </c>
      <c r="F121" s="87">
        <f t="shared" si="66"/>
        <v>0</v>
      </c>
      <c r="G121" s="87">
        <f t="shared" si="66"/>
        <v>0</v>
      </c>
      <c r="H121" s="87">
        <f t="shared" si="66"/>
        <v>0</v>
      </c>
      <c r="I121" s="87">
        <f t="shared" si="66"/>
        <v>0</v>
      </c>
      <c r="J121" s="87">
        <f t="shared" si="66"/>
        <v>0</v>
      </c>
      <c r="K121" s="87">
        <f t="shared" si="66"/>
        <v>0</v>
      </c>
      <c r="L121" s="87">
        <f t="shared" si="66"/>
        <v>0</v>
      </c>
    </row>
    <row r="122" spans="1:12" ht="14" thickBot="1" x14ac:dyDescent="0.2">
      <c r="A122" s="88" t="s">
        <v>568</v>
      </c>
      <c r="B122" s="97">
        <f>4000*2.5/88</f>
        <v>113.63636363636364</v>
      </c>
      <c r="C122" s="397">
        <f t="shared" si="66"/>
        <v>9090.9090909090919</v>
      </c>
      <c r="D122" s="397">
        <f t="shared" si="66"/>
        <v>9090.9090909090919</v>
      </c>
      <c r="E122" s="397">
        <f t="shared" si="66"/>
        <v>9090.9090909090919</v>
      </c>
      <c r="F122" s="397">
        <f t="shared" si="66"/>
        <v>9090.9090909090919</v>
      </c>
      <c r="G122" s="397">
        <f t="shared" si="66"/>
        <v>9090.9090909090919</v>
      </c>
      <c r="H122" s="397">
        <f t="shared" si="66"/>
        <v>9090.9090909090919</v>
      </c>
      <c r="I122" s="397">
        <f t="shared" si="66"/>
        <v>9090.9090909090919</v>
      </c>
      <c r="J122" s="397">
        <f t="shared" si="66"/>
        <v>9090.9090909090919</v>
      </c>
      <c r="K122" s="397">
        <f t="shared" si="66"/>
        <v>9090.9090909090919</v>
      </c>
      <c r="L122" s="397">
        <f t="shared" si="66"/>
        <v>9090.9090909090919</v>
      </c>
    </row>
    <row r="123" spans="1:12" ht="14" thickBot="1" x14ac:dyDescent="0.2">
      <c r="A123" s="88" t="s">
        <v>586</v>
      </c>
      <c r="B123" s="97">
        <f>B87</f>
        <v>58.109504132231415</v>
      </c>
      <c r="C123" s="397">
        <f t="shared" si="66"/>
        <v>4648.7603305785133</v>
      </c>
      <c r="D123" s="397">
        <f t="shared" si="66"/>
        <v>4648.7603305785133</v>
      </c>
      <c r="E123" s="397">
        <f t="shared" si="66"/>
        <v>4648.7603305785133</v>
      </c>
      <c r="F123" s="397">
        <f t="shared" si="66"/>
        <v>4648.7603305785133</v>
      </c>
      <c r="G123" s="397">
        <f t="shared" si="66"/>
        <v>4648.7603305785133</v>
      </c>
      <c r="H123" s="397">
        <f t="shared" si="66"/>
        <v>4648.7603305785133</v>
      </c>
      <c r="I123" s="397">
        <f t="shared" si="66"/>
        <v>4648.7603305785133</v>
      </c>
      <c r="J123" s="397">
        <f t="shared" si="66"/>
        <v>4648.7603305785133</v>
      </c>
      <c r="K123" s="397">
        <f t="shared" si="66"/>
        <v>4648.7603305785133</v>
      </c>
      <c r="L123" s="397">
        <f t="shared" si="66"/>
        <v>4648.7603305785133</v>
      </c>
    </row>
    <row r="124" spans="1:12" ht="14" thickBot="1" x14ac:dyDescent="0.2">
      <c r="A124" s="168" t="s">
        <v>569</v>
      </c>
      <c r="B124" s="97">
        <f>7500*2.5/88</f>
        <v>213.06818181818181</v>
      </c>
      <c r="C124" s="397">
        <f t="shared" si="66"/>
        <v>17045.454545454544</v>
      </c>
      <c r="D124" s="397">
        <f t="shared" si="66"/>
        <v>17045.454545454544</v>
      </c>
      <c r="E124" s="397">
        <f t="shared" si="66"/>
        <v>17045.454545454544</v>
      </c>
      <c r="F124" s="397">
        <f t="shared" si="66"/>
        <v>17045.454545454544</v>
      </c>
      <c r="G124" s="397">
        <f t="shared" si="66"/>
        <v>17045.454545454544</v>
      </c>
      <c r="H124" s="397">
        <f t="shared" si="66"/>
        <v>17045.454545454544</v>
      </c>
      <c r="I124" s="397">
        <f t="shared" si="66"/>
        <v>17045.454545454544</v>
      </c>
      <c r="J124" s="397">
        <f t="shared" si="66"/>
        <v>17045.454545454544</v>
      </c>
      <c r="K124" s="397">
        <f t="shared" si="66"/>
        <v>17045.454545454544</v>
      </c>
      <c r="L124" s="397">
        <f t="shared" si="66"/>
        <v>17045.454545454544</v>
      </c>
    </row>
    <row r="125" spans="1:12" ht="14" thickBot="1" x14ac:dyDescent="0.2">
      <c r="A125" s="169" t="s">
        <v>154</v>
      </c>
      <c r="B125" s="97">
        <f>SUM(B116:B124)</f>
        <v>1364.9276859504132</v>
      </c>
      <c r="C125" s="397">
        <f t="shared" si="66"/>
        <v>109194.21487603306</v>
      </c>
      <c r="D125" s="397">
        <f t="shared" si="66"/>
        <v>109194.21487603306</v>
      </c>
      <c r="E125" s="397">
        <f t="shared" si="66"/>
        <v>109194.21487603306</v>
      </c>
      <c r="F125" s="397">
        <f t="shared" si="66"/>
        <v>109194.21487603306</v>
      </c>
      <c r="G125" s="397">
        <f t="shared" si="66"/>
        <v>109194.21487603306</v>
      </c>
      <c r="H125" s="397">
        <f t="shared" si="66"/>
        <v>109194.21487603306</v>
      </c>
      <c r="I125" s="397">
        <f t="shared" si="66"/>
        <v>109194.21487603306</v>
      </c>
      <c r="J125" s="397">
        <f t="shared" si="66"/>
        <v>109194.21487603306</v>
      </c>
      <c r="K125" s="397">
        <f t="shared" si="66"/>
        <v>109194.21487603306</v>
      </c>
      <c r="L125" s="397">
        <f t="shared" si="66"/>
        <v>109194.21487603306</v>
      </c>
    </row>
    <row r="126" spans="1:12" ht="14" thickBot="1" x14ac:dyDescent="0.2">
      <c r="A126" s="169" t="s">
        <v>570</v>
      </c>
      <c r="B126" s="97"/>
      <c r="C126" s="397">
        <v>20000</v>
      </c>
      <c r="D126" s="397">
        <f>C126+2000</f>
        <v>22000</v>
      </c>
      <c r="E126" s="397">
        <f t="shared" ref="E126:H126" si="67">D126+2000</f>
        <v>24000</v>
      </c>
      <c r="F126" s="397">
        <f t="shared" si="67"/>
        <v>26000</v>
      </c>
      <c r="G126" s="397">
        <f t="shared" si="67"/>
        <v>28000</v>
      </c>
      <c r="H126" s="397">
        <f t="shared" si="67"/>
        <v>30000</v>
      </c>
      <c r="I126" s="397">
        <f>H126</f>
        <v>30000</v>
      </c>
      <c r="J126" s="397">
        <f t="shared" ref="J126:L126" si="68">I126</f>
        <v>30000</v>
      </c>
      <c r="K126" s="397">
        <f t="shared" si="68"/>
        <v>30000</v>
      </c>
      <c r="L126" s="397">
        <f t="shared" si="68"/>
        <v>30000</v>
      </c>
    </row>
    <row r="127" spans="1:12" ht="14" thickBot="1" x14ac:dyDescent="0.2">
      <c r="A127" s="169" t="s">
        <v>571</v>
      </c>
      <c r="B127" s="97"/>
      <c r="C127" s="97">
        <v>1.5</v>
      </c>
      <c r="D127" s="97">
        <f>C127</f>
        <v>1.5</v>
      </c>
      <c r="E127" s="97">
        <f t="shared" ref="E127:L127" si="69">D127</f>
        <v>1.5</v>
      </c>
      <c r="F127" s="97">
        <f t="shared" si="69"/>
        <v>1.5</v>
      </c>
      <c r="G127" s="97">
        <f t="shared" si="69"/>
        <v>1.5</v>
      </c>
      <c r="H127" s="97">
        <f t="shared" si="69"/>
        <v>1.5</v>
      </c>
      <c r="I127" s="97">
        <f t="shared" si="69"/>
        <v>1.5</v>
      </c>
      <c r="J127" s="97">
        <f t="shared" si="69"/>
        <v>1.5</v>
      </c>
      <c r="K127" s="97">
        <f t="shared" si="69"/>
        <v>1.5</v>
      </c>
      <c r="L127" s="97">
        <f t="shared" si="69"/>
        <v>1.5</v>
      </c>
    </row>
    <row r="128" spans="1:12" ht="14" thickBot="1" x14ac:dyDescent="0.2">
      <c r="A128" s="169" t="s">
        <v>572</v>
      </c>
      <c r="B128" s="97"/>
      <c r="C128" s="397">
        <f>C127*C126*C115</f>
        <v>2400000</v>
      </c>
      <c r="D128" s="397">
        <f t="shared" ref="D128:L128" si="70">D127*D126*D115</f>
        <v>2640000</v>
      </c>
      <c r="E128" s="397">
        <f t="shared" si="70"/>
        <v>2880000</v>
      </c>
      <c r="F128" s="397">
        <f t="shared" si="70"/>
        <v>3120000</v>
      </c>
      <c r="G128" s="397">
        <f t="shared" si="70"/>
        <v>3360000</v>
      </c>
      <c r="H128" s="397">
        <f t="shared" si="70"/>
        <v>3600000</v>
      </c>
      <c r="I128" s="397">
        <f t="shared" si="70"/>
        <v>3600000</v>
      </c>
      <c r="J128" s="397">
        <f t="shared" si="70"/>
        <v>3600000</v>
      </c>
      <c r="K128" s="397">
        <f t="shared" si="70"/>
        <v>3600000</v>
      </c>
      <c r="L128" s="397">
        <f t="shared" si="70"/>
        <v>3600000</v>
      </c>
    </row>
    <row r="129" spans="1:12" ht="14" thickBot="1" x14ac:dyDescent="0.2">
      <c r="A129" s="169"/>
      <c r="B129" s="97"/>
      <c r="C129" s="397"/>
      <c r="D129" s="397"/>
      <c r="E129" s="397"/>
      <c r="F129" s="397"/>
      <c r="G129" s="397"/>
      <c r="H129" s="397"/>
      <c r="I129" s="397"/>
      <c r="J129" s="397"/>
      <c r="K129" s="397"/>
      <c r="L129" s="397"/>
    </row>
    <row r="130" spans="1:12" ht="14" thickBot="1" x14ac:dyDescent="0.2">
      <c r="A130" s="86" t="s">
        <v>573</v>
      </c>
      <c r="B130" s="97"/>
      <c r="C130" s="397">
        <f>C128-C125</f>
        <v>2290805.7851239671</v>
      </c>
      <c r="D130" s="397">
        <f t="shared" ref="D130:L130" si="71">D128-D125</f>
        <v>2530805.7851239671</v>
      </c>
      <c r="E130" s="397">
        <f t="shared" si="71"/>
        <v>2770805.7851239671</v>
      </c>
      <c r="F130" s="397">
        <f t="shared" si="71"/>
        <v>3010805.7851239671</v>
      </c>
      <c r="G130" s="397">
        <f t="shared" si="71"/>
        <v>3250805.7851239671</v>
      </c>
      <c r="H130" s="397">
        <f t="shared" si="71"/>
        <v>3490805.7851239671</v>
      </c>
      <c r="I130" s="397">
        <f t="shared" si="71"/>
        <v>3490805.7851239671</v>
      </c>
      <c r="J130" s="397">
        <f t="shared" si="71"/>
        <v>3490805.7851239671</v>
      </c>
      <c r="K130" s="397">
        <f t="shared" si="71"/>
        <v>3490805.7851239671</v>
      </c>
      <c r="L130" s="397">
        <f t="shared" si="71"/>
        <v>3490805.7851239671</v>
      </c>
    </row>
    <row r="131" spans="1:12" ht="14" thickBot="1" x14ac:dyDescent="0.2">
      <c r="A131" s="153"/>
      <c r="B131" s="158"/>
      <c r="C131" s="98"/>
      <c r="D131" s="98"/>
      <c r="E131" s="147"/>
      <c r="F131" s="147"/>
      <c r="G131" s="147"/>
      <c r="H131" s="147"/>
      <c r="I131" s="147"/>
      <c r="J131" s="147"/>
      <c r="K131" s="147"/>
      <c r="L131" s="147"/>
    </row>
    <row r="132" spans="1:12" ht="14" thickBot="1" x14ac:dyDescent="0.2">
      <c r="A132" s="464" t="s">
        <v>647</v>
      </c>
      <c r="B132" s="464"/>
      <c r="C132" s="464"/>
      <c r="D132" s="464"/>
      <c r="E132" s="464"/>
      <c r="F132" s="464"/>
      <c r="G132" s="464"/>
      <c r="H132" s="464"/>
      <c r="I132" s="464"/>
      <c r="J132" s="464"/>
      <c r="K132" s="464"/>
      <c r="L132" s="464"/>
    </row>
    <row r="133" spans="1:12" ht="14" thickBot="1" x14ac:dyDescent="0.2">
      <c r="A133" s="155"/>
      <c r="B133" s="94"/>
      <c r="C133" s="157"/>
      <c r="D133" s="157"/>
      <c r="E133" s="96"/>
      <c r="F133" s="96"/>
      <c r="G133" s="96"/>
      <c r="H133" s="96"/>
      <c r="I133" s="96"/>
      <c r="J133" s="96"/>
      <c r="K133" s="96"/>
      <c r="L133" s="96"/>
    </row>
    <row r="134" spans="1:12" ht="14" thickBot="1" x14ac:dyDescent="0.2">
      <c r="A134" s="155"/>
      <c r="B134" s="94" t="s">
        <v>649</v>
      </c>
      <c r="C134" s="95">
        <v>20</v>
      </c>
      <c r="D134" s="95">
        <f>C134</f>
        <v>20</v>
      </c>
      <c r="E134" s="95">
        <f t="shared" ref="E134:L134" si="72">D134</f>
        <v>20</v>
      </c>
      <c r="F134" s="95">
        <f t="shared" si="72"/>
        <v>20</v>
      </c>
      <c r="G134" s="95">
        <f t="shared" si="72"/>
        <v>20</v>
      </c>
      <c r="H134" s="95">
        <f t="shared" si="72"/>
        <v>20</v>
      </c>
      <c r="I134" s="95">
        <f t="shared" si="72"/>
        <v>20</v>
      </c>
      <c r="J134" s="95">
        <f t="shared" si="72"/>
        <v>20</v>
      </c>
      <c r="K134" s="95">
        <f t="shared" si="72"/>
        <v>20</v>
      </c>
      <c r="L134" s="95">
        <f t="shared" si="72"/>
        <v>20</v>
      </c>
    </row>
    <row r="135" spans="1:12" ht="14" thickBot="1" x14ac:dyDescent="0.2">
      <c r="A135" s="172" t="s">
        <v>556</v>
      </c>
      <c r="B135" s="398">
        <f>B116</f>
        <v>42.613636363636367</v>
      </c>
      <c r="C135" s="96">
        <f>$B135*C$134</f>
        <v>852.27272727272737</v>
      </c>
      <c r="D135" s="96">
        <f t="shared" ref="D135:L135" si="73">$B135*D$134</f>
        <v>852.27272727272737</v>
      </c>
      <c r="E135" s="96">
        <f t="shared" si="73"/>
        <v>852.27272727272737</v>
      </c>
      <c r="F135" s="96">
        <f t="shared" si="73"/>
        <v>852.27272727272737</v>
      </c>
      <c r="G135" s="96">
        <f t="shared" si="73"/>
        <v>852.27272727272737</v>
      </c>
      <c r="H135" s="96">
        <f t="shared" si="73"/>
        <v>852.27272727272737</v>
      </c>
      <c r="I135" s="96">
        <f t="shared" si="73"/>
        <v>852.27272727272737</v>
      </c>
      <c r="J135" s="96">
        <f t="shared" si="73"/>
        <v>852.27272727272737</v>
      </c>
      <c r="K135" s="96">
        <f t="shared" si="73"/>
        <v>852.27272727272737</v>
      </c>
      <c r="L135" s="96">
        <f t="shared" si="73"/>
        <v>852.27272727272737</v>
      </c>
    </row>
    <row r="136" spans="1:12" ht="14" thickBot="1" x14ac:dyDescent="0.2">
      <c r="A136" s="90" t="s">
        <v>558</v>
      </c>
      <c r="B136" s="398">
        <f>5000/88</f>
        <v>56.81818181818182</v>
      </c>
      <c r="C136" s="399">
        <f t="shared" ref="C136:L144" si="74">$B136*C$134</f>
        <v>1136.3636363636365</v>
      </c>
      <c r="D136" s="399">
        <f t="shared" si="74"/>
        <v>1136.3636363636365</v>
      </c>
      <c r="E136" s="399">
        <f t="shared" si="74"/>
        <v>1136.3636363636365</v>
      </c>
      <c r="F136" s="399">
        <f t="shared" si="74"/>
        <v>1136.3636363636365</v>
      </c>
      <c r="G136" s="399">
        <f t="shared" si="74"/>
        <v>1136.3636363636365</v>
      </c>
      <c r="H136" s="399">
        <f t="shared" si="74"/>
        <v>1136.3636363636365</v>
      </c>
      <c r="I136" s="399">
        <f t="shared" si="74"/>
        <v>1136.3636363636365</v>
      </c>
      <c r="J136" s="399">
        <f t="shared" si="74"/>
        <v>1136.3636363636365</v>
      </c>
      <c r="K136" s="399">
        <f t="shared" si="74"/>
        <v>1136.3636363636365</v>
      </c>
      <c r="L136" s="399">
        <f t="shared" si="74"/>
        <v>1136.3636363636365</v>
      </c>
    </row>
    <row r="137" spans="1:12" ht="14" thickBot="1" x14ac:dyDescent="0.2">
      <c r="A137" s="90" t="s">
        <v>593</v>
      </c>
      <c r="B137" s="398">
        <f>40000/88</f>
        <v>454.54545454545456</v>
      </c>
      <c r="C137" s="399">
        <f t="shared" si="74"/>
        <v>9090.9090909090919</v>
      </c>
      <c r="D137" s="399">
        <f t="shared" si="74"/>
        <v>9090.9090909090919</v>
      </c>
      <c r="E137" s="399">
        <f t="shared" si="74"/>
        <v>9090.9090909090919</v>
      </c>
      <c r="F137" s="399">
        <f t="shared" si="74"/>
        <v>9090.9090909090919</v>
      </c>
      <c r="G137" s="399">
        <f t="shared" si="74"/>
        <v>9090.9090909090919</v>
      </c>
      <c r="H137" s="399">
        <f t="shared" si="74"/>
        <v>9090.9090909090919</v>
      </c>
      <c r="I137" s="399">
        <f t="shared" si="74"/>
        <v>9090.9090909090919</v>
      </c>
      <c r="J137" s="399">
        <f t="shared" si="74"/>
        <v>9090.9090909090919</v>
      </c>
      <c r="K137" s="399">
        <f t="shared" si="74"/>
        <v>9090.9090909090919</v>
      </c>
      <c r="L137" s="399">
        <f t="shared" si="74"/>
        <v>9090.9090909090919</v>
      </c>
    </row>
    <row r="138" spans="1:12" ht="14" thickBot="1" x14ac:dyDescent="0.2">
      <c r="A138" s="90" t="s">
        <v>574</v>
      </c>
      <c r="B138" s="398">
        <f>B156</f>
        <v>532.6704545454545</v>
      </c>
      <c r="C138" s="399">
        <f t="shared" si="74"/>
        <v>10653.40909090909</v>
      </c>
      <c r="D138" s="399">
        <f t="shared" si="74"/>
        <v>10653.40909090909</v>
      </c>
      <c r="E138" s="399">
        <f t="shared" si="74"/>
        <v>10653.40909090909</v>
      </c>
      <c r="F138" s="399">
        <f t="shared" si="74"/>
        <v>10653.40909090909</v>
      </c>
      <c r="G138" s="399">
        <f t="shared" si="74"/>
        <v>10653.40909090909</v>
      </c>
      <c r="H138" s="399">
        <f t="shared" si="74"/>
        <v>10653.40909090909</v>
      </c>
      <c r="I138" s="399">
        <f t="shared" si="74"/>
        <v>10653.40909090909</v>
      </c>
      <c r="J138" s="399">
        <f t="shared" si="74"/>
        <v>10653.40909090909</v>
      </c>
      <c r="K138" s="399">
        <f t="shared" si="74"/>
        <v>10653.40909090909</v>
      </c>
      <c r="L138" s="399">
        <f t="shared" si="74"/>
        <v>10653.40909090909</v>
      </c>
    </row>
    <row r="139" spans="1:12" ht="14" thickBot="1" x14ac:dyDescent="0.2">
      <c r="A139" s="90" t="s">
        <v>585</v>
      </c>
      <c r="B139" s="398">
        <f>100000/88</f>
        <v>1136.3636363636363</v>
      </c>
      <c r="C139" s="399">
        <f t="shared" si="74"/>
        <v>22727.272727272724</v>
      </c>
      <c r="D139" s="399">
        <f t="shared" si="74"/>
        <v>22727.272727272724</v>
      </c>
      <c r="E139" s="399">
        <f t="shared" si="74"/>
        <v>22727.272727272724</v>
      </c>
      <c r="F139" s="399">
        <f t="shared" si="74"/>
        <v>22727.272727272724</v>
      </c>
      <c r="G139" s="399">
        <f t="shared" si="74"/>
        <v>22727.272727272724</v>
      </c>
      <c r="H139" s="399">
        <f t="shared" si="74"/>
        <v>22727.272727272724</v>
      </c>
      <c r="I139" s="399">
        <f t="shared" si="74"/>
        <v>22727.272727272724</v>
      </c>
      <c r="J139" s="399">
        <f t="shared" si="74"/>
        <v>22727.272727272724</v>
      </c>
      <c r="K139" s="399">
        <f t="shared" si="74"/>
        <v>22727.272727272724</v>
      </c>
      <c r="L139" s="399">
        <f t="shared" si="74"/>
        <v>22727.272727272724</v>
      </c>
    </row>
    <row r="140" spans="1:12" ht="14" thickBot="1" x14ac:dyDescent="0.2">
      <c r="A140" s="90" t="s">
        <v>648</v>
      </c>
      <c r="B140" s="398">
        <f>75000/88</f>
        <v>852.27272727272725</v>
      </c>
      <c r="C140" s="399">
        <f t="shared" si="74"/>
        <v>17045.454545454544</v>
      </c>
      <c r="D140" s="399">
        <f t="shared" si="74"/>
        <v>17045.454545454544</v>
      </c>
      <c r="E140" s="399">
        <f t="shared" si="74"/>
        <v>17045.454545454544</v>
      </c>
      <c r="F140" s="399">
        <f t="shared" si="74"/>
        <v>17045.454545454544</v>
      </c>
      <c r="G140" s="399">
        <f t="shared" si="74"/>
        <v>17045.454545454544</v>
      </c>
      <c r="H140" s="399">
        <f t="shared" si="74"/>
        <v>17045.454545454544</v>
      </c>
      <c r="I140" s="399">
        <f t="shared" si="74"/>
        <v>17045.454545454544</v>
      </c>
      <c r="J140" s="399">
        <f t="shared" si="74"/>
        <v>17045.454545454544</v>
      </c>
      <c r="K140" s="399">
        <f t="shared" si="74"/>
        <v>17045.454545454544</v>
      </c>
      <c r="L140" s="399">
        <f t="shared" si="74"/>
        <v>17045.454545454544</v>
      </c>
    </row>
    <row r="141" spans="1:12" ht="14" thickBot="1" x14ac:dyDescent="0.2">
      <c r="A141" s="90" t="s">
        <v>568</v>
      </c>
      <c r="B141" s="398">
        <f>60000/88</f>
        <v>681.81818181818187</v>
      </c>
      <c r="C141" s="399">
        <f t="shared" si="74"/>
        <v>13636.363636363638</v>
      </c>
      <c r="D141" s="399">
        <f t="shared" si="74"/>
        <v>13636.363636363638</v>
      </c>
      <c r="E141" s="399">
        <f t="shared" si="74"/>
        <v>13636.363636363638</v>
      </c>
      <c r="F141" s="399">
        <f t="shared" si="74"/>
        <v>13636.363636363638</v>
      </c>
      <c r="G141" s="399">
        <f t="shared" si="74"/>
        <v>13636.363636363638</v>
      </c>
      <c r="H141" s="399">
        <f t="shared" si="74"/>
        <v>13636.363636363638</v>
      </c>
      <c r="I141" s="399">
        <f t="shared" si="74"/>
        <v>13636.363636363638</v>
      </c>
      <c r="J141" s="399">
        <f t="shared" si="74"/>
        <v>13636.363636363638</v>
      </c>
      <c r="K141" s="399">
        <f t="shared" si="74"/>
        <v>13636.363636363638</v>
      </c>
      <c r="L141" s="399">
        <f t="shared" si="74"/>
        <v>13636.363636363638</v>
      </c>
    </row>
    <row r="142" spans="1:12" ht="14" thickBot="1" x14ac:dyDescent="0.2">
      <c r="A142" s="90" t="s">
        <v>586</v>
      </c>
      <c r="B142" s="398">
        <f>B160</f>
        <v>116.21900826446283</v>
      </c>
      <c r="C142" s="399">
        <f t="shared" si="74"/>
        <v>2324.3801652892566</v>
      </c>
      <c r="D142" s="399">
        <f t="shared" si="74"/>
        <v>2324.3801652892566</v>
      </c>
      <c r="E142" s="399">
        <f t="shared" si="74"/>
        <v>2324.3801652892566</v>
      </c>
      <c r="F142" s="399">
        <f t="shared" si="74"/>
        <v>2324.3801652892566</v>
      </c>
      <c r="G142" s="399">
        <f t="shared" si="74"/>
        <v>2324.3801652892566</v>
      </c>
      <c r="H142" s="399">
        <f t="shared" si="74"/>
        <v>2324.3801652892566</v>
      </c>
      <c r="I142" s="399">
        <f t="shared" si="74"/>
        <v>2324.3801652892566</v>
      </c>
      <c r="J142" s="399">
        <f t="shared" si="74"/>
        <v>2324.3801652892566</v>
      </c>
      <c r="K142" s="399">
        <f t="shared" si="74"/>
        <v>2324.3801652892566</v>
      </c>
      <c r="L142" s="399">
        <f t="shared" si="74"/>
        <v>2324.3801652892566</v>
      </c>
    </row>
    <row r="143" spans="1:12" ht="14" thickBot="1" x14ac:dyDescent="0.2">
      <c r="A143" s="173" t="s">
        <v>569</v>
      </c>
      <c r="B143" s="398">
        <f>B161</f>
        <v>1377.840909090909</v>
      </c>
      <c r="C143" s="399">
        <f t="shared" si="74"/>
        <v>27556.81818181818</v>
      </c>
      <c r="D143" s="399">
        <f t="shared" si="74"/>
        <v>27556.81818181818</v>
      </c>
      <c r="E143" s="399">
        <f t="shared" si="74"/>
        <v>27556.81818181818</v>
      </c>
      <c r="F143" s="399">
        <f t="shared" si="74"/>
        <v>27556.81818181818</v>
      </c>
      <c r="G143" s="399">
        <f t="shared" si="74"/>
        <v>27556.81818181818</v>
      </c>
      <c r="H143" s="399">
        <f t="shared" si="74"/>
        <v>27556.81818181818</v>
      </c>
      <c r="I143" s="399">
        <f t="shared" si="74"/>
        <v>27556.81818181818</v>
      </c>
      <c r="J143" s="399">
        <f t="shared" si="74"/>
        <v>27556.81818181818</v>
      </c>
      <c r="K143" s="399">
        <f t="shared" si="74"/>
        <v>27556.81818181818</v>
      </c>
      <c r="L143" s="399">
        <f t="shared" si="74"/>
        <v>27556.81818181818</v>
      </c>
    </row>
    <row r="144" spans="1:12" ht="14" thickBot="1" x14ac:dyDescent="0.2">
      <c r="A144" s="174" t="s">
        <v>154</v>
      </c>
      <c r="B144" s="398">
        <f>SUM(B135:B143)</f>
        <v>5251.1621900826449</v>
      </c>
      <c r="C144" s="399">
        <f t="shared" si="74"/>
        <v>105023.24380165289</v>
      </c>
      <c r="D144" s="399">
        <f t="shared" si="74"/>
        <v>105023.24380165289</v>
      </c>
      <c r="E144" s="399">
        <f t="shared" si="74"/>
        <v>105023.24380165289</v>
      </c>
      <c r="F144" s="399">
        <f t="shared" si="74"/>
        <v>105023.24380165289</v>
      </c>
      <c r="G144" s="399">
        <f t="shared" si="74"/>
        <v>105023.24380165289</v>
      </c>
      <c r="H144" s="399">
        <f t="shared" si="74"/>
        <v>105023.24380165289</v>
      </c>
      <c r="I144" s="399">
        <f t="shared" si="74"/>
        <v>105023.24380165289</v>
      </c>
      <c r="J144" s="399">
        <f t="shared" si="74"/>
        <v>105023.24380165289</v>
      </c>
      <c r="K144" s="399">
        <f t="shared" si="74"/>
        <v>105023.24380165289</v>
      </c>
      <c r="L144" s="399">
        <f t="shared" si="74"/>
        <v>105023.24380165289</v>
      </c>
    </row>
    <row r="145" spans="1:12" ht="14" thickBot="1" x14ac:dyDescent="0.2">
      <c r="A145" s="174" t="s">
        <v>570</v>
      </c>
      <c r="B145" s="94"/>
      <c r="C145" s="399">
        <f>50000</f>
        <v>50000</v>
      </c>
      <c r="D145" s="399">
        <f>C145*1.1</f>
        <v>55000.000000000007</v>
      </c>
      <c r="E145" s="399">
        <f t="shared" ref="E145:G145" si="75">D145*1.1</f>
        <v>60500.000000000015</v>
      </c>
      <c r="F145" s="399">
        <f t="shared" si="75"/>
        <v>66550.000000000015</v>
      </c>
      <c r="G145" s="399">
        <f t="shared" si="75"/>
        <v>73205.000000000029</v>
      </c>
      <c r="H145" s="399">
        <v>80000</v>
      </c>
      <c r="I145" s="399">
        <f>H145</f>
        <v>80000</v>
      </c>
      <c r="J145" s="399">
        <f t="shared" ref="J145:L145" si="76">I145</f>
        <v>80000</v>
      </c>
      <c r="K145" s="399">
        <f t="shared" si="76"/>
        <v>80000</v>
      </c>
      <c r="L145" s="399">
        <f t="shared" si="76"/>
        <v>80000</v>
      </c>
    </row>
    <row r="146" spans="1:12" ht="14" thickBot="1" x14ac:dyDescent="0.2">
      <c r="A146" s="174" t="s">
        <v>571</v>
      </c>
      <c r="B146" s="94"/>
      <c r="C146" s="157">
        <v>0.25</v>
      </c>
      <c r="D146" s="157">
        <f>C146</f>
        <v>0.25</v>
      </c>
      <c r="E146" s="157">
        <f t="shared" ref="E146:L146" si="77">D146</f>
        <v>0.25</v>
      </c>
      <c r="F146" s="157">
        <f t="shared" si="77"/>
        <v>0.25</v>
      </c>
      <c r="G146" s="157">
        <f t="shared" si="77"/>
        <v>0.25</v>
      </c>
      <c r="H146" s="157">
        <f t="shared" si="77"/>
        <v>0.25</v>
      </c>
      <c r="I146" s="157">
        <f t="shared" si="77"/>
        <v>0.25</v>
      </c>
      <c r="J146" s="157">
        <f t="shared" si="77"/>
        <v>0.25</v>
      </c>
      <c r="K146" s="157">
        <f t="shared" si="77"/>
        <v>0.25</v>
      </c>
      <c r="L146" s="157">
        <f t="shared" si="77"/>
        <v>0.25</v>
      </c>
    </row>
    <row r="147" spans="1:12" ht="14" thickBot="1" x14ac:dyDescent="0.2">
      <c r="A147" s="174" t="s">
        <v>572</v>
      </c>
      <c r="B147" s="94"/>
      <c r="C147" s="399">
        <f>C146*C145*C134</f>
        <v>250000</v>
      </c>
      <c r="D147" s="399">
        <f t="shared" ref="D147:L147" si="78">D146*D145*D134</f>
        <v>275000.00000000006</v>
      </c>
      <c r="E147" s="399">
        <f t="shared" si="78"/>
        <v>302500.00000000006</v>
      </c>
      <c r="F147" s="399">
        <f t="shared" si="78"/>
        <v>332750.00000000006</v>
      </c>
      <c r="G147" s="399">
        <f t="shared" si="78"/>
        <v>366025.00000000012</v>
      </c>
      <c r="H147" s="399">
        <f t="shared" si="78"/>
        <v>400000</v>
      </c>
      <c r="I147" s="399">
        <f t="shared" si="78"/>
        <v>400000</v>
      </c>
      <c r="J147" s="399">
        <f t="shared" si="78"/>
        <v>400000</v>
      </c>
      <c r="K147" s="399">
        <f t="shared" si="78"/>
        <v>400000</v>
      </c>
      <c r="L147" s="399">
        <f t="shared" si="78"/>
        <v>400000</v>
      </c>
    </row>
    <row r="148" spans="1:12" ht="14" thickBot="1" x14ac:dyDescent="0.2">
      <c r="A148" s="174"/>
      <c r="B148" s="94"/>
      <c r="C148" s="399"/>
      <c r="D148" s="399"/>
      <c r="E148" s="399"/>
      <c r="F148" s="399"/>
      <c r="G148" s="399"/>
      <c r="H148" s="399"/>
      <c r="I148" s="399"/>
      <c r="J148" s="399"/>
      <c r="K148" s="399"/>
      <c r="L148" s="399"/>
    </row>
    <row r="149" spans="1:12" ht="14" thickBot="1" x14ac:dyDescent="0.2">
      <c r="A149" s="89" t="s">
        <v>573</v>
      </c>
      <c r="B149" s="94"/>
      <c r="C149" s="399">
        <f>C147-C145</f>
        <v>200000</v>
      </c>
      <c r="D149" s="399">
        <f t="shared" ref="D149:L149" si="79">D147-D145</f>
        <v>220000.00000000006</v>
      </c>
      <c r="E149" s="399">
        <f t="shared" si="79"/>
        <v>242000.00000000006</v>
      </c>
      <c r="F149" s="399">
        <f t="shared" si="79"/>
        <v>266200.00000000006</v>
      </c>
      <c r="G149" s="399">
        <f t="shared" si="79"/>
        <v>292820.00000000012</v>
      </c>
      <c r="H149" s="399">
        <f t="shared" si="79"/>
        <v>320000</v>
      </c>
      <c r="I149" s="399">
        <f t="shared" si="79"/>
        <v>320000</v>
      </c>
      <c r="J149" s="399">
        <f t="shared" si="79"/>
        <v>320000</v>
      </c>
      <c r="K149" s="399">
        <f t="shared" si="79"/>
        <v>320000</v>
      </c>
      <c r="L149" s="399">
        <f t="shared" si="79"/>
        <v>320000</v>
      </c>
    </row>
    <row r="150" spans="1:12" ht="14" thickBot="1" x14ac:dyDescent="0.2">
      <c r="A150" s="80"/>
      <c r="B150" s="158"/>
      <c r="C150" s="98"/>
      <c r="D150" s="98"/>
      <c r="E150" s="147"/>
      <c r="F150" s="147"/>
      <c r="G150" s="147"/>
      <c r="H150" s="147"/>
      <c r="I150" s="147"/>
      <c r="J150" s="147"/>
      <c r="K150" s="147"/>
      <c r="L150" s="147"/>
    </row>
    <row r="151" spans="1:12" ht="14" thickBot="1" x14ac:dyDescent="0.2">
      <c r="A151" s="464" t="s">
        <v>596</v>
      </c>
      <c r="B151" s="464"/>
      <c r="C151" s="464"/>
      <c r="D151" s="464"/>
      <c r="E151" s="464"/>
      <c r="F151" s="464"/>
      <c r="G151" s="464"/>
      <c r="H151" s="464"/>
      <c r="I151" s="464"/>
      <c r="J151" s="464"/>
      <c r="K151" s="464"/>
      <c r="L151" s="464"/>
    </row>
    <row r="152" spans="1:12" ht="14" thickBot="1" x14ac:dyDescent="0.2">
      <c r="A152" s="89"/>
      <c r="B152" s="94"/>
      <c r="C152" s="95">
        <v>20</v>
      </c>
      <c r="D152" s="95">
        <f>C152</f>
        <v>20</v>
      </c>
      <c r="E152" s="95">
        <f t="shared" ref="E152:L152" si="80">D152</f>
        <v>20</v>
      </c>
      <c r="F152" s="95">
        <f t="shared" si="80"/>
        <v>20</v>
      </c>
      <c r="G152" s="95">
        <f t="shared" si="80"/>
        <v>20</v>
      </c>
      <c r="H152" s="95">
        <f t="shared" si="80"/>
        <v>20</v>
      </c>
      <c r="I152" s="95">
        <f t="shared" si="80"/>
        <v>20</v>
      </c>
      <c r="J152" s="95">
        <f t="shared" si="80"/>
        <v>20</v>
      </c>
      <c r="K152" s="95">
        <f t="shared" si="80"/>
        <v>20</v>
      </c>
      <c r="L152" s="95">
        <f t="shared" si="80"/>
        <v>20</v>
      </c>
    </row>
    <row r="153" spans="1:12" ht="14" thickBot="1" x14ac:dyDescent="0.2">
      <c r="A153" s="172" t="s">
        <v>556</v>
      </c>
      <c r="B153" s="398">
        <f>B80</f>
        <v>42.613636363636367</v>
      </c>
      <c r="C153" s="96">
        <f>$B153*C$152</f>
        <v>852.27272727272737</v>
      </c>
      <c r="D153" s="96">
        <f t="shared" ref="D153:L153" si="81">$B153*D$152</f>
        <v>852.27272727272737</v>
      </c>
      <c r="E153" s="96">
        <f t="shared" si="81"/>
        <v>852.27272727272737</v>
      </c>
      <c r="F153" s="96">
        <f t="shared" si="81"/>
        <v>852.27272727272737</v>
      </c>
      <c r="G153" s="96">
        <f t="shared" si="81"/>
        <v>852.27272727272737</v>
      </c>
      <c r="H153" s="96">
        <f t="shared" si="81"/>
        <v>852.27272727272737</v>
      </c>
      <c r="I153" s="96">
        <f t="shared" si="81"/>
        <v>852.27272727272737</v>
      </c>
      <c r="J153" s="96">
        <f t="shared" si="81"/>
        <v>852.27272727272737</v>
      </c>
      <c r="K153" s="96">
        <f t="shared" si="81"/>
        <v>852.27272727272737</v>
      </c>
      <c r="L153" s="96">
        <f t="shared" si="81"/>
        <v>852.27272727272737</v>
      </c>
    </row>
    <row r="154" spans="1:12" ht="14" thickBot="1" x14ac:dyDescent="0.2">
      <c r="A154" s="90" t="s">
        <v>558</v>
      </c>
      <c r="B154" s="398">
        <f>6000*2.5/88</f>
        <v>170.45454545454547</v>
      </c>
      <c r="C154" s="399">
        <f t="shared" ref="C154:L161" si="82">$B154*C$152</f>
        <v>3409.0909090909095</v>
      </c>
      <c r="D154" s="399">
        <f t="shared" si="82"/>
        <v>3409.0909090909095</v>
      </c>
      <c r="E154" s="399">
        <f t="shared" si="82"/>
        <v>3409.0909090909095</v>
      </c>
      <c r="F154" s="399">
        <f t="shared" si="82"/>
        <v>3409.0909090909095</v>
      </c>
      <c r="G154" s="399">
        <f t="shared" si="82"/>
        <v>3409.0909090909095</v>
      </c>
      <c r="H154" s="399">
        <f t="shared" si="82"/>
        <v>3409.0909090909095</v>
      </c>
      <c r="I154" s="399">
        <f t="shared" si="82"/>
        <v>3409.0909090909095</v>
      </c>
      <c r="J154" s="399">
        <f t="shared" si="82"/>
        <v>3409.0909090909095</v>
      </c>
      <c r="K154" s="399">
        <f t="shared" si="82"/>
        <v>3409.0909090909095</v>
      </c>
      <c r="L154" s="399">
        <f t="shared" si="82"/>
        <v>3409.0909090909095</v>
      </c>
    </row>
    <row r="155" spans="1:12" ht="14" thickBot="1" x14ac:dyDescent="0.2">
      <c r="A155" s="90" t="s">
        <v>593</v>
      </c>
      <c r="B155" s="398">
        <f>15000*2.5/88</f>
        <v>426.13636363636363</v>
      </c>
      <c r="C155" s="399">
        <f t="shared" si="82"/>
        <v>8522.7272727272721</v>
      </c>
      <c r="D155" s="399">
        <f t="shared" si="82"/>
        <v>8522.7272727272721</v>
      </c>
      <c r="E155" s="399">
        <f t="shared" si="82"/>
        <v>8522.7272727272721</v>
      </c>
      <c r="F155" s="399">
        <f t="shared" si="82"/>
        <v>8522.7272727272721</v>
      </c>
      <c r="G155" s="399">
        <f t="shared" si="82"/>
        <v>8522.7272727272721</v>
      </c>
      <c r="H155" s="399">
        <f t="shared" si="82"/>
        <v>8522.7272727272721</v>
      </c>
      <c r="I155" s="399">
        <f t="shared" si="82"/>
        <v>8522.7272727272721</v>
      </c>
      <c r="J155" s="399">
        <f t="shared" si="82"/>
        <v>8522.7272727272721</v>
      </c>
      <c r="K155" s="399">
        <f t="shared" si="82"/>
        <v>8522.7272727272721</v>
      </c>
      <c r="L155" s="399">
        <f t="shared" si="82"/>
        <v>8522.7272727272721</v>
      </c>
    </row>
    <row r="156" spans="1:12" ht="14" thickBot="1" x14ac:dyDescent="0.2">
      <c r="A156" s="90" t="s">
        <v>574</v>
      </c>
      <c r="B156" s="398">
        <f>18750*2.5/88</f>
        <v>532.6704545454545</v>
      </c>
      <c r="C156" s="399">
        <f t="shared" si="82"/>
        <v>10653.40909090909</v>
      </c>
      <c r="D156" s="399">
        <f t="shared" si="82"/>
        <v>10653.40909090909</v>
      </c>
      <c r="E156" s="399">
        <f t="shared" si="82"/>
        <v>10653.40909090909</v>
      </c>
      <c r="F156" s="399">
        <f t="shared" si="82"/>
        <v>10653.40909090909</v>
      </c>
      <c r="G156" s="399">
        <f t="shared" si="82"/>
        <v>10653.40909090909</v>
      </c>
      <c r="H156" s="399">
        <f t="shared" si="82"/>
        <v>10653.40909090909</v>
      </c>
      <c r="I156" s="399">
        <f t="shared" si="82"/>
        <v>10653.40909090909</v>
      </c>
      <c r="J156" s="399">
        <f t="shared" si="82"/>
        <v>10653.40909090909</v>
      </c>
      <c r="K156" s="399">
        <f t="shared" si="82"/>
        <v>10653.40909090909</v>
      </c>
      <c r="L156" s="399">
        <f t="shared" si="82"/>
        <v>10653.40909090909</v>
      </c>
    </row>
    <row r="157" spans="1:12" ht="14" thickBot="1" x14ac:dyDescent="0.2">
      <c r="A157" s="90" t="s">
        <v>585</v>
      </c>
      <c r="B157" s="398">
        <f>45000*2.5/88</f>
        <v>1278.409090909091</v>
      </c>
      <c r="C157" s="399">
        <f t="shared" si="82"/>
        <v>25568.18181818182</v>
      </c>
      <c r="D157" s="399">
        <f t="shared" si="82"/>
        <v>25568.18181818182</v>
      </c>
      <c r="E157" s="399">
        <f t="shared" si="82"/>
        <v>25568.18181818182</v>
      </c>
      <c r="F157" s="399">
        <f t="shared" si="82"/>
        <v>25568.18181818182</v>
      </c>
      <c r="G157" s="399">
        <f t="shared" si="82"/>
        <v>25568.18181818182</v>
      </c>
      <c r="H157" s="399">
        <f t="shared" si="82"/>
        <v>25568.18181818182</v>
      </c>
      <c r="I157" s="399">
        <f t="shared" si="82"/>
        <v>25568.18181818182</v>
      </c>
      <c r="J157" s="399">
        <f t="shared" si="82"/>
        <v>25568.18181818182</v>
      </c>
      <c r="K157" s="399">
        <f t="shared" si="82"/>
        <v>25568.18181818182</v>
      </c>
      <c r="L157" s="399">
        <f t="shared" si="82"/>
        <v>25568.18181818182</v>
      </c>
    </row>
    <row r="158" spans="1:12" ht="14" thickBot="1" x14ac:dyDescent="0.2">
      <c r="A158" s="90" t="s">
        <v>594</v>
      </c>
      <c r="B158" s="398">
        <f>40000*2.5/88</f>
        <v>1136.3636363636363</v>
      </c>
      <c r="C158" s="399">
        <f t="shared" si="82"/>
        <v>22727.272727272724</v>
      </c>
      <c r="D158" s="399">
        <f t="shared" si="82"/>
        <v>22727.272727272724</v>
      </c>
      <c r="E158" s="399">
        <f t="shared" si="82"/>
        <v>22727.272727272724</v>
      </c>
      <c r="F158" s="399">
        <f t="shared" si="82"/>
        <v>22727.272727272724</v>
      </c>
      <c r="G158" s="399">
        <f t="shared" si="82"/>
        <v>22727.272727272724</v>
      </c>
      <c r="H158" s="399">
        <f t="shared" si="82"/>
        <v>22727.272727272724</v>
      </c>
      <c r="I158" s="399">
        <f t="shared" si="82"/>
        <v>22727.272727272724</v>
      </c>
      <c r="J158" s="399">
        <f t="shared" si="82"/>
        <v>22727.272727272724</v>
      </c>
      <c r="K158" s="399">
        <f t="shared" si="82"/>
        <v>22727.272727272724</v>
      </c>
      <c r="L158" s="399">
        <f t="shared" si="82"/>
        <v>22727.272727272724</v>
      </c>
    </row>
    <row r="159" spans="1:12" ht="14" thickBot="1" x14ac:dyDescent="0.2">
      <c r="A159" s="90" t="s">
        <v>568</v>
      </c>
      <c r="B159" s="398">
        <f>17500*2.5/88</f>
        <v>497.15909090909093</v>
      </c>
      <c r="C159" s="399">
        <f t="shared" si="82"/>
        <v>9943.181818181818</v>
      </c>
      <c r="D159" s="399">
        <f t="shared" si="82"/>
        <v>9943.181818181818</v>
      </c>
      <c r="E159" s="399">
        <f t="shared" si="82"/>
        <v>9943.181818181818</v>
      </c>
      <c r="F159" s="399">
        <f t="shared" si="82"/>
        <v>9943.181818181818</v>
      </c>
      <c r="G159" s="399">
        <f t="shared" si="82"/>
        <v>9943.181818181818</v>
      </c>
      <c r="H159" s="399">
        <f t="shared" si="82"/>
        <v>9943.181818181818</v>
      </c>
      <c r="I159" s="399">
        <f t="shared" si="82"/>
        <v>9943.181818181818</v>
      </c>
      <c r="J159" s="399">
        <f t="shared" si="82"/>
        <v>9943.181818181818</v>
      </c>
      <c r="K159" s="399">
        <f t="shared" si="82"/>
        <v>9943.181818181818</v>
      </c>
      <c r="L159" s="399">
        <f t="shared" si="82"/>
        <v>9943.181818181818</v>
      </c>
    </row>
    <row r="160" spans="1:12" ht="14" thickBot="1" x14ac:dyDescent="0.2">
      <c r="A160" s="90" t="s">
        <v>586</v>
      </c>
      <c r="B160" s="398">
        <f>B87*2</f>
        <v>116.21900826446283</v>
      </c>
      <c r="C160" s="399">
        <f t="shared" si="82"/>
        <v>2324.3801652892566</v>
      </c>
      <c r="D160" s="399">
        <f t="shared" si="82"/>
        <v>2324.3801652892566</v>
      </c>
      <c r="E160" s="399">
        <f t="shared" si="82"/>
        <v>2324.3801652892566</v>
      </c>
      <c r="F160" s="399">
        <f t="shared" si="82"/>
        <v>2324.3801652892566</v>
      </c>
      <c r="G160" s="399">
        <f t="shared" si="82"/>
        <v>2324.3801652892566</v>
      </c>
      <c r="H160" s="399">
        <f t="shared" si="82"/>
        <v>2324.3801652892566</v>
      </c>
      <c r="I160" s="399">
        <f t="shared" si="82"/>
        <v>2324.3801652892566</v>
      </c>
      <c r="J160" s="399">
        <f t="shared" si="82"/>
        <v>2324.3801652892566</v>
      </c>
      <c r="K160" s="399">
        <f t="shared" si="82"/>
        <v>2324.3801652892566</v>
      </c>
      <c r="L160" s="399">
        <f t="shared" si="82"/>
        <v>2324.3801652892566</v>
      </c>
    </row>
    <row r="161" spans="1:12" ht="14" thickBot="1" x14ac:dyDescent="0.2">
      <c r="A161" s="173" t="s">
        <v>569</v>
      </c>
      <c r="B161" s="398">
        <f>48500*2.5/88</f>
        <v>1377.840909090909</v>
      </c>
      <c r="C161" s="399">
        <f t="shared" si="82"/>
        <v>27556.81818181818</v>
      </c>
      <c r="D161" s="399">
        <f t="shared" si="82"/>
        <v>27556.81818181818</v>
      </c>
      <c r="E161" s="399">
        <f t="shared" si="82"/>
        <v>27556.81818181818</v>
      </c>
      <c r="F161" s="399">
        <f t="shared" si="82"/>
        <v>27556.81818181818</v>
      </c>
      <c r="G161" s="399">
        <f t="shared" si="82"/>
        <v>27556.81818181818</v>
      </c>
      <c r="H161" s="399">
        <f t="shared" si="82"/>
        <v>27556.81818181818</v>
      </c>
      <c r="I161" s="399">
        <f t="shared" si="82"/>
        <v>27556.81818181818</v>
      </c>
      <c r="J161" s="399">
        <f t="shared" si="82"/>
        <v>27556.81818181818</v>
      </c>
      <c r="K161" s="399">
        <f t="shared" si="82"/>
        <v>27556.81818181818</v>
      </c>
      <c r="L161" s="399">
        <f t="shared" si="82"/>
        <v>27556.81818181818</v>
      </c>
    </row>
    <row r="162" spans="1:12" ht="14" thickBot="1" x14ac:dyDescent="0.2">
      <c r="A162" s="174" t="s">
        <v>154</v>
      </c>
      <c r="B162" s="398">
        <f>SUM(B153:B161)</f>
        <v>5577.8667355371899</v>
      </c>
      <c r="C162" s="399">
        <f t="shared" ref="C162:L162" si="83">SUM(C153:C161)</f>
        <v>111557.3347107438</v>
      </c>
      <c r="D162" s="399">
        <f t="shared" si="83"/>
        <v>111557.3347107438</v>
      </c>
      <c r="E162" s="399">
        <f t="shared" si="83"/>
        <v>111557.3347107438</v>
      </c>
      <c r="F162" s="399">
        <f t="shared" si="83"/>
        <v>111557.3347107438</v>
      </c>
      <c r="G162" s="399">
        <f t="shared" si="83"/>
        <v>111557.3347107438</v>
      </c>
      <c r="H162" s="399">
        <f t="shared" si="83"/>
        <v>111557.3347107438</v>
      </c>
      <c r="I162" s="399">
        <f t="shared" si="83"/>
        <v>111557.3347107438</v>
      </c>
      <c r="J162" s="399">
        <f t="shared" si="83"/>
        <v>111557.3347107438</v>
      </c>
      <c r="K162" s="399">
        <f t="shared" si="83"/>
        <v>111557.3347107438</v>
      </c>
      <c r="L162" s="399">
        <f t="shared" si="83"/>
        <v>111557.3347107438</v>
      </c>
    </row>
    <row r="163" spans="1:12" ht="14" thickBot="1" x14ac:dyDescent="0.2">
      <c r="A163" s="174" t="s">
        <v>570</v>
      </c>
      <c r="B163" s="94"/>
      <c r="C163" s="399">
        <f>25000*2.5</f>
        <v>62500</v>
      </c>
      <c r="D163" s="399">
        <f>+C163+10000</f>
        <v>72500</v>
      </c>
      <c r="E163" s="399">
        <f t="shared" ref="E163:G163" si="84">+D163+10000</f>
        <v>82500</v>
      </c>
      <c r="F163" s="399">
        <f t="shared" si="84"/>
        <v>92500</v>
      </c>
      <c r="G163" s="399">
        <f t="shared" si="84"/>
        <v>102500</v>
      </c>
      <c r="H163" s="399">
        <f>+G163+10000</f>
        <v>112500</v>
      </c>
      <c r="I163" s="399">
        <f>H163</f>
        <v>112500</v>
      </c>
      <c r="J163" s="399">
        <f>I163</f>
        <v>112500</v>
      </c>
      <c r="K163" s="399">
        <f t="shared" ref="K163:L163" si="85">J163</f>
        <v>112500</v>
      </c>
      <c r="L163" s="399">
        <f t="shared" si="85"/>
        <v>112500</v>
      </c>
    </row>
    <row r="164" spans="1:12" ht="14" thickBot="1" x14ac:dyDescent="0.2">
      <c r="A164" s="174" t="s">
        <v>571</v>
      </c>
      <c r="B164" s="94"/>
      <c r="C164" s="94">
        <v>0.4</v>
      </c>
      <c r="D164" s="94">
        <f>C164</f>
        <v>0.4</v>
      </c>
      <c r="E164" s="94">
        <f t="shared" ref="E164:L164" si="86">D164</f>
        <v>0.4</v>
      </c>
      <c r="F164" s="94">
        <f t="shared" si="86"/>
        <v>0.4</v>
      </c>
      <c r="G164" s="94">
        <f t="shared" si="86"/>
        <v>0.4</v>
      </c>
      <c r="H164" s="94">
        <f t="shared" si="86"/>
        <v>0.4</v>
      </c>
      <c r="I164" s="94">
        <f t="shared" si="86"/>
        <v>0.4</v>
      </c>
      <c r="J164" s="94">
        <f t="shared" si="86"/>
        <v>0.4</v>
      </c>
      <c r="K164" s="94">
        <f t="shared" si="86"/>
        <v>0.4</v>
      </c>
      <c r="L164" s="94">
        <f t="shared" si="86"/>
        <v>0.4</v>
      </c>
    </row>
    <row r="165" spans="1:12" ht="14" thickBot="1" x14ac:dyDescent="0.2">
      <c r="A165" s="174" t="s">
        <v>572</v>
      </c>
      <c r="B165" s="94"/>
      <c r="C165" s="399">
        <f>C163*C164*C152</f>
        <v>500000</v>
      </c>
      <c r="D165" s="399">
        <f t="shared" ref="D165:L165" si="87">D163*D164*D152</f>
        <v>580000</v>
      </c>
      <c r="E165" s="399">
        <f t="shared" si="87"/>
        <v>660000</v>
      </c>
      <c r="F165" s="399">
        <f t="shared" si="87"/>
        <v>740000</v>
      </c>
      <c r="G165" s="399">
        <f t="shared" si="87"/>
        <v>820000</v>
      </c>
      <c r="H165" s="399">
        <f t="shared" si="87"/>
        <v>900000</v>
      </c>
      <c r="I165" s="399">
        <f t="shared" si="87"/>
        <v>900000</v>
      </c>
      <c r="J165" s="399">
        <f t="shared" si="87"/>
        <v>900000</v>
      </c>
      <c r="K165" s="399">
        <f t="shared" si="87"/>
        <v>900000</v>
      </c>
      <c r="L165" s="399">
        <f t="shared" si="87"/>
        <v>900000</v>
      </c>
    </row>
    <row r="166" spans="1:12" ht="14" thickBot="1" x14ac:dyDescent="0.2">
      <c r="A166" s="174"/>
      <c r="B166" s="94"/>
      <c r="C166" s="399"/>
      <c r="D166" s="399"/>
      <c r="E166" s="399"/>
      <c r="F166" s="399"/>
      <c r="G166" s="399"/>
      <c r="H166" s="399"/>
      <c r="I166" s="399"/>
      <c r="J166" s="399"/>
      <c r="K166" s="399"/>
      <c r="L166" s="399"/>
    </row>
    <row r="167" spans="1:12" ht="14" thickBot="1" x14ac:dyDescent="0.2">
      <c r="A167" s="89" t="s">
        <v>573</v>
      </c>
      <c r="B167" s="94"/>
      <c r="C167" s="399">
        <f>C165-C162</f>
        <v>388442.6652892562</v>
      </c>
      <c r="D167" s="399">
        <f t="shared" ref="D167:L167" si="88">D165-D162</f>
        <v>468442.6652892562</v>
      </c>
      <c r="E167" s="399">
        <f t="shared" si="88"/>
        <v>548442.66528925626</v>
      </c>
      <c r="F167" s="399">
        <f t="shared" si="88"/>
        <v>628442.66528925626</v>
      </c>
      <c r="G167" s="399">
        <f t="shared" si="88"/>
        <v>708442.66528925626</v>
      </c>
      <c r="H167" s="399">
        <f t="shared" si="88"/>
        <v>788442.66528925626</v>
      </c>
      <c r="I167" s="399">
        <f t="shared" si="88"/>
        <v>788442.66528925626</v>
      </c>
      <c r="J167" s="399">
        <f t="shared" si="88"/>
        <v>788442.66528925626</v>
      </c>
      <c r="K167" s="399">
        <f t="shared" si="88"/>
        <v>788442.66528925626</v>
      </c>
      <c r="L167" s="399">
        <f t="shared" si="88"/>
        <v>788442.66528925626</v>
      </c>
    </row>
    <row r="168" spans="1:12" ht="14" thickBot="1" x14ac:dyDescent="0.2">
      <c r="A168" s="153"/>
      <c r="B168" s="158"/>
      <c r="C168" s="158"/>
      <c r="D168" s="158"/>
      <c r="E168" s="158"/>
      <c r="F168" s="158"/>
      <c r="G168" s="158"/>
      <c r="H168" s="158"/>
      <c r="I168" s="158"/>
      <c r="J168" s="158"/>
      <c r="K168" s="158"/>
      <c r="L168" s="158"/>
    </row>
    <row r="169" spans="1:12" ht="14" thickBot="1" x14ac:dyDescent="0.2">
      <c r="A169" s="466" t="s">
        <v>597</v>
      </c>
      <c r="B169" s="466"/>
      <c r="C169" s="466"/>
      <c r="D169" s="466"/>
      <c r="E169" s="466"/>
      <c r="F169" s="466"/>
      <c r="G169" s="466"/>
      <c r="H169" s="466"/>
      <c r="I169" s="466"/>
      <c r="J169" s="466"/>
      <c r="K169" s="466"/>
      <c r="L169" s="466"/>
    </row>
    <row r="170" spans="1:12" ht="14" thickBot="1" x14ac:dyDescent="0.2">
      <c r="A170" s="88" t="s">
        <v>653</v>
      </c>
      <c r="B170" s="97" t="s">
        <v>557</v>
      </c>
      <c r="C170" s="517">
        <v>80</v>
      </c>
      <c r="D170" s="517">
        <f>C170</f>
        <v>80</v>
      </c>
      <c r="E170" s="517">
        <f t="shared" ref="E170:L170" si="89">D170</f>
        <v>80</v>
      </c>
      <c r="F170" s="517">
        <f t="shared" si="89"/>
        <v>80</v>
      </c>
      <c r="G170" s="517">
        <f t="shared" si="89"/>
        <v>80</v>
      </c>
      <c r="H170" s="517">
        <f t="shared" si="89"/>
        <v>80</v>
      </c>
      <c r="I170" s="517">
        <f t="shared" si="89"/>
        <v>80</v>
      </c>
      <c r="J170" s="517">
        <f t="shared" si="89"/>
        <v>80</v>
      </c>
      <c r="K170" s="517">
        <f t="shared" si="89"/>
        <v>80</v>
      </c>
      <c r="L170" s="517">
        <f t="shared" si="89"/>
        <v>80</v>
      </c>
    </row>
    <row r="171" spans="1:12" ht="14" thickBot="1" x14ac:dyDescent="0.2">
      <c r="A171" s="167" t="s">
        <v>556</v>
      </c>
      <c r="B171" s="97">
        <f>1500*2.5/88</f>
        <v>42.613636363636367</v>
      </c>
      <c r="C171" s="397">
        <f>$B171*C$170</f>
        <v>3409.0909090909095</v>
      </c>
      <c r="D171" s="397">
        <f t="shared" ref="D171:L171" si="90">$B171*D$170</f>
        <v>3409.0909090909095</v>
      </c>
      <c r="E171" s="397">
        <f t="shared" si="90"/>
        <v>3409.0909090909095</v>
      </c>
      <c r="F171" s="397">
        <f t="shared" si="90"/>
        <v>3409.0909090909095</v>
      </c>
      <c r="G171" s="397">
        <f t="shared" si="90"/>
        <v>3409.0909090909095</v>
      </c>
      <c r="H171" s="397">
        <f t="shared" si="90"/>
        <v>3409.0909090909095</v>
      </c>
      <c r="I171" s="397">
        <f t="shared" si="90"/>
        <v>3409.0909090909095</v>
      </c>
      <c r="J171" s="397">
        <f t="shared" si="90"/>
        <v>3409.0909090909095</v>
      </c>
      <c r="K171" s="397">
        <f t="shared" si="90"/>
        <v>3409.0909090909095</v>
      </c>
      <c r="L171" s="397">
        <f t="shared" si="90"/>
        <v>3409.0909090909095</v>
      </c>
    </row>
    <row r="172" spans="1:12" ht="14" thickBot="1" x14ac:dyDescent="0.2">
      <c r="A172" s="88" t="s">
        <v>558</v>
      </c>
      <c r="B172" s="97">
        <f>30000*2.5/88</f>
        <v>852.27272727272725</v>
      </c>
      <c r="C172" s="397">
        <f t="shared" ref="C172:L180" si="91">$B172*C$170</f>
        <v>68181.818181818177</v>
      </c>
      <c r="D172" s="397">
        <f t="shared" si="91"/>
        <v>68181.818181818177</v>
      </c>
      <c r="E172" s="397">
        <f t="shared" si="91"/>
        <v>68181.818181818177</v>
      </c>
      <c r="F172" s="397">
        <f t="shared" si="91"/>
        <v>68181.818181818177</v>
      </c>
      <c r="G172" s="397">
        <f t="shared" si="91"/>
        <v>68181.818181818177</v>
      </c>
      <c r="H172" s="397">
        <f t="shared" si="91"/>
        <v>68181.818181818177</v>
      </c>
      <c r="I172" s="397">
        <f t="shared" si="91"/>
        <v>68181.818181818177</v>
      </c>
      <c r="J172" s="397">
        <f t="shared" si="91"/>
        <v>68181.818181818177</v>
      </c>
      <c r="K172" s="397">
        <f t="shared" si="91"/>
        <v>68181.818181818177</v>
      </c>
      <c r="L172" s="397">
        <f t="shared" si="91"/>
        <v>68181.818181818177</v>
      </c>
    </row>
    <row r="173" spans="1:12" ht="14" thickBot="1" x14ac:dyDescent="0.2">
      <c r="A173" s="88" t="s">
        <v>602</v>
      </c>
      <c r="B173" s="97">
        <f>1250*2.5/88</f>
        <v>35.511363636363633</v>
      </c>
      <c r="C173" s="397">
        <f t="shared" si="91"/>
        <v>2840.9090909090905</v>
      </c>
      <c r="D173" s="397">
        <f t="shared" si="91"/>
        <v>2840.9090909090905</v>
      </c>
      <c r="E173" s="397">
        <f t="shared" si="91"/>
        <v>2840.9090909090905</v>
      </c>
      <c r="F173" s="397">
        <f t="shared" si="91"/>
        <v>2840.9090909090905</v>
      </c>
      <c r="G173" s="397">
        <f t="shared" si="91"/>
        <v>2840.9090909090905</v>
      </c>
      <c r="H173" s="397">
        <f t="shared" si="91"/>
        <v>2840.9090909090905</v>
      </c>
      <c r="I173" s="397">
        <f t="shared" si="91"/>
        <v>2840.9090909090905</v>
      </c>
      <c r="J173" s="397">
        <f t="shared" si="91"/>
        <v>2840.9090909090905</v>
      </c>
      <c r="K173" s="397">
        <f t="shared" si="91"/>
        <v>2840.9090909090905</v>
      </c>
      <c r="L173" s="397">
        <f t="shared" si="91"/>
        <v>2840.9090909090905</v>
      </c>
    </row>
    <row r="174" spans="1:12" ht="14" thickBot="1" x14ac:dyDescent="0.2">
      <c r="A174" s="88" t="s">
        <v>603</v>
      </c>
      <c r="B174" s="97">
        <f>15*0.7</f>
        <v>10.5</v>
      </c>
      <c r="C174" s="397">
        <f t="shared" si="91"/>
        <v>840</v>
      </c>
      <c r="D174" s="397">
        <f t="shared" si="91"/>
        <v>840</v>
      </c>
      <c r="E174" s="397">
        <f t="shared" si="91"/>
        <v>840</v>
      </c>
      <c r="F174" s="397">
        <f t="shared" si="91"/>
        <v>840</v>
      </c>
      <c r="G174" s="397">
        <f t="shared" si="91"/>
        <v>840</v>
      </c>
      <c r="H174" s="397">
        <f t="shared" si="91"/>
        <v>840</v>
      </c>
      <c r="I174" s="397">
        <f t="shared" si="91"/>
        <v>840</v>
      </c>
      <c r="J174" s="397">
        <f t="shared" si="91"/>
        <v>840</v>
      </c>
      <c r="K174" s="397">
        <f t="shared" si="91"/>
        <v>840</v>
      </c>
      <c r="L174" s="397">
        <f t="shared" si="91"/>
        <v>840</v>
      </c>
    </row>
    <row r="175" spans="1:12" ht="14" thickBot="1" x14ac:dyDescent="0.2">
      <c r="A175" s="88" t="s">
        <v>585</v>
      </c>
      <c r="B175" s="97">
        <f>8000*2.5/88</f>
        <v>227.27272727272728</v>
      </c>
      <c r="C175" s="397">
        <f t="shared" si="91"/>
        <v>18181.818181818184</v>
      </c>
      <c r="D175" s="397">
        <f t="shared" si="91"/>
        <v>18181.818181818184</v>
      </c>
      <c r="E175" s="397">
        <f t="shared" si="91"/>
        <v>18181.818181818184</v>
      </c>
      <c r="F175" s="397">
        <f t="shared" si="91"/>
        <v>18181.818181818184</v>
      </c>
      <c r="G175" s="397">
        <f t="shared" si="91"/>
        <v>18181.818181818184</v>
      </c>
      <c r="H175" s="397">
        <f t="shared" si="91"/>
        <v>18181.818181818184</v>
      </c>
      <c r="I175" s="397">
        <f t="shared" si="91"/>
        <v>18181.818181818184</v>
      </c>
      <c r="J175" s="397">
        <f t="shared" si="91"/>
        <v>18181.818181818184</v>
      </c>
      <c r="K175" s="397">
        <f t="shared" si="91"/>
        <v>18181.818181818184</v>
      </c>
      <c r="L175" s="397">
        <f t="shared" si="91"/>
        <v>18181.818181818184</v>
      </c>
    </row>
    <row r="176" spans="1:12" ht="14" thickBot="1" x14ac:dyDescent="0.2">
      <c r="A176" s="88" t="s">
        <v>594</v>
      </c>
      <c r="B176" s="97">
        <v>0</v>
      </c>
      <c r="C176" s="397">
        <f t="shared" si="91"/>
        <v>0</v>
      </c>
      <c r="D176" s="397">
        <f t="shared" si="91"/>
        <v>0</v>
      </c>
      <c r="E176" s="397">
        <f t="shared" si="91"/>
        <v>0</v>
      </c>
      <c r="F176" s="397">
        <f t="shared" si="91"/>
        <v>0</v>
      </c>
      <c r="G176" s="397">
        <f t="shared" si="91"/>
        <v>0</v>
      </c>
      <c r="H176" s="397">
        <f t="shared" si="91"/>
        <v>0</v>
      </c>
      <c r="I176" s="397">
        <f t="shared" si="91"/>
        <v>0</v>
      </c>
      <c r="J176" s="397">
        <f t="shared" si="91"/>
        <v>0</v>
      </c>
      <c r="K176" s="397">
        <f t="shared" si="91"/>
        <v>0</v>
      </c>
      <c r="L176" s="397">
        <f t="shared" si="91"/>
        <v>0</v>
      </c>
    </row>
    <row r="177" spans="1:12" ht="14" thickBot="1" x14ac:dyDescent="0.2">
      <c r="A177" s="88" t="s">
        <v>568</v>
      </c>
      <c r="B177" s="97">
        <f>12500/88</f>
        <v>142.04545454545453</v>
      </c>
      <c r="C177" s="397">
        <f t="shared" si="91"/>
        <v>11363.636363636362</v>
      </c>
      <c r="D177" s="397">
        <f t="shared" si="91"/>
        <v>11363.636363636362</v>
      </c>
      <c r="E177" s="397">
        <f t="shared" si="91"/>
        <v>11363.636363636362</v>
      </c>
      <c r="F177" s="397">
        <f t="shared" si="91"/>
        <v>11363.636363636362</v>
      </c>
      <c r="G177" s="397">
        <f t="shared" si="91"/>
        <v>11363.636363636362</v>
      </c>
      <c r="H177" s="397">
        <f t="shared" si="91"/>
        <v>11363.636363636362</v>
      </c>
      <c r="I177" s="397">
        <f t="shared" si="91"/>
        <v>11363.636363636362</v>
      </c>
      <c r="J177" s="397">
        <f t="shared" si="91"/>
        <v>11363.636363636362</v>
      </c>
      <c r="K177" s="397">
        <f t="shared" si="91"/>
        <v>11363.636363636362</v>
      </c>
      <c r="L177" s="397">
        <f t="shared" si="91"/>
        <v>11363.636363636362</v>
      </c>
    </row>
    <row r="178" spans="1:12" ht="14" thickBot="1" x14ac:dyDescent="0.2">
      <c r="A178" s="88" t="s">
        <v>586</v>
      </c>
      <c r="B178" s="97">
        <f>B160</f>
        <v>116.21900826446283</v>
      </c>
      <c r="C178" s="397">
        <f t="shared" si="91"/>
        <v>9297.5206611570266</v>
      </c>
      <c r="D178" s="397">
        <f t="shared" si="91"/>
        <v>9297.5206611570266</v>
      </c>
      <c r="E178" s="397">
        <f t="shared" si="91"/>
        <v>9297.5206611570266</v>
      </c>
      <c r="F178" s="397">
        <f t="shared" si="91"/>
        <v>9297.5206611570266</v>
      </c>
      <c r="G178" s="397">
        <f t="shared" si="91"/>
        <v>9297.5206611570266</v>
      </c>
      <c r="H178" s="397">
        <f t="shared" si="91"/>
        <v>9297.5206611570266</v>
      </c>
      <c r="I178" s="397">
        <f t="shared" si="91"/>
        <v>9297.5206611570266</v>
      </c>
      <c r="J178" s="397">
        <f t="shared" si="91"/>
        <v>9297.5206611570266</v>
      </c>
      <c r="K178" s="397">
        <f t="shared" si="91"/>
        <v>9297.5206611570266</v>
      </c>
      <c r="L178" s="397">
        <f t="shared" si="91"/>
        <v>9297.5206611570266</v>
      </c>
    </row>
    <row r="179" spans="1:12" ht="14" thickBot="1" x14ac:dyDescent="0.2">
      <c r="A179" s="168" t="s">
        <v>569</v>
      </c>
      <c r="B179" s="97">
        <f>6250*2.5/88</f>
        <v>177.55681818181819</v>
      </c>
      <c r="C179" s="397">
        <f t="shared" si="91"/>
        <v>14204.545454545456</v>
      </c>
      <c r="D179" s="397">
        <f t="shared" si="91"/>
        <v>14204.545454545456</v>
      </c>
      <c r="E179" s="397">
        <f t="shared" si="91"/>
        <v>14204.545454545456</v>
      </c>
      <c r="F179" s="397">
        <f t="shared" si="91"/>
        <v>14204.545454545456</v>
      </c>
      <c r="G179" s="397">
        <f t="shared" si="91"/>
        <v>14204.545454545456</v>
      </c>
      <c r="H179" s="397">
        <f t="shared" si="91"/>
        <v>14204.545454545456</v>
      </c>
      <c r="I179" s="397">
        <f t="shared" si="91"/>
        <v>14204.545454545456</v>
      </c>
      <c r="J179" s="397">
        <f t="shared" si="91"/>
        <v>14204.545454545456</v>
      </c>
      <c r="K179" s="397">
        <f t="shared" si="91"/>
        <v>14204.545454545456</v>
      </c>
      <c r="L179" s="397">
        <f t="shared" si="91"/>
        <v>14204.545454545456</v>
      </c>
    </row>
    <row r="180" spans="1:12" ht="14" thickBot="1" x14ac:dyDescent="0.2">
      <c r="A180" s="169" t="s">
        <v>154</v>
      </c>
      <c r="B180" s="97">
        <f>SUM(B171:B179)</f>
        <v>1603.9917355371902</v>
      </c>
      <c r="C180" s="397">
        <f t="shared" si="91"/>
        <v>128319.33884297521</v>
      </c>
      <c r="D180" s="397">
        <f t="shared" si="91"/>
        <v>128319.33884297521</v>
      </c>
      <c r="E180" s="397">
        <f t="shared" si="91"/>
        <v>128319.33884297521</v>
      </c>
      <c r="F180" s="397">
        <f t="shared" si="91"/>
        <v>128319.33884297521</v>
      </c>
      <c r="G180" s="397">
        <f t="shared" si="91"/>
        <v>128319.33884297521</v>
      </c>
      <c r="H180" s="397">
        <f t="shared" si="91"/>
        <v>128319.33884297521</v>
      </c>
      <c r="I180" s="397">
        <f t="shared" si="91"/>
        <v>128319.33884297521</v>
      </c>
      <c r="J180" s="397">
        <f t="shared" si="91"/>
        <v>128319.33884297521</v>
      </c>
      <c r="K180" s="397">
        <f t="shared" si="91"/>
        <v>128319.33884297521</v>
      </c>
      <c r="L180" s="397">
        <f t="shared" si="91"/>
        <v>128319.33884297521</v>
      </c>
    </row>
    <row r="181" spans="1:12" s="163" customFormat="1" ht="14" thickBot="1" x14ac:dyDescent="0.2">
      <c r="A181" s="169" t="s">
        <v>570</v>
      </c>
      <c r="B181" s="97"/>
      <c r="C181" s="400">
        <f>8000*2.5</f>
        <v>20000</v>
      </c>
      <c r="D181" s="400">
        <v>25000</v>
      </c>
      <c r="E181" s="400">
        <v>30000</v>
      </c>
      <c r="F181" s="400">
        <v>35000</v>
      </c>
      <c r="G181" s="400">
        <f>15000*2.5</f>
        <v>37500</v>
      </c>
      <c r="H181" s="400">
        <f>G181</f>
        <v>37500</v>
      </c>
      <c r="I181" s="400">
        <f t="shared" ref="I181:L181" si="92">H181</f>
        <v>37500</v>
      </c>
      <c r="J181" s="400">
        <f t="shared" si="92"/>
        <v>37500</v>
      </c>
      <c r="K181" s="400">
        <f t="shared" si="92"/>
        <v>37500</v>
      </c>
      <c r="L181" s="400">
        <f t="shared" si="92"/>
        <v>37500</v>
      </c>
    </row>
    <row r="182" spans="1:12" ht="14" thickBot="1" x14ac:dyDescent="0.2">
      <c r="A182" s="169" t="s">
        <v>571</v>
      </c>
      <c r="B182" s="97">
        <f>B180</f>
        <v>1603.9917355371902</v>
      </c>
      <c r="C182" s="151">
        <v>0.2</v>
      </c>
      <c r="D182" s="151">
        <f>C182</f>
        <v>0.2</v>
      </c>
      <c r="E182" s="151">
        <f t="shared" ref="E182:L182" si="93">D182</f>
        <v>0.2</v>
      </c>
      <c r="F182" s="151">
        <f t="shared" si="93"/>
        <v>0.2</v>
      </c>
      <c r="G182" s="151">
        <f t="shared" si="93"/>
        <v>0.2</v>
      </c>
      <c r="H182" s="151">
        <f t="shared" si="93"/>
        <v>0.2</v>
      </c>
      <c r="I182" s="151">
        <f t="shared" si="93"/>
        <v>0.2</v>
      </c>
      <c r="J182" s="151">
        <f t="shared" si="93"/>
        <v>0.2</v>
      </c>
      <c r="K182" s="151">
        <f t="shared" si="93"/>
        <v>0.2</v>
      </c>
      <c r="L182" s="151">
        <f t="shared" si="93"/>
        <v>0.2</v>
      </c>
    </row>
    <row r="183" spans="1:12" s="163" customFormat="1" ht="14" thickBot="1" x14ac:dyDescent="0.2">
      <c r="A183" s="169" t="s">
        <v>572</v>
      </c>
      <c r="B183" s="175"/>
      <c r="C183" s="400">
        <f>C182*C181*C170</f>
        <v>320000</v>
      </c>
      <c r="D183" s="400">
        <f t="shared" ref="D183:L183" si="94">D182*D181*D170</f>
        <v>400000</v>
      </c>
      <c r="E183" s="400">
        <f t="shared" si="94"/>
        <v>480000</v>
      </c>
      <c r="F183" s="400">
        <f t="shared" si="94"/>
        <v>560000</v>
      </c>
      <c r="G183" s="400">
        <f t="shared" si="94"/>
        <v>600000</v>
      </c>
      <c r="H183" s="400">
        <f t="shared" si="94"/>
        <v>600000</v>
      </c>
      <c r="I183" s="400">
        <f t="shared" si="94"/>
        <v>600000</v>
      </c>
      <c r="J183" s="400">
        <f t="shared" si="94"/>
        <v>600000</v>
      </c>
      <c r="K183" s="400">
        <f t="shared" si="94"/>
        <v>600000</v>
      </c>
      <c r="L183" s="400">
        <f t="shared" si="94"/>
        <v>600000</v>
      </c>
    </row>
    <row r="184" spans="1:12" s="163" customFormat="1" ht="14" thickBot="1" x14ac:dyDescent="0.2">
      <c r="A184" s="177"/>
      <c r="B184" s="175"/>
      <c r="C184" s="175"/>
      <c r="D184" s="175"/>
      <c r="E184" s="176"/>
      <c r="F184" s="176"/>
      <c r="G184" s="176"/>
      <c r="H184" s="176"/>
      <c r="I184" s="176"/>
      <c r="J184" s="176"/>
      <c r="K184" s="176"/>
      <c r="L184" s="176"/>
    </row>
    <row r="185" spans="1:12" s="163" customFormat="1" ht="14" thickBot="1" x14ac:dyDescent="0.2">
      <c r="A185" s="86" t="s">
        <v>573</v>
      </c>
      <c r="B185" s="175"/>
      <c r="C185" s="400">
        <f>C183-C180</f>
        <v>191680.66115702479</v>
      </c>
      <c r="D185" s="400">
        <f t="shared" ref="D185:L185" si="95">D183-D180</f>
        <v>271680.66115702479</v>
      </c>
      <c r="E185" s="400">
        <f t="shared" si="95"/>
        <v>351680.66115702479</v>
      </c>
      <c r="F185" s="400">
        <f t="shared" si="95"/>
        <v>431680.66115702479</v>
      </c>
      <c r="G185" s="400">
        <f t="shared" si="95"/>
        <v>471680.66115702479</v>
      </c>
      <c r="H185" s="400">
        <f t="shared" si="95"/>
        <v>471680.66115702479</v>
      </c>
      <c r="I185" s="400">
        <f t="shared" si="95"/>
        <v>471680.66115702479</v>
      </c>
      <c r="J185" s="400">
        <f t="shared" si="95"/>
        <v>471680.66115702479</v>
      </c>
      <c r="K185" s="400">
        <f t="shared" si="95"/>
        <v>471680.66115702479</v>
      </c>
      <c r="L185" s="400">
        <f t="shared" si="95"/>
        <v>471680.66115702479</v>
      </c>
    </row>
    <row r="186" spans="1:12" s="163" customFormat="1" ht="14" thickBot="1" x14ac:dyDescent="0.2">
      <c r="A186" s="80"/>
      <c r="B186" s="178"/>
      <c r="C186" s="179"/>
      <c r="D186" s="179"/>
      <c r="E186" s="179"/>
      <c r="F186" s="179"/>
      <c r="G186" s="179"/>
      <c r="H186" s="179"/>
      <c r="I186" s="179"/>
      <c r="J186" s="179"/>
      <c r="K186" s="179"/>
      <c r="L186" s="179"/>
    </row>
    <row r="187" spans="1:12" s="163" customFormat="1" ht="14" thickBot="1" x14ac:dyDescent="0.2">
      <c r="A187" s="464" t="s">
        <v>669</v>
      </c>
      <c r="B187" s="464"/>
      <c r="C187" s="464"/>
      <c r="D187" s="464"/>
      <c r="E187" s="464"/>
      <c r="F187" s="464"/>
      <c r="G187" s="464"/>
      <c r="H187" s="464"/>
      <c r="I187" s="464"/>
      <c r="J187" s="464"/>
      <c r="K187" s="464"/>
      <c r="L187" s="464"/>
    </row>
    <row r="188" spans="1:12" s="163" customFormat="1" ht="14" thickBot="1" x14ac:dyDescent="0.2">
      <c r="A188" s="90" t="s">
        <v>653</v>
      </c>
      <c r="B188" s="170" t="s">
        <v>557</v>
      </c>
      <c r="C188" s="518">
        <v>60</v>
      </c>
      <c r="D188" s="518">
        <f>C188</f>
        <v>60</v>
      </c>
      <c r="E188" s="518">
        <f t="shared" ref="E188:L188" si="96">D188</f>
        <v>60</v>
      </c>
      <c r="F188" s="518">
        <f t="shared" si="96"/>
        <v>60</v>
      </c>
      <c r="G188" s="518">
        <f t="shared" si="96"/>
        <v>60</v>
      </c>
      <c r="H188" s="518">
        <f t="shared" si="96"/>
        <v>60</v>
      </c>
      <c r="I188" s="518">
        <f t="shared" si="96"/>
        <v>60</v>
      </c>
      <c r="J188" s="518">
        <f t="shared" si="96"/>
        <v>60</v>
      </c>
      <c r="K188" s="518">
        <f t="shared" si="96"/>
        <v>60</v>
      </c>
      <c r="L188" s="518">
        <f t="shared" si="96"/>
        <v>60</v>
      </c>
    </row>
    <row r="189" spans="1:12" s="163" customFormat="1" ht="14" thickBot="1" x14ac:dyDescent="0.2">
      <c r="A189" s="172" t="s">
        <v>556</v>
      </c>
      <c r="B189" s="181">
        <f>B171</f>
        <v>42.613636363636367</v>
      </c>
      <c r="C189" s="401">
        <f>$B189*C$188</f>
        <v>2556.818181818182</v>
      </c>
      <c r="D189" s="401">
        <f t="shared" ref="D189:L189" si="97">$B189*D$188</f>
        <v>2556.818181818182</v>
      </c>
      <c r="E189" s="401">
        <f t="shared" si="97"/>
        <v>2556.818181818182</v>
      </c>
      <c r="F189" s="401">
        <f t="shared" si="97"/>
        <v>2556.818181818182</v>
      </c>
      <c r="G189" s="401">
        <f t="shared" si="97"/>
        <v>2556.818181818182</v>
      </c>
      <c r="H189" s="401">
        <f t="shared" si="97"/>
        <v>2556.818181818182</v>
      </c>
      <c r="I189" s="401">
        <f t="shared" si="97"/>
        <v>2556.818181818182</v>
      </c>
      <c r="J189" s="401">
        <f t="shared" si="97"/>
        <v>2556.818181818182</v>
      </c>
      <c r="K189" s="401">
        <f t="shared" si="97"/>
        <v>2556.818181818182</v>
      </c>
      <c r="L189" s="401">
        <f t="shared" si="97"/>
        <v>2556.818181818182</v>
      </c>
    </row>
    <row r="190" spans="1:12" s="163" customFormat="1" ht="14" thickBot="1" x14ac:dyDescent="0.2">
      <c r="A190" s="90" t="s">
        <v>558</v>
      </c>
      <c r="B190" s="170">
        <v>152.1</v>
      </c>
      <c r="C190" s="401">
        <f t="shared" ref="C190:L197" si="98">$B190*C$188</f>
        <v>9126</v>
      </c>
      <c r="D190" s="401">
        <f t="shared" si="98"/>
        <v>9126</v>
      </c>
      <c r="E190" s="401">
        <f t="shared" si="98"/>
        <v>9126</v>
      </c>
      <c r="F190" s="401">
        <f t="shared" si="98"/>
        <v>9126</v>
      </c>
      <c r="G190" s="401">
        <f t="shared" si="98"/>
        <v>9126</v>
      </c>
      <c r="H190" s="401">
        <f t="shared" si="98"/>
        <v>9126</v>
      </c>
      <c r="I190" s="401">
        <f t="shared" si="98"/>
        <v>9126</v>
      </c>
      <c r="J190" s="401">
        <f t="shared" si="98"/>
        <v>9126</v>
      </c>
      <c r="K190" s="401">
        <f t="shared" si="98"/>
        <v>9126</v>
      </c>
      <c r="L190" s="401">
        <f t="shared" si="98"/>
        <v>9126</v>
      </c>
    </row>
    <row r="191" spans="1:12" s="163" customFormat="1" ht="14" thickBot="1" x14ac:dyDescent="0.2">
      <c r="A191" s="90" t="s">
        <v>602</v>
      </c>
      <c r="B191" s="170">
        <v>0</v>
      </c>
      <c r="C191" s="401">
        <f t="shared" si="98"/>
        <v>0</v>
      </c>
      <c r="D191" s="401">
        <f t="shared" si="98"/>
        <v>0</v>
      </c>
      <c r="E191" s="401">
        <f t="shared" si="98"/>
        <v>0</v>
      </c>
      <c r="F191" s="401">
        <f t="shared" si="98"/>
        <v>0</v>
      </c>
      <c r="G191" s="401">
        <f t="shared" si="98"/>
        <v>0</v>
      </c>
      <c r="H191" s="401">
        <f t="shared" si="98"/>
        <v>0</v>
      </c>
      <c r="I191" s="401">
        <f t="shared" si="98"/>
        <v>0</v>
      </c>
      <c r="J191" s="401">
        <f t="shared" si="98"/>
        <v>0</v>
      </c>
      <c r="K191" s="401">
        <f t="shared" si="98"/>
        <v>0</v>
      </c>
      <c r="L191" s="401">
        <f t="shared" si="98"/>
        <v>0</v>
      </c>
    </row>
    <row r="192" spans="1:12" s="163" customFormat="1" ht="14" thickBot="1" x14ac:dyDescent="0.2">
      <c r="A192" s="90" t="s">
        <v>603</v>
      </c>
      <c r="B192" s="182">
        <f>5000/88</f>
        <v>56.81818181818182</v>
      </c>
      <c r="C192" s="401">
        <f t="shared" si="98"/>
        <v>3409.090909090909</v>
      </c>
      <c r="D192" s="401">
        <f t="shared" si="98"/>
        <v>3409.090909090909</v>
      </c>
      <c r="E192" s="401">
        <f t="shared" si="98"/>
        <v>3409.090909090909</v>
      </c>
      <c r="F192" s="401">
        <f t="shared" si="98"/>
        <v>3409.090909090909</v>
      </c>
      <c r="G192" s="401">
        <f t="shared" si="98"/>
        <v>3409.090909090909</v>
      </c>
      <c r="H192" s="401">
        <f t="shared" si="98"/>
        <v>3409.090909090909</v>
      </c>
      <c r="I192" s="401">
        <f t="shared" si="98"/>
        <v>3409.090909090909</v>
      </c>
      <c r="J192" s="401">
        <f t="shared" si="98"/>
        <v>3409.090909090909</v>
      </c>
      <c r="K192" s="401">
        <f t="shared" si="98"/>
        <v>3409.090909090909</v>
      </c>
      <c r="L192" s="401">
        <f t="shared" si="98"/>
        <v>3409.090909090909</v>
      </c>
    </row>
    <row r="193" spans="1:12" s="163" customFormat="1" ht="14" thickBot="1" x14ac:dyDescent="0.2">
      <c r="A193" s="90" t="s">
        <v>585</v>
      </c>
      <c r="B193" s="180">
        <f>12000/88</f>
        <v>136.36363636363637</v>
      </c>
      <c r="C193" s="401">
        <f t="shared" si="98"/>
        <v>8181.818181818182</v>
      </c>
      <c r="D193" s="401">
        <f t="shared" si="98"/>
        <v>8181.818181818182</v>
      </c>
      <c r="E193" s="401">
        <f t="shared" si="98"/>
        <v>8181.818181818182</v>
      </c>
      <c r="F193" s="401">
        <f t="shared" si="98"/>
        <v>8181.818181818182</v>
      </c>
      <c r="G193" s="401">
        <f t="shared" si="98"/>
        <v>8181.818181818182</v>
      </c>
      <c r="H193" s="401">
        <f t="shared" si="98"/>
        <v>8181.818181818182</v>
      </c>
      <c r="I193" s="401">
        <f t="shared" si="98"/>
        <v>8181.818181818182</v>
      </c>
      <c r="J193" s="401">
        <f t="shared" si="98"/>
        <v>8181.818181818182</v>
      </c>
      <c r="K193" s="401">
        <f t="shared" si="98"/>
        <v>8181.818181818182</v>
      </c>
      <c r="L193" s="401">
        <f t="shared" si="98"/>
        <v>8181.818181818182</v>
      </c>
    </row>
    <row r="194" spans="1:12" s="163" customFormat="1" ht="14" thickBot="1" x14ac:dyDescent="0.2">
      <c r="A194" s="90" t="s">
        <v>594</v>
      </c>
      <c r="B194" s="170"/>
      <c r="C194" s="401">
        <f t="shared" si="98"/>
        <v>0</v>
      </c>
      <c r="D194" s="401">
        <f t="shared" si="98"/>
        <v>0</v>
      </c>
      <c r="E194" s="401">
        <f t="shared" si="98"/>
        <v>0</v>
      </c>
      <c r="F194" s="401">
        <f t="shared" si="98"/>
        <v>0</v>
      </c>
      <c r="G194" s="401">
        <f t="shared" si="98"/>
        <v>0</v>
      </c>
      <c r="H194" s="401">
        <f t="shared" si="98"/>
        <v>0</v>
      </c>
      <c r="I194" s="401">
        <f t="shared" si="98"/>
        <v>0</v>
      </c>
      <c r="J194" s="401">
        <f t="shared" si="98"/>
        <v>0</v>
      </c>
      <c r="K194" s="401">
        <f t="shared" si="98"/>
        <v>0</v>
      </c>
      <c r="L194" s="401">
        <f t="shared" si="98"/>
        <v>0</v>
      </c>
    </row>
    <row r="195" spans="1:12" s="163" customFormat="1" ht="14" thickBot="1" x14ac:dyDescent="0.2">
      <c r="A195" s="90" t="s">
        <v>568</v>
      </c>
      <c r="B195" s="180">
        <f>8000/88</f>
        <v>90.909090909090907</v>
      </c>
      <c r="C195" s="401">
        <f t="shared" si="98"/>
        <v>5454.545454545454</v>
      </c>
      <c r="D195" s="401">
        <f t="shared" si="98"/>
        <v>5454.545454545454</v>
      </c>
      <c r="E195" s="401">
        <f t="shared" si="98"/>
        <v>5454.545454545454</v>
      </c>
      <c r="F195" s="401">
        <f t="shared" si="98"/>
        <v>5454.545454545454</v>
      </c>
      <c r="G195" s="401">
        <f t="shared" si="98"/>
        <v>5454.545454545454</v>
      </c>
      <c r="H195" s="401">
        <f t="shared" si="98"/>
        <v>5454.545454545454</v>
      </c>
      <c r="I195" s="401">
        <f t="shared" si="98"/>
        <v>5454.545454545454</v>
      </c>
      <c r="J195" s="401">
        <f t="shared" si="98"/>
        <v>5454.545454545454</v>
      </c>
      <c r="K195" s="401">
        <f t="shared" si="98"/>
        <v>5454.545454545454</v>
      </c>
      <c r="L195" s="401">
        <f t="shared" si="98"/>
        <v>5454.545454545454</v>
      </c>
    </row>
    <row r="196" spans="1:12" s="163" customFormat="1" ht="14" thickBot="1" x14ac:dyDescent="0.2">
      <c r="A196" s="90" t="s">
        <v>586</v>
      </c>
      <c r="B196" s="170">
        <f>106</f>
        <v>106</v>
      </c>
      <c r="C196" s="401">
        <f t="shared" si="98"/>
        <v>6360</v>
      </c>
      <c r="D196" s="401">
        <f t="shared" si="98"/>
        <v>6360</v>
      </c>
      <c r="E196" s="401">
        <f t="shared" si="98"/>
        <v>6360</v>
      </c>
      <c r="F196" s="401">
        <f t="shared" si="98"/>
        <v>6360</v>
      </c>
      <c r="G196" s="401">
        <f t="shared" si="98"/>
        <v>6360</v>
      </c>
      <c r="H196" s="401">
        <f t="shared" si="98"/>
        <v>6360</v>
      </c>
      <c r="I196" s="401">
        <f t="shared" si="98"/>
        <v>6360</v>
      </c>
      <c r="J196" s="401">
        <f t="shared" si="98"/>
        <v>6360</v>
      </c>
      <c r="K196" s="401">
        <f t="shared" si="98"/>
        <v>6360</v>
      </c>
      <c r="L196" s="401">
        <f t="shared" si="98"/>
        <v>6360</v>
      </c>
    </row>
    <row r="197" spans="1:12" s="163" customFormat="1" ht="14" thickBot="1" x14ac:dyDescent="0.2">
      <c r="A197" s="173" t="s">
        <v>569</v>
      </c>
      <c r="B197" s="170">
        <v>250</v>
      </c>
      <c r="C197" s="401">
        <f t="shared" si="98"/>
        <v>15000</v>
      </c>
      <c r="D197" s="401">
        <f t="shared" si="98"/>
        <v>15000</v>
      </c>
      <c r="E197" s="401">
        <f t="shared" si="98"/>
        <v>15000</v>
      </c>
      <c r="F197" s="401">
        <f t="shared" si="98"/>
        <v>15000</v>
      </c>
      <c r="G197" s="401">
        <f t="shared" si="98"/>
        <v>15000</v>
      </c>
      <c r="H197" s="401">
        <f t="shared" si="98"/>
        <v>15000</v>
      </c>
      <c r="I197" s="401">
        <f t="shared" si="98"/>
        <v>15000</v>
      </c>
      <c r="J197" s="401">
        <f t="shared" si="98"/>
        <v>15000</v>
      </c>
      <c r="K197" s="401">
        <f t="shared" si="98"/>
        <v>15000</v>
      </c>
      <c r="L197" s="401">
        <f t="shared" si="98"/>
        <v>15000</v>
      </c>
    </row>
    <row r="198" spans="1:12" s="163" customFormat="1" ht="14" thickBot="1" x14ac:dyDescent="0.2">
      <c r="A198" s="174" t="s">
        <v>154</v>
      </c>
      <c r="B198" s="181">
        <f>SUM(B189:B197)</f>
        <v>834.8045454545454</v>
      </c>
      <c r="C198" s="402">
        <f>SUM(C188:C197)</f>
        <v>50148.272727272728</v>
      </c>
      <c r="D198" s="402">
        <f t="shared" ref="D198:L198" si="99">SUM(D188:D197)</f>
        <v>50148.272727272728</v>
      </c>
      <c r="E198" s="402">
        <f t="shared" si="99"/>
        <v>50148.272727272728</v>
      </c>
      <c r="F198" s="402">
        <f t="shared" si="99"/>
        <v>50148.272727272728</v>
      </c>
      <c r="G198" s="402">
        <f t="shared" si="99"/>
        <v>50148.272727272728</v>
      </c>
      <c r="H198" s="402">
        <f t="shared" si="99"/>
        <v>50148.272727272728</v>
      </c>
      <c r="I198" s="402">
        <f t="shared" si="99"/>
        <v>50148.272727272728</v>
      </c>
      <c r="J198" s="402">
        <f t="shared" si="99"/>
        <v>50148.272727272728</v>
      </c>
      <c r="K198" s="402">
        <f t="shared" si="99"/>
        <v>50148.272727272728</v>
      </c>
      <c r="L198" s="402">
        <f t="shared" si="99"/>
        <v>50148.272727272728</v>
      </c>
    </row>
    <row r="199" spans="1:12" s="163" customFormat="1" ht="14" thickBot="1" x14ac:dyDescent="0.2">
      <c r="A199" s="174" t="s">
        <v>570</v>
      </c>
      <c r="B199" s="170"/>
      <c r="C199" s="402">
        <v>20000</v>
      </c>
      <c r="D199" s="402">
        <f>C199*1.1</f>
        <v>22000</v>
      </c>
      <c r="E199" s="402">
        <f t="shared" ref="E199:G199" si="100">D199*1.1</f>
        <v>24200.000000000004</v>
      </c>
      <c r="F199" s="402">
        <f t="shared" si="100"/>
        <v>26620.000000000007</v>
      </c>
      <c r="G199" s="402">
        <f t="shared" si="100"/>
        <v>29282.000000000011</v>
      </c>
      <c r="H199" s="402">
        <f>G199</f>
        <v>29282.000000000011</v>
      </c>
      <c r="I199" s="402">
        <f t="shared" ref="I199:L199" si="101">H199</f>
        <v>29282.000000000011</v>
      </c>
      <c r="J199" s="402">
        <f t="shared" si="101"/>
        <v>29282.000000000011</v>
      </c>
      <c r="K199" s="402">
        <f t="shared" si="101"/>
        <v>29282.000000000011</v>
      </c>
      <c r="L199" s="402">
        <f t="shared" si="101"/>
        <v>29282.000000000011</v>
      </c>
    </row>
    <row r="200" spans="1:12" s="163" customFormat="1" ht="14" thickBot="1" x14ac:dyDescent="0.2">
      <c r="A200" s="174" t="s">
        <v>571</v>
      </c>
      <c r="B200" s="170"/>
      <c r="C200" s="183">
        <f>4/88</f>
        <v>4.5454545454545456E-2</v>
      </c>
      <c r="D200" s="183">
        <f t="shared" ref="D200:L200" si="102">4/88</f>
        <v>4.5454545454545456E-2</v>
      </c>
      <c r="E200" s="183">
        <f t="shared" si="102"/>
        <v>4.5454545454545456E-2</v>
      </c>
      <c r="F200" s="183">
        <f t="shared" si="102"/>
        <v>4.5454545454545456E-2</v>
      </c>
      <c r="G200" s="183">
        <f t="shared" si="102"/>
        <v>4.5454545454545456E-2</v>
      </c>
      <c r="H200" s="183">
        <f t="shared" si="102"/>
        <v>4.5454545454545456E-2</v>
      </c>
      <c r="I200" s="183">
        <f t="shared" si="102"/>
        <v>4.5454545454545456E-2</v>
      </c>
      <c r="J200" s="183">
        <f t="shared" si="102"/>
        <v>4.5454545454545456E-2</v>
      </c>
      <c r="K200" s="183">
        <f t="shared" si="102"/>
        <v>4.5454545454545456E-2</v>
      </c>
      <c r="L200" s="183">
        <f t="shared" si="102"/>
        <v>4.5454545454545456E-2</v>
      </c>
    </row>
    <row r="201" spans="1:12" s="163" customFormat="1" ht="14" thickBot="1" x14ac:dyDescent="0.2">
      <c r="A201" s="174" t="s">
        <v>572</v>
      </c>
      <c r="B201" s="170"/>
      <c r="C201" s="402">
        <f>C200*C199*C188</f>
        <v>54545.454545454544</v>
      </c>
      <c r="D201" s="402">
        <f t="shared" ref="D201:L201" si="103">D200*D199*D188</f>
        <v>60000</v>
      </c>
      <c r="E201" s="402">
        <f t="shared" si="103"/>
        <v>66000.000000000015</v>
      </c>
      <c r="F201" s="402">
        <f t="shared" si="103"/>
        <v>72600.000000000029</v>
      </c>
      <c r="G201" s="402">
        <f t="shared" si="103"/>
        <v>79860.000000000029</v>
      </c>
      <c r="H201" s="402">
        <f t="shared" si="103"/>
        <v>79860.000000000029</v>
      </c>
      <c r="I201" s="402">
        <f t="shared" si="103"/>
        <v>79860.000000000029</v>
      </c>
      <c r="J201" s="402">
        <f t="shared" si="103"/>
        <v>79860.000000000029</v>
      </c>
      <c r="K201" s="402">
        <f t="shared" si="103"/>
        <v>79860.000000000029</v>
      </c>
      <c r="L201" s="402">
        <f t="shared" si="103"/>
        <v>79860.000000000029</v>
      </c>
    </row>
    <row r="202" spans="1:12" s="163" customFormat="1" ht="14" thickBot="1" x14ac:dyDescent="0.2">
      <c r="A202" s="365"/>
      <c r="B202" s="361"/>
      <c r="C202" s="403"/>
      <c r="D202" s="404"/>
      <c r="E202" s="404"/>
      <c r="F202" s="404"/>
      <c r="G202" s="404"/>
      <c r="H202" s="404"/>
      <c r="I202" s="404"/>
      <c r="J202" s="404"/>
      <c r="K202" s="404"/>
      <c r="L202" s="404"/>
    </row>
    <row r="203" spans="1:12" s="163" customFormat="1" ht="14" thickBot="1" x14ac:dyDescent="0.2">
      <c r="A203" s="89" t="s">
        <v>573</v>
      </c>
      <c r="B203" s="171"/>
      <c r="C203" s="402">
        <f>C201-C198</f>
        <v>4397.1818181818162</v>
      </c>
      <c r="D203" s="402">
        <f t="shared" ref="D203:L203" si="104">D201-D198</f>
        <v>9851.7272727272721</v>
      </c>
      <c r="E203" s="402">
        <f t="shared" si="104"/>
        <v>15851.727272727287</v>
      </c>
      <c r="F203" s="402">
        <f t="shared" si="104"/>
        <v>22451.727272727301</v>
      </c>
      <c r="G203" s="402">
        <f t="shared" si="104"/>
        <v>29711.727272727301</v>
      </c>
      <c r="H203" s="402">
        <f t="shared" si="104"/>
        <v>29711.727272727301</v>
      </c>
      <c r="I203" s="402">
        <f t="shared" si="104"/>
        <v>29711.727272727301</v>
      </c>
      <c r="J203" s="402">
        <f t="shared" si="104"/>
        <v>29711.727272727301</v>
      </c>
      <c r="K203" s="402">
        <f t="shared" si="104"/>
        <v>29711.727272727301</v>
      </c>
      <c r="L203" s="402">
        <f t="shared" si="104"/>
        <v>29711.727272727301</v>
      </c>
    </row>
    <row r="204" spans="1:12" x14ac:dyDescent="0.15">
      <c r="A204" s="362"/>
      <c r="B204" s="363"/>
      <c r="E204" s="364"/>
      <c r="F204" s="364"/>
      <c r="G204" s="364"/>
      <c r="H204" s="364"/>
      <c r="I204" s="364"/>
      <c r="J204" s="364"/>
      <c r="K204" s="364"/>
      <c r="L204" s="364"/>
    </row>
  </sheetData>
  <mergeCells count="11">
    <mergeCell ref="A187:L187"/>
    <mergeCell ref="A4:L4"/>
    <mergeCell ref="A77:L77"/>
    <mergeCell ref="A58:L58"/>
    <mergeCell ref="A151:L151"/>
    <mergeCell ref="A169:L169"/>
    <mergeCell ref="A114:L114"/>
    <mergeCell ref="A96:L96"/>
    <mergeCell ref="A132:L132"/>
    <mergeCell ref="A40:L40"/>
    <mergeCell ref="A22:L22"/>
  </mergeCells>
  <phoneticPr fontId="19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7"/>
  <sheetViews>
    <sheetView topLeftCell="A40" workbookViewId="0">
      <selection activeCell="H53" sqref="H53"/>
    </sheetView>
  </sheetViews>
  <sheetFormatPr baseColWidth="10" defaultColWidth="8.83203125" defaultRowHeight="13" x14ac:dyDescent="0.15"/>
  <cols>
    <col min="1" max="1" width="33.1640625" style="198" customWidth="1"/>
    <col min="2" max="2" width="13.1640625" style="191" customWidth="1"/>
    <col min="3" max="3" width="23.5" style="191" customWidth="1"/>
    <col min="4" max="4" width="17.5" style="191" customWidth="1"/>
    <col min="5" max="5" width="13.1640625" style="191" bestFit="1" customWidth="1"/>
    <col min="6" max="6" width="11.6640625" style="191" bestFit="1" customWidth="1"/>
    <col min="7" max="7" width="20.5" style="191" customWidth="1"/>
    <col min="8" max="8" width="19.1640625" style="191" bestFit="1" customWidth="1"/>
    <col min="9" max="10" width="16.5" style="191" customWidth="1"/>
    <col min="11" max="11" width="16" style="191" bestFit="1" customWidth="1"/>
    <col min="12" max="12" width="13.1640625" style="191" customWidth="1"/>
    <col min="13" max="13" width="13.6640625" style="191" customWidth="1"/>
    <col min="14" max="14" width="8.83203125" style="191"/>
    <col min="15" max="15" width="10.83203125" style="191" customWidth="1"/>
    <col min="16" max="16" width="13.1640625" style="191" customWidth="1"/>
    <col min="17" max="17" width="8.83203125" style="191"/>
    <col min="18" max="18" width="15.83203125" style="191" customWidth="1"/>
    <col min="19" max="16384" width="8.83203125" style="191"/>
  </cols>
  <sheetData>
    <row r="1" spans="1:13" ht="13.5" customHeight="1" thickBot="1" x14ac:dyDescent="0.2">
      <c r="A1" s="189"/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90"/>
    </row>
    <row r="2" spans="1:13" ht="15" thickBot="1" x14ac:dyDescent="0.2">
      <c r="A2" s="192" t="s">
        <v>177</v>
      </c>
      <c r="B2" s="193"/>
      <c r="C2" s="193"/>
    </row>
    <row r="3" spans="1:13" ht="15" thickBot="1" x14ac:dyDescent="0.2">
      <c r="A3" s="192" t="s">
        <v>183</v>
      </c>
      <c r="B3" s="193"/>
      <c r="C3" s="193"/>
    </row>
    <row r="4" spans="1:13" ht="15" thickBot="1" x14ac:dyDescent="0.2">
      <c r="A4" s="194" t="s">
        <v>178</v>
      </c>
      <c r="B4" s="193">
        <v>8</v>
      </c>
      <c r="C4" s="193" t="s">
        <v>179</v>
      </c>
    </row>
    <row r="5" spans="1:13" ht="15" thickBot="1" x14ac:dyDescent="0.2">
      <c r="A5" s="194" t="s">
        <v>180</v>
      </c>
      <c r="B5" s="193">
        <v>8</v>
      </c>
      <c r="C5" s="193"/>
    </row>
    <row r="6" spans="1:13" ht="15" thickBot="1" x14ac:dyDescent="0.2">
      <c r="A6" s="194" t="s">
        <v>181</v>
      </c>
      <c r="B6" s="193">
        <f>B5*4</f>
        <v>32</v>
      </c>
      <c r="C6" s="193"/>
    </row>
    <row r="7" spans="1:13" ht="14" thickBot="1" x14ac:dyDescent="0.2">
      <c r="A7" s="194"/>
      <c r="B7" s="193"/>
      <c r="C7" s="193"/>
    </row>
    <row r="8" spans="1:13" ht="15" thickBot="1" x14ac:dyDescent="0.2">
      <c r="A8" s="194" t="s">
        <v>182</v>
      </c>
      <c r="B8" s="195">
        <v>0.06</v>
      </c>
      <c r="C8" s="193" t="s">
        <v>184</v>
      </c>
    </row>
    <row r="9" spans="1:13" ht="14" thickBot="1" x14ac:dyDescent="0.2">
      <c r="A9" s="194"/>
      <c r="B9" s="196"/>
      <c r="C9" s="193"/>
    </row>
    <row r="10" spans="1:13" ht="15" thickBot="1" x14ac:dyDescent="0.2">
      <c r="A10" s="194" t="s">
        <v>194</v>
      </c>
      <c r="B10" s="438">
        <f>B36/B6</f>
        <v>174106.26754261361</v>
      </c>
      <c r="C10" s="193"/>
    </row>
    <row r="11" spans="1:13" ht="14" thickBot="1" x14ac:dyDescent="0.2">
      <c r="A11" s="194"/>
      <c r="B11" s="193"/>
      <c r="C11" s="193"/>
    </row>
    <row r="12" spans="1:13" ht="15" thickBot="1" x14ac:dyDescent="0.2">
      <c r="A12" s="192" t="s">
        <v>115</v>
      </c>
      <c r="B12" s="193"/>
      <c r="C12" s="193"/>
    </row>
    <row r="13" spans="1:13" ht="15" thickBot="1" x14ac:dyDescent="0.2">
      <c r="A13" s="194" t="s">
        <v>57</v>
      </c>
      <c r="B13" s="196">
        <v>0</v>
      </c>
      <c r="C13" s="193"/>
    </row>
    <row r="14" spans="1:13" ht="15" thickBot="1" x14ac:dyDescent="0.2">
      <c r="A14" s="194" t="s">
        <v>185</v>
      </c>
      <c r="B14" s="196">
        <v>1</v>
      </c>
      <c r="C14" s="193"/>
    </row>
    <row r="15" spans="1:13" ht="15" thickBot="1" x14ac:dyDescent="0.2">
      <c r="A15" s="194" t="s">
        <v>182</v>
      </c>
      <c r="B15" s="195">
        <v>0.04</v>
      </c>
      <c r="C15" s="193"/>
    </row>
    <row r="16" spans="1:13" ht="15" thickBot="1" x14ac:dyDescent="0.2">
      <c r="A16" s="197" t="s">
        <v>186</v>
      </c>
      <c r="B16" s="193"/>
      <c r="C16" s="193"/>
    </row>
    <row r="17" spans="1:7" ht="15" thickBot="1" x14ac:dyDescent="0.2">
      <c r="A17" s="194" t="s">
        <v>187</v>
      </c>
      <c r="B17" s="193">
        <v>0</v>
      </c>
      <c r="C17" s="193" t="s">
        <v>61</v>
      </c>
    </row>
    <row r="18" spans="1:7" ht="15" thickBot="1" x14ac:dyDescent="0.2">
      <c r="A18" s="194" t="s">
        <v>173</v>
      </c>
      <c r="B18" s="193">
        <v>0</v>
      </c>
      <c r="C18" s="193" t="s">
        <v>61</v>
      </c>
    </row>
    <row r="19" spans="1:7" ht="15" thickBot="1" x14ac:dyDescent="0.2">
      <c r="A19" s="194" t="s">
        <v>62</v>
      </c>
      <c r="B19" s="193">
        <v>30</v>
      </c>
      <c r="C19" s="193" t="s">
        <v>61</v>
      </c>
    </row>
    <row r="21" spans="1:7" ht="14" thickBot="1" x14ac:dyDescent="0.2"/>
    <row r="22" spans="1:7" ht="15" thickBot="1" x14ac:dyDescent="0.2">
      <c r="A22" s="199" t="s">
        <v>188</v>
      </c>
      <c r="B22" s="200">
        <v>0.05</v>
      </c>
      <c r="C22" s="201" t="s">
        <v>184</v>
      </c>
    </row>
    <row r="23" spans="1:7" ht="14" thickBot="1" x14ac:dyDescent="0.2"/>
    <row r="24" spans="1:7" ht="14" thickBot="1" x14ac:dyDescent="0.2">
      <c r="A24" s="184" t="s">
        <v>30</v>
      </c>
      <c r="B24" s="185" t="s">
        <v>31</v>
      </c>
      <c r="C24" s="186" t="s">
        <v>32</v>
      </c>
    </row>
    <row r="25" spans="1:7" ht="14" thickBot="1" x14ac:dyDescent="0.2">
      <c r="A25" s="187" t="s">
        <v>22</v>
      </c>
      <c r="B25" s="188">
        <v>0.10340000000000001</v>
      </c>
      <c r="C25" s="188">
        <v>0.15</v>
      </c>
    </row>
    <row r="26" spans="1:7" ht="14" thickBot="1" x14ac:dyDescent="0.2">
      <c r="A26" s="187" t="s">
        <v>33</v>
      </c>
      <c r="B26" s="188">
        <v>6.3299999999999995E-2</v>
      </c>
      <c r="C26" s="188">
        <v>0.1</v>
      </c>
    </row>
    <row r="27" spans="1:7" ht="14" thickBot="1" x14ac:dyDescent="0.2">
      <c r="A27" s="187" t="s">
        <v>34</v>
      </c>
      <c r="B27" s="188">
        <v>0.10340000000000001</v>
      </c>
      <c r="C27" s="188">
        <v>0.15</v>
      </c>
    </row>
    <row r="28" spans="1:7" ht="14" thickBot="1" x14ac:dyDescent="0.2">
      <c r="A28" s="187" t="s">
        <v>191</v>
      </c>
      <c r="B28" s="188">
        <v>3.3399999999999999E-2</v>
      </c>
      <c r="C28" s="188">
        <v>0.05</v>
      </c>
      <c r="G28" s="202"/>
    </row>
    <row r="29" spans="1:7" ht="14" thickBot="1" x14ac:dyDescent="0.2">
      <c r="A29" s="187" t="s">
        <v>192</v>
      </c>
      <c r="B29" s="188">
        <v>1.6299999999999999E-2</v>
      </c>
      <c r="C29" s="188">
        <v>0.05</v>
      </c>
    </row>
    <row r="32" spans="1:7" ht="15" thickBot="1" x14ac:dyDescent="0.2">
      <c r="A32" s="203" t="s">
        <v>189</v>
      </c>
    </row>
    <row r="33" spans="1:12" ht="15" thickBot="1" x14ac:dyDescent="0.2">
      <c r="A33" s="366" t="s">
        <v>190</v>
      </c>
      <c r="B33" s="367" t="s">
        <v>604</v>
      </c>
      <c r="C33" s="367" t="s">
        <v>27</v>
      </c>
    </row>
    <row r="34" spans="1:12" ht="15" thickBot="1" x14ac:dyDescent="0.2">
      <c r="A34" s="204" t="s">
        <v>28</v>
      </c>
      <c r="B34" s="436">
        <f>'Project Cost'!D21*0.3</f>
        <v>2387743.0977272722</v>
      </c>
      <c r="C34" s="206">
        <f>1-C36-C35</f>
        <v>0.29999999999999993</v>
      </c>
      <c r="D34" s="207">
        <f>B34*0.25</f>
        <v>596935.77443181805</v>
      </c>
      <c r="E34" s="207"/>
    </row>
    <row r="35" spans="1:12" ht="15" thickBot="1" x14ac:dyDescent="0.2">
      <c r="A35" s="204" t="s">
        <v>97</v>
      </c>
      <c r="B35" s="205"/>
      <c r="C35" s="206">
        <f>B35/$B$37</f>
        <v>0</v>
      </c>
      <c r="D35" s="191">
        <f t="shared" ref="D35:D36" si="0">B35*0.25</f>
        <v>0</v>
      </c>
    </row>
    <row r="36" spans="1:12" ht="15" thickBot="1" x14ac:dyDescent="0.2">
      <c r="A36" s="204" t="s">
        <v>170</v>
      </c>
      <c r="B36" s="436">
        <f>B37-B34</f>
        <v>5571400.5613636356</v>
      </c>
      <c r="C36" s="206">
        <f>B36/$B$37</f>
        <v>0.70000000000000007</v>
      </c>
      <c r="D36" s="191">
        <f t="shared" si="0"/>
        <v>1392850.1403409089</v>
      </c>
    </row>
    <row r="37" spans="1:12" ht="15" thickBot="1" x14ac:dyDescent="0.2">
      <c r="A37" s="208" t="s">
        <v>16</v>
      </c>
      <c r="B37" s="437">
        <f>'Project Cost'!D21</f>
        <v>7959143.6590909073</v>
      </c>
      <c r="C37" s="209">
        <f>B37/$B$37</f>
        <v>1</v>
      </c>
    </row>
    <row r="39" spans="1:12" x14ac:dyDescent="0.15">
      <c r="D39" s="202"/>
    </row>
    <row r="40" spans="1:12" x14ac:dyDescent="0.15">
      <c r="A40" s="191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</row>
    <row r="41" spans="1:12" ht="14" thickBot="1" x14ac:dyDescent="0.2">
      <c r="A41" s="368" t="s">
        <v>608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</row>
    <row r="42" spans="1:12" ht="14" thickBot="1" x14ac:dyDescent="0.2">
      <c r="A42" s="80" t="s">
        <v>503</v>
      </c>
      <c r="B42" s="80">
        <v>1</v>
      </c>
      <c r="C42" s="405">
        <v>90000</v>
      </c>
      <c r="D42" s="405">
        <f>C42*B42</f>
        <v>90000</v>
      </c>
      <c r="E42" s="98"/>
      <c r="F42" s="98"/>
      <c r="G42" s="98" t="s">
        <v>626</v>
      </c>
      <c r="H42" s="98">
        <v>1</v>
      </c>
      <c r="I42" s="405">
        <v>150000</v>
      </c>
      <c r="J42" s="405">
        <f t="shared" ref="J42:J53" si="1">I42*H42</f>
        <v>150000</v>
      </c>
      <c r="K42" s="58"/>
      <c r="L42" s="58"/>
    </row>
    <row r="43" spans="1:12" ht="14" thickBot="1" x14ac:dyDescent="0.2">
      <c r="A43" s="80" t="s">
        <v>612</v>
      </c>
      <c r="B43" s="80">
        <v>1</v>
      </c>
      <c r="C43" s="405">
        <v>70000</v>
      </c>
      <c r="D43" s="405">
        <f>C43*B43</f>
        <v>70000</v>
      </c>
      <c r="E43" s="98"/>
      <c r="F43" s="98"/>
      <c r="G43" s="98" t="s">
        <v>627</v>
      </c>
      <c r="H43" s="98">
        <v>1</v>
      </c>
      <c r="I43" s="405">
        <v>113636</v>
      </c>
      <c r="J43" s="405">
        <f t="shared" si="1"/>
        <v>113636</v>
      </c>
      <c r="K43" s="58"/>
      <c r="L43" s="58"/>
    </row>
    <row r="44" spans="1:12" ht="14" thickBot="1" x14ac:dyDescent="0.2">
      <c r="A44" s="80" t="s">
        <v>613</v>
      </c>
      <c r="B44" s="80">
        <v>3</v>
      </c>
      <c r="C44" s="405">
        <v>25000</v>
      </c>
      <c r="D44" s="405">
        <f>C44*B44</f>
        <v>75000</v>
      </c>
      <c r="E44" s="98"/>
      <c r="F44" s="98"/>
      <c r="G44" s="98" t="s">
        <v>628</v>
      </c>
      <c r="H44" s="98">
        <v>1</v>
      </c>
      <c r="I44" s="405">
        <f>I43</f>
        <v>113636</v>
      </c>
      <c r="J44" s="405">
        <f t="shared" si="1"/>
        <v>113636</v>
      </c>
      <c r="K44" s="58"/>
      <c r="L44" s="58"/>
    </row>
    <row r="45" spans="1:12" ht="14" thickBot="1" x14ac:dyDescent="0.2">
      <c r="A45" s="80" t="s">
        <v>505</v>
      </c>
      <c r="B45" s="80">
        <v>3</v>
      </c>
      <c r="C45" s="405">
        <v>20455</v>
      </c>
      <c r="D45" s="405">
        <f>C45*B45</f>
        <v>61365</v>
      </c>
      <c r="E45" s="98"/>
      <c r="F45" s="98"/>
      <c r="G45" s="98" t="s">
        <v>629</v>
      </c>
      <c r="H45" s="98">
        <v>1</v>
      </c>
      <c r="I45" s="405">
        <f>I44</f>
        <v>113636</v>
      </c>
      <c r="J45" s="405">
        <f t="shared" si="1"/>
        <v>113636</v>
      </c>
      <c r="K45" s="58"/>
      <c r="L45" s="58"/>
    </row>
    <row r="46" spans="1:12" ht="14" thickBot="1" x14ac:dyDescent="0.2">
      <c r="A46" s="80"/>
      <c r="B46" s="80"/>
      <c r="C46" s="405"/>
      <c r="D46" s="405"/>
      <c r="E46" s="98"/>
      <c r="F46" s="98"/>
      <c r="G46" s="98" t="s">
        <v>630</v>
      </c>
      <c r="H46" s="98">
        <v>1</v>
      </c>
      <c r="I46" s="405">
        <f>I45</f>
        <v>113636</v>
      </c>
      <c r="J46" s="405">
        <f t="shared" si="1"/>
        <v>113636</v>
      </c>
      <c r="K46" s="58"/>
      <c r="L46" s="58"/>
    </row>
    <row r="47" spans="1:12" ht="14" thickBot="1" x14ac:dyDescent="0.2">
      <c r="A47" s="80" t="s">
        <v>614</v>
      </c>
      <c r="B47" s="80">
        <v>2</v>
      </c>
      <c r="C47" s="405">
        <f>1200000/88</f>
        <v>13636.363636363636</v>
      </c>
      <c r="D47" s="405">
        <f t="shared" ref="D47:D52" si="2">C47*B47</f>
        <v>27272.727272727272</v>
      </c>
      <c r="E47" s="98"/>
      <c r="F47" s="98"/>
      <c r="G47" s="98" t="s">
        <v>631</v>
      </c>
      <c r="H47" s="98">
        <v>2</v>
      </c>
      <c r="I47" s="405">
        <v>25000</v>
      </c>
      <c r="J47" s="405">
        <f t="shared" si="1"/>
        <v>50000</v>
      </c>
      <c r="K47" s="58"/>
      <c r="L47" s="58"/>
    </row>
    <row r="48" spans="1:12" ht="14" thickBot="1" x14ac:dyDescent="0.2">
      <c r="A48" s="80" t="s">
        <v>615</v>
      </c>
      <c r="B48" s="80">
        <v>1</v>
      </c>
      <c r="C48" s="405">
        <f>1200000/88</f>
        <v>13636.363636363636</v>
      </c>
      <c r="D48" s="405">
        <f t="shared" si="2"/>
        <v>13636.363636363636</v>
      </c>
      <c r="E48" s="98"/>
      <c r="F48" s="98"/>
      <c r="G48" s="98" t="s">
        <v>632</v>
      </c>
      <c r="H48" s="98">
        <v>1</v>
      </c>
      <c r="I48" s="405">
        <v>25000</v>
      </c>
      <c r="J48" s="405">
        <f t="shared" si="1"/>
        <v>25000</v>
      </c>
      <c r="K48" s="58"/>
      <c r="L48" s="58"/>
    </row>
    <row r="49" spans="1:12" ht="14" thickBot="1" x14ac:dyDescent="0.2">
      <c r="A49" s="80" t="s">
        <v>616</v>
      </c>
      <c r="B49" s="80">
        <v>1</v>
      </c>
      <c r="C49" s="405">
        <f>1200000/88</f>
        <v>13636.363636363636</v>
      </c>
      <c r="D49" s="405">
        <f t="shared" si="2"/>
        <v>13636.363636363636</v>
      </c>
      <c r="E49" s="98"/>
      <c r="F49" s="98"/>
      <c r="G49" s="98" t="s">
        <v>639</v>
      </c>
      <c r="H49" s="98">
        <v>2</v>
      </c>
      <c r="I49" s="405">
        <v>20000</v>
      </c>
      <c r="J49" s="405">
        <f t="shared" si="1"/>
        <v>40000</v>
      </c>
      <c r="K49" s="58"/>
      <c r="L49" s="58"/>
    </row>
    <row r="50" spans="1:12" ht="14" thickBot="1" x14ac:dyDescent="0.2">
      <c r="A50" s="80" t="s">
        <v>617</v>
      </c>
      <c r="B50" s="80">
        <v>2</v>
      </c>
      <c r="C50" s="405">
        <f>1200000/88</f>
        <v>13636.363636363636</v>
      </c>
      <c r="D50" s="405">
        <f t="shared" si="2"/>
        <v>27272.727272727272</v>
      </c>
      <c r="E50" s="98"/>
      <c r="F50" s="98"/>
      <c r="G50" s="98" t="s">
        <v>633</v>
      </c>
      <c r="H50" s="98">
        <v>2</v>
      </c>
      <c r="I50" s="405">
        <v>20000</v>
      </c>
      <c r="J50" s="405">
        <f t="shared" si="1"/>
        <v>40000</v>
      </c>
      <c r="K50" s="58"/>
      <c r="L50" s="58"/>
    </row>
    <row r="51" spans="1:12" ht="14" thickBot="1" x14ac:dyDescent="0.2">
      <c r="A51" s="80" t="s">
        <v>618</v>
      </c>
      <c r="B51" s="80">
        <v>1</v>
      </c>
      <c r="C51" s="405">
        <f>500000/88</f>
        <v>5681.818181818182</v>
      </c>
      <c r="D51" s="405">
        <f t="shared" si="2"/>
        <v>5681.818181818182</v>
      </c>
      <c r="E51" s="98"/>
      <c r="F51" s="98"/>
      <c r="G51" s="98" t="s">
        <v>634</v>
      </c>
      <c r="H51" s="98">
        <v>2</v>
      </c>
      <c r="I51" s="405">
        <v>20000</v>
      </c>
      <c r="J51" s="405">
        <f t="shared" si="1"/>
        <v>40000</v>
      </c>
      <c r="K51" s="58"/>
      <c r="L51" s="58"/>
    </row>
    <row r="52" spans="1:12" ht="14" thickBot="1" x14ac:dyDescent="0.2">
      <c r="A52" s="80" t="s">
        <v>619</v>
      </c>
      <c r="B52" s="98">
        <v>65</v>
      </c>
      <c r="C52" s="405">
        <v>3000</v>
      </c>
      <c r="D52" s="405">
        <f t="shared" si="2"/>
        <v>195000</v>
      </c>
      <c r="E52" s="98"/>
      <c r="F52" s="98"/>
      <c r="G52" s="98" t="s">
        <v>635</v>
      </c>
      <c r="H52" s="98">
        <v>2</v>
      </c>
      <c r="I52" s="405">
        <v>12000</v>
      </c>
      <c r="J52" s="405">
        <f t="shared" si="1"/>
        <v>24000</v>
      </c>
      <c r="K52" s="58"/>
      <c r="L52" s="58"/>
    </row>
    <row r="53" spans="1:12" ht="14" thickBot="1" x14ac:dyDescent="0.2">
      <c r="A53" s="369" t="s">
        <v>16</v>
      </c>
      <c r="B53" s="98"/>
      <c r="C53" s="405"/>
      <c r="D53" s="405">
        <f>SUM(D42:D52)</f>
        <v>578865</v>
      </c>
      <c r="E53" s="98"/>
      <c r="F53" s="98"/>
      <c r="G53" s="98" t="s">
        <v>636</v>
      </c>
      <c r="H53" s="98">
        <v>80</v>
      </c>
      <c r="I53" s="405">
        <v>3000</v>
      </c>
      <c r="J53" s="405">
        <f t="shared" si="1"/>
        <v>240000</v>
      </c>
      <c r="K53" s="58">
        <f>J56-J53</f>
        <v>1723544</v>
      </c>
      <c r="L53" s="58"/>
    </row>
    <row r="54" spans="1:12" ht="14" thickBot="1" x14ac:dyDescent="0.2">
      <c r="A54" s="80"/>
      <c r="B54" s="98"/>
      <c r="C54" s="98"/>
      <c r="D54" s="98"/>
      <c r="E54" s="98"/>
      <c r="F54" s="98"/>
      <c r="G54" s="98" t="s">
        <v>637</v>
      </c>
      <c r="H54" s="98" t="s">
        <v>199</v>
      </c>
      <c r="I54" s="405">
        <v>500000</v>
      </c>
      <c r="J54" s="405">
        <v>500000</v>
      </c>
      <c r="K54" s="58"/>
      <c r="L54" s="58"/>
    </row>
    <row r="55" spans="1:12" ht="14" thickBot="1" x14ac:dyDescent="0.2">
      <c r="A55" s="80"/>
      <c r="B55" s="98"/>
      <c r="C55" s="98">
        <f>300*80</f>
        <v>24000</v>
      </c>
      <c r="D55" s="98"/>
      <c r="E55" s="98"/>
      <c r="F55" s="98"/>
      <c r="G55" s="98" t="s">
        <v>638</v>
      </c>
      <c r="H55" s="98" t="s">
        <v>199</v>
      </c>
      <c r="I55" s="405">
        <v>400000</v>
      </c>
      <c r="J55" s="405">
        <v>400000</v>
      </c>
      <c r="K55" s="58"/>
      <c r="L55" s="58"/>
    </row>
    <row r="56" spans="1:12" ht="14" thickBot="1" x14ac:dyDescent="0.2">
      <c r="A56" s="80"/>
      <c r="B56" s="98"/>
      <c r="C56" s="98">
        <f>C55/88*12</f>
        <v>3272.727272727273</v>
      </c>
      <c r="D56" s="98"/>
      <c r="E56" s="98"/>
      <c r="F56" s="98"/>
      <c r="G56" s="98"/>
      <c r="H56" s="98"/>
      <c r="I56" s="405"/>
      <c r="J56" s="406">
        <f>SUM(J42:J55)</f>
        <v>1963544</v>
      </c>
      <c r="K56" s="58"/>
      <c r="L56" s="58"/>
    </row>
    <row r="57" spans="1:12" x14ac:dyDescent="0.15">
      <c r="A57" s="42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</row>
  </sheetData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F35"/>
  <sheetViews>
    <sheetView zoomScale="112" zoomScaleNormal="130" workbookViewId="0">
      <selection activeCell="D21" sqref="D21"/>
    </sheetView>
  </sheetViews>
  <sheetFormatPr baseColWidth="10" defaultColWidth="8.83203125" defaultRowHeight="13" x14ac:dyDescent="0.15"/>
  <cols>
    <col min="1" max="1" width="8.83203125" style="190"/>
    <col min="2" max="2" width="41.83203125" style="190" customWidth="1"/>
    <col min="3" max="3" width="11.6640625" style="190" customWidth="1"/>
    <col min="4" max="4" width="15" style="210" customWidth="1"/>
    <col min="5" max="5" width="8.83203125" style="190"/>
    <col min="6" max="6" width="12.83203125" style="190" bestFit="1" customWidth="1"/>
    <col min="7" max="16384" width="8.83203125" style="190"/>
  </cols>
  <sheetData>
    <row r="1" spans="2:6" ht="14" thickBot="1" x14ac:dyDescent="0.2"/>
    <row r="2" spans="2:6" ht="14" thickBot="1" x14ac:dyDescent="0.2">
      <c r="B2" s="211" t="s">
        <v>18</v>
      </c>
      <c r="C2" s="211"/>
      <c r="D2" s="212"/>
    </row>
    <row r="3" spans="2:6" ht="14" thickBot="1" x14ac:dyDescent="0.2">
      <c r="B3" s="213" t="s">
        <v>19</v>
      </c>
      <c r="C3" s="213" t="s">
        <v>20</v>
      </c>
      <c r="D3" s="214" t="s">
        <v>16</v>
      </c>
    </row>
    <row r="4" spans="2:6" ht="14" thickBot="1" x14ac:dyDescent="0.2">
      <c r="B4" s="211" t="s">
        <v>643</v>
      </c>
      <c r="C4" s="215" t="s">
        <v>21</v>
      </c>
      <c r="D4" s="407">
        <v>1200000</v>
      </c>
    </row>
    <row r="5" spans="2:6" ht="14" thickBot="1" x14ac:dyDescent="0.2">
      <c r="B5" s="216" t="s">
        <v>198</v>
      </c>
      <c r="C5" s="215" t="s">
        <v>21</v>
      </c>
      <c r="D5" s="217"/>
    </row>
    <row r="6" spans="2:6" ht="14" thickBot="1" x14ac:dyDescent="0.2">
      <c r="B6" s="216"/>
      <c r="C6" s="215"/>
      <c r="D6" s="217"/>
    </row>
    <row r="7" spans="2:6" ht="14" thickBot="1" x14ac:dyDescent="0.2">
      <c r="B7" s="218" t="s">
        <v>323</v>
      </c>
      <c r="C7" s="211"/>
      <c r="D7" s="217"/>
    </row>
    <row r="8" spans="2:6" ht="14" thickBot="1" x14ac:dyDescent="0.2">
      <c r="B8" s="213" t="s">
        <v>171</v>
      </c>
      <c r="C8" s="211"/>
      <c r="D8" s="408">
        <f>'Basic Infrastructure'!F35</f>
        <v>2001841.3636363633</v>
      </c>
      <c r="F8" s="219">
        <f>D8+D9+D13+D16+D18</f>
        <v>6380136.8181818165</v>
      </c>
    </row>
    <row r="9" spans="2:6" ht="14" thickBot="1" x14ac:dyDescent="0.2">
      <c r="B9" s="213" t="s">
        <v>640</v>
      </c>
      <c r="C9" s="211"/>
      <c r="D9" s="408">
        <v>200000</v>
      </c>
      <c r="F9" s="190">
        <f>5%*F8</f>
        <v>319006.84090909082</v>
      </c>
    </row>
    <row r="10" spans="2:6" ht="14" thickBot="1" x14ac:dyDescent="0.2">
      <c r="B10" s="213" t="s">
        <v>16</v>
      </c>
      <c r="C10" s="213"/>
      <c r="D10" s="408">
        <f>D8+D9</f>
        <v>2201841.3636363633</v>
      </c>
      <c r="F10" s="219">
        <f>F8+F9</f>
        <v>6699143.6590909073</v>
      </c>
    </row>
    <row r="11" spans="2:6" ht="14" thickBot="1" x14ac:dyDescent="0.2">
      <c r="B11" s="215"/>
      <c r="C11" s="215"/>
      <c r="D11" s="408"/>
    </row>
    <row r="12" spans="2:6" ht="14" thickBot="1" x14ac:dyDescent="0.2">
      <c r="B12" s="211" t="s">
        <v>172</v>
      </c>
      <c r="C12" s="211"/>
      <c r="D12" s="408"/>
    </row>
    <row r="13" spans="2:6" ht="14" thickBot="1" x14ac:dyDescent="0.2">
      <c r="B13" s="213" t="s">
        <v>241</v>
      </c>
      <c r="C13" s="213"/>
      <c r="D13" s="408">
        <f>'Core Equipment '!G36</f>
        <v>3913039.772727272</v>
      </c>
    </row>
    <row r="14" spans="2:6" ht="14" thickBot="1" x14ac:dyDescent="0.2">
      <c r="B14" s="215"/>
      <c r="C14" s="215"/>
      <c r="D14" s="408"/>
    </row>
    <row r="15" spans="2:6" ht="14" thickBot="1" x14ac:dyDescent="0.2">
      <c r="B15" s="211" t="s">
        <v>670</v>
      </c>
      <c r="C15" s="211"/>
      <c r="D15" s="408"/>
    </row>
    <row r="16" spans="2:6" ht="14" thickBot="1" x14ac:dyDescent="0.2">
      <c r="B16" s="213" t="s">
        <v>23</v>
      </c>
      <c r="C16" s="213"/>
      <c r="D16" s="408">
        <f>'Other Equipment'!I10</f>
        <v>15255.681818181816</v>
      </c>
    </row>
    <row r="17" spans="2:4" ht="14" thickBot="1" x14ac:dyDescent="0.2">
      <c r="B17" s="215"/>
      <c r="C17" s="215"/>
      <c r="D17" s="408"/>
    </row>
    <row r="18" spans="2:4" ht="14" thickBot="1" x14ac:dyDescent="0.2">
      <c r="B18" s="220" t="s">
        <v>641</v>
      </c>
      <c r="C18" s="221">
        <v>0</v>
      </c>
      <c r="D18" s="408">
        <v>250000</v>
      </c>
    </row>
    <row r="19" spans="2:4" ht="14" thickBot="1" x14ac:dyDescent="0.2">
      <c r="B19" s="220" t="s">
        <v>24</v>
      </c>
      <c r="C19" s="221">
        <v>0.05</v>
      </c>
      <c r="D19" s="408">
        <f>5%*D20</f>
        <v>379006.84090909082</v>
      </c>
    </row>
    <row r="20" spans="2:4" ht="14" thickBot="1" x14ac:dyDescent="0.2">
      <c r="B20" s="220" t="s">
        <v>642</v>
      </c>
      <c r="C20" s="220"/>
      <c r="D20" s="408">
        <f>D10+D13+D16+D18+D4</f>
        <v>7580136.8181818165</v>
      </c>
    </row>
    <row r="21" spans="2:4" ht="14" thickBot="1" x14ac:dyDescent="0.2">
      <c r="B21" s="213" t="s">
        <v>25</v>
      </c>
      <c r="C21" s="213"/>
      <c r="D21" s="408">
        <f>D20+D19</f>
        <v>7959143.6590909073</v>
      </c>
    </row>
    <row r="22" spans="2:4" x14ac:dyDescent="0.15">
      <c r="D22" s="222"/>
    </row>
    <row r="23" spans="2:4" x14ac:dyDescent="0.15">
      <c r="D23" s="222"/>
    </row>
    <row r="24" spans="2:4" x14ac:dyDescent="0.15">
      <c r="D24" s="222"/>
    </row>
    <row r="25" spans="2:4" hidden="1" x14ac:dyDescent="0.15"/>
    <row r="26" spans="2:4" hidden="1" x14ac:dyDescent="0.15">
      <c r="B26" s="223" t="s">
        <v>26</v>
      </c>
      <c r="C26" s="224"/>
      <c r="D26" s="225"/>
    </row>
    <row r="27" spans="2:4" hidden="1" x14ac:dyDescent="0.15">
      <c r="B27" s="226" t="s">
        <v>28</v>
      </c>
      <c r="C27" s="227"/>
      <c r="D27" s="228"/>
    </row>
    <row r="28" spans="2:4" hidden="1" x14ac:dyDescent="0.15">
      <c r="B28" s="226" t="s">
        <v>97</v>
      </c>
      <c r="C28" s="227"/>
      <c r="D28" s="228"/>
    </row>
    <row r="29" spans="2:4" hidden="1" x14ac:dyDescent="0.15">
      <c r="B29" s="226" t="s">
        <v>29</v>
      </c>
      <c r="C29" s="227"/>
      <c r="D29" s="228"/>
    </row>
    <row r="30" spans="2:4" hidden="1" x14ac:dyDescent="0.15">
      <c r="B30" s="229" t="s">
        <v>16</v>
      </c>
      <c r="C30" s="230"/>
      <c r="D30" s="228"/>
    </row>
    <row r="31" spans="2:4" hidden="1" x14ac:dyDescent="0.15"/>
    <row r="32" spans="2:4" hidden="1" x14ac:dyDescent="0.15">
      <c r="D32" s="231"/>
    </row>
    <row r="33" spans="4:4" x14ac:dyDescent="0.15">
      <c r="D33" s="231"/>
    </row>
    <row r="34" spans="4:4" x14ac:dyDescent="0.15">
      <c r="D34" s="231"/>
    </row>
    <row r="35" spans="4:4" x14ac:dyDescent="0.15">
      <c r="D35" s="231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T241"/>
  <sheetViews>
    <sheetView zoomScale="150" zoomScaleNormal="150" workbookViewId="0">
      <selection activeCell="B34" sqref="B34"/>
    </sheetView>
  </sheetViews>
  <sheetFormatPr baseColWidth="10" defaultColWidth="10.33203125" defaultRowHeight="11.5" customHeight="1" x14ac:dyDescent="0.15"/>
  <cols>
    <col min="1" max="1" width="10.33203125" style="191" customWidth="1"/>
    <col min="2" max="2" width="31.83203125" style="191" bestFit="1" customWidth="1"/>
    <col min="3" max="3" width="13.6640625" style="191" bestFit="1" customWidth="1"/>
    <col min="4" max="6" width="12.83203125" style="191" bestFit="1" customWidth="1"/>
    <col min="7" max="7" width="13.33203125" style="191" bestFit="1" customWidth="1"/>
    <col min="8" max="8" width="15.33203125" style="191" bestFit="1" customWidth="1"/>
    <col min="9" max="12" width="13.83203125" style="191" bestFit="1" customWidth="1"/>
    <col min="13" max="13" width="12.6640625" style="191" bestFit="1" customWidth="1"/>
    <col min="14" max="14" width="10.33203125" style="191"/>
    <col min="15" max="15" width="10.5" style="191" bestFit="1" customWidth="1"/>
    <col min="16" max="253" width="10.33203125" style="191"/>
    <col min="254" max="254" width="10.5" style="191" bestFit="1" customWidth="1"/>
    <col min="255" max="16384" width="10.33203125" style="191"/>
  </cols>
  <sheetData>
    <row r="1" spans="2:254" ht="11.5" customHeight="1" thickBot="1" x14ac:dyDescent="0.2"/>
    <row r="2" spans="2:254" ht="11.5" customHeight="1" thickBot="1" x14ac:dyDescent="0.2">
      <c r="B2" s="232" t="s">
        <v>69</v>
      </c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</row>
    <row r="3" spans="2:254" ht="11.5" customHeight="1" thickBot="1" x14ac:dyDescent="0.2">
      <c r="B3" s="233" t="s">
        <v>51</v>
      </c>
      <c r="C3" s="233"/>
      <c r="D3" s="370" t="s">
        <v>543</v>
      </c>
      <c r="E3" s="370" t="s">
        <v>544</v>
      </c>
      <c r="F3" s="370" t="s">
        <v>545</v>
      </c>
      <c r="G3" s="370" t="s">
        <v>546</v>
      </c>
      <c r="H3" s="370" t="s">
        <v>547</v>
      </c>
      <c r="I3" s="370" t="s">
        <v>548</v>
      </c>
      <c r="J3" s="370" t="s">
        <v>549</v>
      </c>
      <c r="K3" s="370" t="s">
        <v>550</v>
      </c>
      <c r="L3" s="370" t="s">
        <v>551</v>
      </c>
      <c r="M3" s="370" t="s">
        <v>552</v>
      </c>
    </row>
    <row r="4" spans="2:254" ht="11.5" customHeight="1" thickBot="1" x14ac:dyDescent="0.2">
      <c r="B4" s="234" t="s">
        <v>605</v>
      </c>
      <c r="C4" s="234"/>
      <c r="D4" s="409">
        <f>'Growing cost  assum'!C18</f>
        <v>50400</v>
      </c>
      <c r="E4" s="409">
        <f>'Growing cost  assum'!D18</f>
        <v>54000</v>
      </c>
      <c r="F4" s="409">
        <f>'Growing cost  assum'!E18</f>
        <v>55800</v>
      </c>
      <c r="G4" s="409">
        <f>'Growing cost  assum'!F18</f>
        <v>61200</v>
      </c>
      <c r="H4" s="409">
        <f>'Growing cost  assum'!G18</f>
        <v>72000</v>
      </c>
      <c r="I4" s="409">
        <f>'Growing cost  assum'!H18</f>
        <v>72000</v>
      </c>
      <c r="J4" s="409">
        <f>'Growing cost  assum'!I18</f>
        <v>72000</v>
      </c>
      <c r="K4" s="409">
        <f>'Growing cost  assum'!J18</f>
        <v>72000</v>
      </c>
      <c r="L4" s="409">
        <f>'Growing cost  assum'!K18</f>
        <v>72000</v>
      </c>
      <c r="M4" s="409">
        <f>'Growing cost  assum'!L18</f>
        <v>72000</v>
      </c>
    </row>
    <row r="5" spans="2:254" ht="11.5" customHeight="1" thickBot="1" x14ac:dyDescent="0.2">
      <c r="B5" s="234" t="s">
        <v>652</v>
      </c>
      <c r="C5" s="234"/>
      <c r="D5" s="409">
        <f>'Growing cost  assum'!C36</f>
        <v>46800</v>
      </c>
      <c r="E5" s="409">
        <f>'Growing cost  assum'!D36</f>
        <v>52000</v>
      </c>
      <c r="F5" s="409">
        <f>'Growing cost  assum'!E36</f>
        <v>57200</v>
      </c>
      <c r="G5" s="409">
        <f>'Growing cost  assum'!F36</f>
        <v>57200</v>
      </c>
      <c r="H5" s="409">
        <f>'Growing cost  assum'!G36</f>
        <v>57200</v>
      </c>
      <c r="I5" s="409">
        <f>'Growing cost  assum'!H36</f>
        <v>57200</v>
      </c>
      <c r="J5" s="409">
        <f>'Growing cost  assum'!I36</f>
        <v>57200</v>
      </c>
      <c r="K5" s="409">
        <f>'Growing cost  assum'!J36</f>
        <v>57200</v>
      </c>
      <c r="L5" s="409">
        <f>'Growing cost  assum'!K36</f>
        <v>57200</v>
      </c>
      <c r="M5" s="409">
        <f>'Growing cost  assum'!L36</f>
        <v>57200</v>
      </c>
    </row>
    <row r="6" spans="2:254" ht="11.5" customHeight="1" thickBot="1" x14ac:dyDescent="0.2">
      <c r="B6" s="234" t="s">
        <v>650</v>
      </c>
      <c r="C6" s="234"/>
      <c r="D6" s="409">
        <f>'Growing cost  assum'!C54</f>
        <v>54545.454545454551</v>
      </c>
      <c r="E6" s="409">
        <f>'Growing cost  assum'!D54</f>
        <v>58181.818181818177</v>
      </c>
      <c r="F6" s="409">
        <f>'Growing cost  assum'!E54</f>
        <v>61818.181818181823</v>
      </c>
      <c r="G6" s="409">
        <f>'Growing cost  assum'!F54</f>
        <v>65454.545454545456</v>
      </c>
      <c r="H6" s="409">
        <f>'Growing cost  assum'!G54</f>
        <v>72727.272727272735</v>
      </c>
      <c r="I6" s="409">
        <f>'Growing cost  assum'!H54</f>
        <v>72727.272727272735</v>
      </c>
      <c r="J6" s="409">
        <f>'Growing cost  assum'!I54</f>
        <v>72727.272727272735</v>
      </c>
      <c r="K6" s="409">
        <f>'Growing cost  assum'!J54</f>
        <v>72727.272727272735</v>
      </c>
      <c r="L6" s="409">
        <f>'Growing cost  assum'!K54</f>
        <v>72727.272727272735</v>
      </c>
      <c r="M6" s="409">
        <f>'Growing cost  assum'!L54</f>
        <v>72727.272727272735</v>
      </c>
    </row>
    <row r="7" spans="2:254" ht="11.5" customHeight="1" thickBot="1" x14ac:dyDescent="0.2">
      <c r="B7" s="234" t="s">
        <v>575</v>
      </c>
      <c r="C7" s="234"/>
      <c r="D7" s="409">
        <f>'Growing cost  assum'!C72</f>
        <v>35200.000000000007</v>
      </c>
      <c r="E7" s="409">
        <f>'Growing cost  assum'!D72</f>
        <v>39600.000000000007</v>
      </c>
      <c r="F7" s="409">
        <f>'Growing cost  assum'!E72</f>
        <v>44000</v>
      </c>
      <c r="G7" s="409">
        <f>'Growing cost  assum'!F72</f>
        <v>44000</v>
      </c>
      <c r="H7" s="409">
        <f>'Growing cost  assum'!G72</f>
        <v>44000</v>
      </c>
      <c r="I7" s="409">
        <f>'Growing cost  assum'!H72</f>
        <v>44000</v>
      </c>
      <c r="J7" s="409">
        <f>'Growing cost  assum'!I72</f>
        <v>44000</v>
      </c>
      <c r="K7" s="409">
        <f>'Growing cost  assum'!J72</f>
        <v>44000</v>
      </c>
      <c r="L7" s="409">
        <f>'Growing cost  assum'!K72</f>
        <v>44000</v>
      </c>
      <c r="M7" s="409">
        <f>'Growing cost  assum'!L72</f>
        <v>44000</v>
      </c>
    </row>
    <row r="8" spans="2:254" ht="11.5" customHeight="1" thickBot="1" x14ac:dyDescent="0.2">
      <c r="B8" s="234" t="s">
        <v>584</v>
      </c>
      <c r="C8" s="234"/>
      <c r="D8" s="409">
        <f>'Growing cost  assum'!C92</f>
        <v>56000</v>
      </c>
      <c r="E8" s="409">
        <f>'Growing cost  assum'!D92</f>
        <v>63000</v>
      </c>
      <c r="F8" s="409">
        <f>'Growing cost  assum'!E92</f>
        <v>70000</v>
      </c>
      <c r="G8" s="409">
        <f>'Growing cost  assum'!F92</f>
        <v>76999.999999999985</v>
      </c>
      <c r="H8" s="409">
        <f>'Growing cost  assum'!G92</f>
        <v>84000</v>
      </c>
      <c r="I8" s="409">
        <f>'Growing cost  assum'!H92</f>
        <v>84000</v>
      </c>
      <c r="J8" s="409">
        <f>'Growing cost  assum'!I92</f>
        <v>84000</v>
      </c>
      <c r="K8" s="409">
        <f>'Growing cost  assum'!J92</f>
        <v>84000</v>
      </c>
      <c r="L8" s="409">
        <f>'Growing cost  assum'!K92</f>
        <v>84000</v>
      </c>
      <c r="M8" s="409">
        <f>'Growing cost  assum'!L92</f>
        <v>84000</v>
      </c>
    </row>
    <row r="9" spans="2:254" ht="11.5" customHeight="1" thickBot="1" x14ac:dyDescent="0.2">
      <c r="B9" s="234" t="s">
        <v>645</v>
      </c>
      <c r="C9" s="234"/>
      <c r="D9" s="409">
        <f>'Growing cost  assum'!C110</f>
        <v>37546.666666666672</v>
      </c>
      <c r="E9" s="409">
        <f>'Growing cost  assum'!D110</f>
        <v>41301.333333333343</v>
      </c>
      <c r="F9" s="409">
        <f>'Growing cost  assum'!E110</f>
        <v>45431.466666666674</v>
      </c>
      <c r="G9" s="409">
        <f>'Growing cost  assum'!F110</f>
        <v>49974.613333333335</v>
      </c>
      <c r="H9" s="409">
        <f>'Growing cost  assum'!G110</f>
        <v>54972.074666666675</v>
      </c>
      <c r="I9" s="409">
        <f>'Growing cost  assum'!H110</f>
        <v>54972.074666666675</v>
      </c>
      <c r="J9" s="409">
        <f>'Growing cost  assum'!I110</f>
        <v>54972.074666666675</v>
      </c>
      <c r="K9" s="409">
        <f>'Growing cost  assum'!J110</f>
        <v>54972.074666666675</v>
      </c>
      <c r="L9" s="409">
        <f>'Growing cost  assum'!K110</f>
        <v>54972.074666666675</v>
      </c>
      <c r="M9" s="409">
        <f>'Growing cost  assum'!L110</f>
        <v>54972.074666666675</v>
      </c>
    </row>
    <row r="10" spans="2:254" ht="11.5" customHeight="1" thickBot="1" x14ac:dyDescent="0.2">
      <c r="B10" s="234" t="s">
        <v>671</v>
      </c>
      <c r="C10" s="234"/>
      <c r="D10" s="409">
        <f>'Growing cost  assum'!C128</f>
        <v>2400000</v>
      </c>
      <c r="E10" s="409">
        <f>'Growing cost  assum'!D128</f>
        <v>2640000</v>
      </c>
      <c r="F10" s="409">
        <f>'Growing cost  assum'!E128</f>
        <v>2880000</v>
      </c>
      <c r="G10" s="409">
        <f>'Growing cost  assum'!F128</f>
        <v>3120000</v>
      </c>
      <c r="H10" s="409">
        <f>'Growing cost  assum'!G128</f>
        <v>3360000</v>
      </c>
      <c r="I10" s="409">
        <f>'Growing cost  assum'!H128</f>
        <v>3600000</v>
      </c>
      <c r="J10" s="409">
        <f>'Growing cost  assum'!I128</f>
        <v>3600000</v>
      </c>
      <c r="K10" s="409">
        <f>'Growing cost  assum'!J128</f>
        <v>3600000</v>
      </c>
      <c r="L10" s="409">
        <f>'Growing cost  assum'!K128</f>
        <v>3600000</v>
      </c>
      <c r="M10" s="409">
        <f>'Growing cost  assum'!L128</f>
        <v>3600000</v>
      </c>
    </row>
    <row r="11" spans="2:254" ht="11.5" customHeight="1" thickBot="1" x14ac:dyDescent="0.2">
      <c r="B11" s="234" t="s">
        <v>672</v>
      </c>
      <c r="C11" s="234"/>
      <c r="D11" s="409">
        <f>'Growing cost  assum'!C147</f>
        <v>250000</v>
      </c>
      <c r="E11" s="409">
        <f>'Growing cost  assum'!D147</f>
        <v>275000.00000000006</v>
      </c>
      <c r="F11" s="409">
        <f>'Growing cost  assum'!E147</f>
        <v>302500.00000000006</v>
      </c>
      <c r="G11" s="409">
        <f>'Growing cost  assum'!F147</f>
        <v>332750.00000000006</v>
      </c>
      <c r="H11" s="409">
        <f>'Growing cost  assum'!G147</f>
        <v>366025.00000000012</v>
      </c>
      <c r="I11" s="409">
        <f>'Growing cost  assum'!H147</f>
        <v>400000</v>
      </c>
      <c r="J11" s="409">
        <f>'Growing cost  assum'!I147</f>
        <v>400000</v>
      </c>
      <c r="K11" s="409">
        <f>'Growing cost  assum'!J147</f>
        <v>400000</v>
      </c>
      <c r="L11" s="409">
        <f>'Growing cost  assum'!K147</f>
        <v>400000</v>
      </c>
      <c r="M11" s="409">
        <f>'Growing cost  assum'!L147</f>
        <v>400000</v>
      </c>
    </row>
    <row r="12" spans="2:254" ht="11.5" customHeight="1" thickBot="1" x14ac:dyDescent="0.2">
      <c r="B12" s="234" t="s">
        <v>587</v>
      </c>
      <c r="C12" s="234"/>
      <c r="D12" s="409">
        <f>'Growing cost  assum'!C165</f>
        <v>500000</v>
      </c>
      <c r="E12" s="409">
        <f>'Growing cost  assum'!D165</f>
        <v>580000</v>
      </c>
      <c r="F12" s="409">
        <f>'Growing cost  assum'!E165</f>
        <v>660000</v>
      </c>
      <c r="G12" s="409">
        <f>'Growing cost  assum'!F165</f>
        <v>740000</v>
      </c>
      <c r="H12" s="409">
        <f>'Growing cost  assum'!G165</f>
        <v>820000</v>
      </c>
      <c r="I12" s="409">
        <f>'Growing cost  assum'!H165</f>
        <v>900000</v>
      </c>
      <c r="J12" s="409">
        <f>'Growing cost  assum'!I165</f>
        <v>900000</v>
      </c>
      <c r="K12" s="409">
        <f>'Growing cost  assum'!J165</f>
        <v>900000</v>
      </c>
      <c r="L12" s="409">
        <f>'Growing cost  assum'!K165</f>
        <v>900000</v>
      </c>
      <c r="M12" s="409">
        <f>'Growing cost  assum'!L165</f>
        <v>900000</v>
      </c>
    </row>
    <row r="13" spans="2:254" ht="11.5" customHeight="1" thickBot="1" x14ac:dyDescent="0.2">
      <c r="B13" s="234" t="s">
        <v>606</v>
      </c>
      <c r="C13" s="234"/>
      <c r="D13" s="409">
        <f>'Growing cost  assum'!C183</f>
        <v>320000</v>
      </c>
      <c r="E13" s="409">
        <f>'Growing cost  assum'!D183</f>
        <v>400000</v>
      </c>
      <c r="F13" s="409">
        <f>'Growing cost  assum'!E183</f>
        <v>480000</v>
      </c>
      <c r="G13" s="409">
        <f>'Growing cost  assum'!F183</f>
        <v>560000</v>
      </c>
      <c r="H13" s="409">
        <f>'Growing cost  assum'!G183</f>
        <v>600000</v>
      </c>
      <c r="I13" s="409">
        <f>'Growing cost  assum'!H183</f>
        <v>600000</v>
      </c>
      <c r="J13" s="409">
        <f>'Growing cost  assum'!I183</f>
        <v>600000</v>
      </c>
      <c r="K13" s="409">
        <f>'Growing cost  assum'!J183</f>
        <v>600000</v>
      </c>
      <c r="L13" s="409">
        <f>'Growing cost  assum'!K183</f>
        <v>600000</v>
      </c>
      <c r="M13" s="409">
        <f>'Growing cost  assum'!L183</f>
        <v>600000</v>
      </c>
    </row>
    <row r="14" spans="2:254" ht="11.5" customHeight="1" thickBot="1" x14ac:dyDescent="0.2">
      <c r="B14" s="234" t="s">
        <v>669</v>
      </c>
      <c r="C14" s="234"/>
      <c r="D14" s="409"/>
      <c r="E14" s="409"/>
      <c r="F14" s="409"/>
      <c r="G14" s="409"/>
      <c r="H14" s="409"/>
      <c r="I14" s="409"/>
      <c r="J14" s="409"/>
      <c r="K14" s="409"/>
      <c r="L14" s="409"/>
      <c r="M14" s="409"/>
    </row>
    <row r="15" spans="2:254" ht="11.5" customHeight="1" thickBot="1" x14ac:dyDescent="0.2">
      <c r="B15" s="234"/>
      <c r="C15" s="234"/>
      <c r="D15" s="409"/>
      <c r="E15" s="409"/>
      <c r="F15" s="409"/>
      <c r="G15" s="409"/>
      <c r="H15" s="409"/>
      <c r="I15" s="409"/>
      <c r="J15" s="409"/>
      <c r="K15" s="409"/>
      <c r="L15" s="409"/>
      <c r="M15" s="409"/>
    </row>
    <row r="16" spans="2:254" ht="11.5" customHeight="1" thickBot="1" x14ac:dyDescent="0.2">
      <c r="B16" s="235" t="s">
        <v>71</v>
      </c>
      <c r="C16" s="235"/>
      <c r="D16" s="410">
        <f t="shared" ref="D16:M16" si="0">SUM(D4:D13)</f>
        <v>3750492.1212121211</v>
      </c>
      <c r="E16" s="410">
        <f t="shared" si="0"/>
        <v>4203083.1515151514</v>
      </c>
      <c r="F16" s="410">
        <f t="shared" si="0"/>
        <v>4656749.6484848484</v>
      </c>
      <c r="G16" s="410">
        <f t="shared" si="0"/>
        <v>5107579.1587878782</v>
      </c>
      <c r="H16" s="410">
        <f t="shared" si="0"/>
        <v>5530924.3473939393</v>
      </c>
      <c r="I16" s="410">
        <f t="shared" si="0"/>
        <v>5884899.3473939393</v>
      </c>
      <c r="J16" s="410">
        <f t="shared" si="0"/>
        <v>5884899.3473939393</v>
      </c>
      <c r="K16" s="410">
        <f t="shared" si="0"/>
        <v>5884899.3473939393</v>
      </c>
      <c r="L16" s="410">
        <f t="shared" si="0"/>
        <v>5884899.3473939393</v>
      </c>
      <c r="M16" s="410">
        <f t="shared" si="0"/>
        <v>5884899.3473939393</v>
      </c>
      <c r="IT16" s="191">
        <f>SUM(A16:IS16)</f>
        <v>52673325.164363623</v>
      </c>
    </row>
    <row r="17" spans="2:13" ht="11.5" customHeight="1" thickBot="1" x14ac:dyDescent="0.2">
      <c r="B17" s="234"/>
      <c r="C17" s="234"/>
      <c r="D17" s="409"/>
      <c r="E17" s="409"/>
      <c r="F17" s="409"/>
      <c r="G17" s="409"/>
      <c r="H17" s="409"/>
      <c r="I17" s="409"/>
      <c r="J17" s="409"/>
      <c r="K17" s="409"/>
      <c r="L17" s="409"/>
      <c r="M17" s="409"/>
    </row>
    <row r="18" spans="2:13" ht="11.5" customHeight="1" thickBot="1" x14ac:dyDescent="0.2">
      <c r="B18" s="235" t="s">
        <v>457</v>
      </c>
      <c r="C18" s="234"/>
      <c r="D18" s="409"/>
      <c r="E18" s="409"/>
      <c r="F18" s="409"/>
      <c r="G18" s="409"/>
      <c r="H18" s="409"/>
      <c r="I18" s="409"/>
      <c r="J18" s="409"/>
      <c r="K18" s="409"/>
      <c r="L18" s="409"/>
      <c r="M18" s="409"/>
    </row>
    <row r="19" spans="2:13" ht="11.5" customHeight="1" thickBot="1" x14ac:dyDescent="0.2">
      <c r="B19" s="233" t="s">
        <v>556</v>
      </c>
      <c r="C19" s="234"/>
      <c r="D19" s="409">
        <f>'Growing cost  assum'!C6+'Growing cost  assum'!C24+'Growing cost  assum'!C42+'Growing cost  assum'!C60+'Growing cost  assum'!C80+'Growing cost  assum'!C98+'Growing cost  assum'!C116+'Growing cost  assum'!C135+'Growing cost  assum'!C153+'Growing cost  assum'!C171+'Growing cost  assum'!C189</f>
        <v>19113.163636363635</v>
      </c>
      <c r="E19" s="409">
        <f>'Growing cost  assum'!D6+'Growing cost  assum'!D24+'Growing cost  assum'!D42+'Growing cost  assum'!D60+'Growing cost  assum'!D80+'Growing cost  assum'!D98+'Growing cost  assum'!D116+'Growing cost  assum'!D135+'Growing cost  assum'!D153+'Growing cost  assum'!D171+'Growing cost  assum'!D189</f>
        <v>19113.163636363635</v>
      </c>
      <c r="F19" s="409">
        <f>'Growing cost  assum'!E6+'Growing cost  assum'!E24+'Growing cost  assum'!E42+'Growing cost  assum'!E60+'Growing cost  assum'!E80+'Growing cost  assum'!E98+'Growing cost  assum'!E116+'Growing cost  assum'!E135+'Growing cost  assum'!E153+'Growing cost  assum'!E171+'Growing cost  assum'!E189</f>
        <v>19113.163636363635</v>
      </c>
      <c r="G19" s="409">
        <f>'Growing cost  assum'!F6+'Growing cost  assum'!F24+'Growing cost  assum'!F42+'Growing cost  assum'!F60+'Growing cost  assum'!F80+'Growing cost  assum'!F98+'Growing cost  assum'!F116+'Growing cost  assum'!F135+'Growing cost  assum'!F153+'Growing cost  assum'!F171+'Growing cost  assum'!F189</f>
        <v>19113.163636363635</v>
      </c>
      <c r="H19" s="409">
        <f>'Growing cost  assum'!G6+'Growing cost  assum'!G24+'Growing cost  assum'!G42+'Growing cost  assum'!G60+'Growing cost  assum'!G80+'Growing cost  assum'!G98+'Growing cost  assum'!G116+'Growing cost  assum'!G135+'Growing cost  assum'!G153+'Growing cost  assum'!G171+'Growing cost  assum'!G189</f>
        <v>19113.163636363635</v>
      </c>
      <c r="I19" s="409">
        <f>'Growing cost  assum'!H6+'Growing cost  assum'!H24+'Growing cost  assum'!H42+'Growing cost  assum'!H60+'Growing cost  assum'!H80+'Growing cost  assum'!H98+'Growing cost  assum'!H116+'Growing cost  assum'!H135+'Growing cost  assum'!H153+'Growing cost  assum'!H171+'Growing cost  assum'!H189</f>
        <v>19113.163636363635</v>
      </c>
      <c r="J19" s="409">
        <f>'Growing cost  assum'!I6+'Growing cost  assum'!I24+'Growing cost  assum'!I42+'Growing cost  assum'!I60+'Growing cost  assum'!I80+'Growing cost  assum'!I98+'Growing cost  assum'!I116+'Growing cost  assum'!I135+'Growing cost  assum'!I153+'Growing cost  assum'!I171+'Growing cost  assum'!I189</f>
        <v>19113.163636363635</v>
      </c>
      <c r="K19" s="409">
        <f>'Growing cost  assum'!J6+'Growing cost  assum'!J24+'Growing cost  assum'!J42+'Growing cost  assum'!J60+'Growing cost  assum'!J80+'Growing cost  assum'!J98+'Growing cost  assum'!J116+'Growing cost  assum'!J135+'Growing cost  assum'!J153+'Growing cost  assum'!J171+'Growing cost  assum'!J189</f>
        <v>19113.163636363635</v>
      </c>
      <c r="L19" s="409">
        <f>'Growing cost  assum'!K6+'Growing cost  assum'!K24+'Growing cost  assum'!K42+'Growing cost  assum'!K60+'Growing cost  assum'!K80+'Growing cost  assum'!K98+'Growing cost  assum'!K116+'Growing cost  assum'!K135+'Growing cost  assum'!K153+'Growing cost  assum'!K171+'Growing cost  assum'!K189</f>
        <v>19113.163636363635</v>
      </c>
      <c r="M19" s="409">
        <f>'Growing cost  assum'!L6+'Growing cost  assum'!L24+'Growing cost  assum'!L42+'Growing cost  assum'!L60+'Growing cost  assum'!L80+'Growing cost  assum'!L98+'Growing cost  assum'!L116+'Growing cost  assum'!L135+'Growing cost  assum'!L153+'Growing cost  assum'!L171+'Growing cost  assum'!L189</f>
        <v>19113.163636363635</v>
      </c>
    </row>
    <row r="20" spans="2:13" ht="11.5" customHeight="1" thickBot="1" x14ac:dyDescent="0.2">
      <c r="B20" s="234" t="s">
        <v>558</v>
      </c>
      <c r="C20" s="234"/>
      <c r="D20" s="409">
        <f>'Growing cost  assum'!C7+'Growing cost  assum'!C25+'Growing cost  assum'!C43+'Growing cost  assum'!C61+'Growing cost  assum'!C81+'Growing cost  assum'!C99+'Growing cost  assum'!C117+'Growing cost  assum'!C136+'Growing cost  assum'!C154+'Growing cost  assum'!C172+'Growing cost  assum'!C190</f>
        <v>126216.90909090909</v>
      </c>
      <c r="E20" s="409">
        <f>'Growing cost  assum'!D7+'Growing cost  assum'!D25+'Growing cost  assum'!D43+'Growing cost  assum'!D61+'Growing cost  assum'!D81+'Growing cost  assum'!D99+'Growing cost  assum'!D117+'Growing cost  assum'!D136+'Growing cost  assum'!D154+'Growing cost  assum'!D172+'Growing cost  assum'!D190</f>
        <v>126216.90909090909</v>
      </c>
      <c r="F20" s="409">
        <f>'Growing cost  assum'!E7+'Growing cost  assum'!E25+'Growing cost  assum'!E43+'Growing cost  assum'!E61+'Growing cost  assum'!E81+'Growing cost  assum'!E99+'Growing cost  assum'!E117+'Growing cost  assum'!E136+'Growing cost  assum'!E154+'Growing cost  assum'!E172+'Growing cost  assum'!E190</f>
        <v>126216.90909090909</v>
      </c>
      <c r="G20" s="409">
        <f>'Growing cost  assum'!F7+'Growing cost  assum'!F25+'Growing cost  assum'!F43+'Growing cost  assum'!F61+'Growing cost  assum'!F81+'Growing cost  assum'!F99+'Growing cost  assum'!F117+'Growing cost  assum'!F136+'Growing cost  assum'!F154+'Growing cost  assum'!F172+'Growing cost  assum'!F190</f>
        <v>126216.90909090909</v>
      </c>
      <c r="H20" s="409">
        <f>'Growing cost  assum'!G7+'Growing cost  assum'!G25+'Growing cost  assum'!G43+'Growing cost  assum'!G61+'Growing cost  assum'!G81+'Growing cost  assum'!G99+'Growing cost  assum'!G117+'Growing cost  assum'!G136+'Growing cost  assum'!G154+'Growing cost  assum'!G172+'Growing cost  assum'!G190</f>
        <v>126216.90909090909</v>
      </c>
      <c r="I20" s="409">
        <f>'Growing cost  assum'!H7+'Growing cost  assum'!H25+'Growing cost  assum'!H43+'Growing cost  assum'!H61+'Growing cost  assum'!H81+'Growing cost  assum'!H99+'Growing cost  assum'!H117+'Growing cost  assum'!H136+'Growing cost  assum'!H154+'Growing cost  assum'!H172+'Growing cost  assum'!H190</f>
        <v>126216.90909090909</v>
      </c>
      <c r="J20" s="409">
        <f>'Growing cost  assum'!I7+'Growing cost  assum'!I25+'Growing cost  assum'!I43+'Growing cost  assum'!I61+'Growing cost  assum'!I81+'Growing cost  assum'!I99+'Growing cost  assum'!I117+'Growing cost  assum'!I136+'Growing cost  assum'!I154+'Growing cost  assum'!I172+'Growing cost  assum'!I190</f>
        <v>126216.90909090909</v>
      </c>
      <c r="K20" s="409">
        <f>'Growing cost  assum'!J7+'Growing cost  assum'!J25+'Growing cost  assum'!J43+'Growing cost  assum'!J61+'Growing cost  assum'!J81+'Growing cost  assum'!J99+'Growing cost  assum'!J117+'Growing cost  assum'!J136+'Growing cost  assum'!J154+'Growing cost  assum'!J172+'Growing cost  assum'!J190</f>
        <v>126216.90909090909</v>
      </c>
      <c r="L20" s="409">
        <f>'Growing cost  assum'!K7+'Growing cost  assum'!K25+'Growing cost  assum'!K43+'Growing cost  assum'!K61+'Growing cost  assum'!K81+'Growing cost  assum'!K99+'Growing cost  assum'!K117+'Growing cost  assum'!K136+'Growing cost  assum'!K154+'Growing cost  assum'!K172+'Growing cost  assum'!K190</f>
        <v>126216.90909090909</v>
      </c>
      <c r="M20" s="409">
        <f>'Growing cost  assum'!L7+'Growing cost  assum'!L25+'Growing cost  assum'!L43+'Growing cost  assum'!L61+'Growing cost  assum'!L81+'Growing cost  assum'!L99+'Growing cost  assum'!L117+'Growing cost  assum'!L136+'Growing cost  assum'!L154+'Growing cost  assum'!L172+'Growing cost  assum'!L190</f>
        <v>126216.90909090909</v>
      </c>
    </row>
    <row r="21" spans="2:13" ht="11.5" customHeight="1" thickBot="1" x14ac:dyDescent="0.2">
      <c r="B21" s="234" t="s">
        <v>607</v>
      </c>
      <c r="C21" s="234"/>
      <c r="D21" s="409">
        <f>'Growing cost  assum'!C8+'Growing cost  assum'!C26+'Growing cost  assum'!C44+'Growing cost  assum'!C62+'Growing cost  assum'!C82+'Growing cost  assum'!C100+'Growing cost  assum'!C118+'Growing cost  assum'!C137+'Growing cost  assum'!C155+'Growing cost  assum'!C173+'Growing cost  assum'!C191</f>
        <v>27223.863636363636</v>
      </c>
      <c r="E21" s="409">
        <f>'Growing cost  assum'!D8+'Growing cost  assum'!D26+'Growing cost  assum'!D44+'Growing cost  assum'!D62+'Growing cost  assum'!D82+'Growing cost  assum'!D100+'Growing cost  assum'!D118+'Growing cost  assum'!D137+'Growing cost  assum'!D155+'Growing cost  assum'!D173+'Growing cost  assum'!D191</f>
        <v>27223.863636363636</v>
      </c>
      <c r="F21" s="409">
        <f>'Growing cost  assum'!E8+'Growing cost  assum'!E26+'Growing cost  assum'!E44+'Growing cost  assum'!E62+'Growing cost  assum'!E82+'Growing cost  assum'!E100+'Growing cost  assum'!E118+'Growing cost  assum'!E137+'Growing cost  assum'!E155+'Growing cost  assum'!E173+'Growing cost  assum'!E191</f>
        <v>27223.863636363636</v>
      </c>
      <c r="G21" s="409">
        <f>'Growing cost  assum'!F8+'Growing cost  assum'!F26+'Growing cost  assum'!F44+'Growing cost  assum'!F62+'Growing cost  assum'!F82+'Growing cost  assum'!F100+'Growing cost  assum'!F118+'Growing cost  assum'!F137+'Growing cost  assum'!F155+'Growing cost  assum'!F173+'Growing cost  assum'!F191</f>
        <v>27223.863636363636</v>
      </c>
      <c r="H21" s="409">
        <f>'Growing cost  assum'!G8+'Growing cost  assum'!G26+'Growing cost  assum'!G44+'Growing cost  assum'!G62+'Growing cost  assum'!G82+'Growing cost  assum'!G100+'Growing cost  assum'!G118+'Growing cost  assum'!G137+'Growing cost  assum'!G155+'Growing cost  assum'!G173+'Growing cost  assum'!G191</f>
        <v>27223.863636363636</v>
      </c>
      <c r="I21" s="409">
        <f>'Growing cost  assum'!H8+'Growing cost  assum'!H26+'Growing cost  assum'!H44+'Growing cost  assum'!H62+'Growing cost  assum'!H82+'Growing cost  assum'!H100+'Growing cost  assum'!H118+'Growing cost  assum'!H137+'Growing cost  assum'!H155+'Growing cost  assum'!H173+'Growing cost  assum'!H191</f>
        <v>27223.863636363636</v>
      </c>
      <c r="J21" s="409">
        <f>'Growing cost  assum'!I8+'Growing cost  assum'!I26+'Growing cost  assum'!I44+'Growing cost  assum'!I62+'Growing cost  assum'!I82+'Growing cost  assum'!I100+'Growing cost  assum'!I118+'Growing cost  assum'!I137+'Growing cost  assum'!I155+'Growing cost  assum'!I173+'Growing cost  assum'!I191</f>
        <v>27223.863636363636</v>
      </c>
      <c r="K21" s="409">
        <f>'Growing cost  assum'!J8+'Growing cost  assum'!J26+'Growing cost  assum'!J44+'Growing cost  assum'!J62+'Growing cost  assum'!J82+'Growing cost  assum'!J100+'Growing cost  assum'!J118+'Growing cost  assum'!J137+'Growing cost  assum'!J155+'Growing cost  assum'!J173+'Growing cost  assum'!J191</f>
        <v>27223.863636363636</v>
      </c>
      <c r="L21" s="409">
        <f>'Growing cost  assum'!K8+'Growing cost  assum'!K26+'Growing cost  assum'!K44+'Growing cost  assum'!K62+'Growing cost  assum'!K82+'Growing cost  assum'!K100+'Growing cost  assum'!K118+'Growing cost  assum'!K137+'Growing cost  assum'!K155+'Growing cost  assum'!K173+'Growing cost  assum'!K191</f>
        <v>27223.863636363636</v>
      </c>
      <c r="M21" s="409">
        <f>'Growing cost  assum'!L8+'Growing cost  assum'!L26+'Growing cost  assum'!L44+'Growing cost  assum'!L62+'Growing cost  assum'!L82+'Growing cost  assum'!L100+'Growing cost  assum'!L118+'Growing cost  assum'!L137+'Growing cost  assum'!L155+'Growing cost  assum'!L173+'Growing cost  assum'!L191</f>
        <v>27223.863636363636</v>
      </c>
    </row>
    <row r="22" spans="2:13" ht="11.5" customHeight="1" thickBot="1" x14ac:dyDescent="0.2">
      <c r="B22" s="234" t="s">
        <v>574</v>
      </c>
      <c r="C22" s="234"/>
      <c r="D22" s="409">
        <f>'Growing cost  assum'!C9+'Growing cost  assum'!C27+'Growing cost  assum'!C45+'Growing cost  assum'!C63+'Growing cost  assum'!C83+'Growing cost  assum'!C101+'Growing cost  assum'!C119+'Growing cost  assum'!C138+'Growing cost  assum'!C156+'Growing cost  assum'!C174+'Growing cost  assum'!C192</f>
        <v>60932.127272727274</v>
      </c>
      <c r="E22" s="409">
        <f>'Growing cost  assum'!D9+'Growing cost  assum'!D27+'Growing cost  assum'!D45+'Growing cost  assum'!D63+'Growing cost  assum'!D83+'Growing cost  assum'!D101+'Growing cost  assum'!D119+'Growing cost  assum'!D138+'Growing cost  assum'!D156+'Growing cost  assum'!D174+'Growing cost  assum'!D192</f>
        <v>60932.127272727274</v>
      </c>
      <c r="F22" s="409">
        <f>'Growing cost  assum'!E9+'Growing cost  assum'!E27+'Growing cost  assum'!E45+'Growing cost  assum'!E63+'Growing cost  assum'!E83+'Growing cost  assum'!E101+'Growing cost  assum'!E119+'Growing cost  assum'!E138+'Growing cost  assum'!E156+'Growing cost  assum'!E174+'Growing cost  assum'!E192</f>
        <v>60932.127272727274</v>
      </c>
      <c r="G22" s="409">
        <f>'Growing cost  assum'!F9+'Growing cost  assum'!F27+'Growing cost  assum'!F45+'Growing cost  assum'!F63+'Growing cost  assum'!F83+'Growing cost  assum'!F101+'Growing cost  assum'!F119+'Growing cost  assum'!F138+'Growing cost  assum'!F156+'Growing cost  assum'!F174+'Growing cost  assum'!F192</f>
        <v>60932.127272727274</v>
      </c>
      <c r="H22" s="409">
        <f>'Growing cost  assum'!G9+'Growing cost  assum'!G27+'Growing cost  assum'!G45+'Growing cost  assum'!G63+'Growing cost  assum'!G83+'Growing cost  assum'!G101+'Growing cost  assum'!G119+'Growing cost  assum'!G138+'Growing cost  assum'!G156+'Growing cost  assum'!G174+'Growing cost  assum'!G192</f>
        <v>60932.127272727274</v>
      </c>
      <c r="I22" s="409">
        <f>'Growing cost  assum'!H9+'Growing cost  assum'!H27+'Growing cost  assum'!H45+'Growing cost  assum'!H63+'Growing cost  assum'!H83+'Growing cost  assum'!H101+'Growing cost  assum'!H119+'Growing cost  assum'!H138+'Growing cost  assum'!H156+'Growing cost  assum'!H174+'Growing cost  assum'!H192</f>
        <v>60932.127272727274</v>
      </c>
      <c r="J22" s="409">
        <f>'Growing cost  assum'!I9+'Growing cost  assum'!I27+'Growing cost  assum'!I45+'Growing cost  assum'!I63+'Growing cost  assum'!I83+'Growing cost  assum'!I101+'Growing cost  assum'!I119+'Growing cost  assum'!I138+'Growing cost  assum'!I156+'Growing cost  assum'!I174+'Growing cost  assum'!I192</f>
        <v>60932.127272727274</v>
      </c>
      <c r="K22" s="409">
        <f>'Growing cost  assum'!J9+'Growing cost  assum'!J27+'Growing cost  assum'!J45+'Growing cost  assum'!J63+'Growing cost  assum'!J83+'Growing cost  assum'!J101+'Growing cost  assum'!J119+'Growing cost  assum'!J138+'Growing cost  assum'!J156+'Growing cost  assum'!J174+'Growing cost  assum'!J192</f>
        <v>60932.127272727274</v>
      </c>
      <c r="L22" s="409">
        <f>'Growing cost  assum'!K9+'Growing cost  assum'!K27+'Growing cost  assum'!K45+'Growing cost  assum'!K63+'Growing cost  assum'!K83+'Growing cost  assum'!K101+'Growing cost  assum'!K119+'Growing cost  assum'!K138+'Growing cost  assum'!K156+'Growing cost  assum'!K174+'Growing cost  assum'!K192</f>
        <v>60932.127272727274</v>
      </c>
      <c r="M22" s="409">
        <f>'Growing cost  assum'!L9+'Growing cost  assum'!L27+'Growing cost  assum'!L45+'Growing cost  assum'!L63+'Growing cost  assum'!L83+'Growing cost  assum'!L101+'Growing cost  assum'!L119+'Growing cost  assum'!L138+'Growing cost  assum'!L156+'Growing cost  assum'!L174+'Growing cost  assum'!L192</f>
        <v>60932.127272727274</v>
      </c>
    </row>
    <row r="23" spans="2:13" ht="11.5" customHeight="1" thickBot="1" x14ac:dyDescent="0.2">
      <c r="B23" s="234" t="s">
        <v>566</v>
      </c>
      <c r="C23" s="234"/>
      <c r="D23" s="409">
        <f>'Growing cost  assum'!C10+'Growing cost  assum'!C28+'Growing cost  assum'!C46+'Growing cost  assum'!C64+'Growing cost  assum'!C84+'Growing cost  assum'!C102+'Growing cost  assum'!C120+'Growing cost  assum'!C139+'Growing cost  assum'!C157+'Growing cost  assum'!C175+'Growing cost  assum'!C193</f>
        <v>144760.90909090909</v>
      </c>
      <c r="E23" s="409">
        <f>'Growing cost  assum'!D10+'Growing cost  assum'!D28+'Growing cost  assum'!D46+'Growing cost  assum'!D64+'Growing cost  assum'!D84+'Growing cost  assum'!D102+'Growing cost  assum'!D120+'Growing cost  assum'!D139+'Growing cost  assum'!D157+'Growing cost  assum'!D175+'Growing cost  assum'!D193</f>
        <v>144760.90909090909</v>
      </c>
      <c r="F23" s="409">
        <f>'Growing cost  assum'!E10+'Growing cost  assum'!E28+'Growing cost  assum'!E46+'Growing cost  assum'!E64+'Growing cost  assum'!E84+'Growing cost  assum'!E102+'Growing cost  assum'!E120+'Growing cost  assum'!E139+'Growing cost  assum'!E157+'Growing cost  assum'!E175+'Growing cost  assum'!E193</f>
        <v>144760.90909090909</v>
      </c>
      <c r="G23" s="409">
        <f>'Growing cost  assum'!F10+'Growing cost  assum'!F28+'Growing cost  assum'!F46+'Growing cost  assum'!F64+'Growing cost  assum'!F84+'Growing cost  assum'!F102+'Growing cost  assum'!F120+'Growing cost  assum'!F139+'Growing cost  assum'!F157+'Growing cost  assum'!F175+'Growing cost  assum'!F193</f>
        <v>144760.90909090909</v>
      </c>
      <c r="H23" s="409">
        <f>'Growing cost  assum'!G10+'Growing cost  assum'!G28+'Growing cost  assum'!G46+'Growing cost  assum'!G64+'Growing cost  assum'!G84+'Growing cost  assum'!G102+'Growing cost  assum'!G120+'Growing cost  assum'!G139+'Growing cost  assum'!G157+'Growing cost  assum'!G175+'Growing cost  assum'!G193</f>
        <v>144760.90909090909</v>
      </c>
      <c r="I23" s="409">
        <f>'Growing cost  assum'!H10+'Growing cost  assum'!H28+'Growing cost  assum'!H46+'Growing cost  assum'!H64+'Growing cost  assum'!H84+'Growing cost  assum'!H102+'Growing cost  assum'!H120+'Growing cost  assum'!H139+'Growing cost  assum'!H157+'Growing cost  assum'!H175+'Growing cost  assum'!H193</f>
        <v>144760.90909090909</v>
      </c>
      <c r="J23" s="409">
        <f>'Growing cost  assum'!I10+'Growing cost  assum'!I28+'Growing cost  assum'!I46+'Growing cost  assum'!I64+'Growing cost  assum'!I84+'Growing cost  assum'!I102+'Growing cost  assum'!I120+'Growing cost  assum'!I139+'Growing cost  assum'!I157+'Growing cost  assum'!I175+'Growing cost  assum'!I193</f>
        <v>144760.90909090909</v>
      </c>
      <c r="K23" s="409">
        <f>'Growing cost  assum'!J10+'Growing cost  assum'!J28+'Growing cost  assum'!J46+'Growing cost  assum'!J64+'Growing cost  assum'!J84+'Growing cost  assum'!J102+'Growing cost  assum'!J120+'Growing cost  assum'!J139+'Growing cost  assum'!J157+'Growing cost  assum'!J175+'Growing cost  assum'!J193</f>
        <v>144760.90909090909</v>
      </c>
      <c r="L23" s="409">
        <f>'Growing cost  assum'!K10+'Growing cost  assum'!K28+'Growing cost  assum'!K46+'Growing cost  assum'!K64+'Growing cost  assum'!K84+'Growing cost  assum'!K102+'Growing cost  assum'!K120+'Growing cost  assum'!K139+'Growing cost  assum'!K157+'Growing cost  assum'!K175+'Growing cost  assum'!K193</f>
        <v>144760.90909090909</v>
      </c>
      <c r="M23" s="409">
        <f>'Growing cost  assum'!L10+'Growing cost  assum'!L28+'Growing cost  assum'!L46+'Growing cost  assum'!L64+'Growing cost  assum'!L84+'Growing cost  assum'!L102+'Growing cost  assum'!L120+'Growing cost  assum'!L139+'Growing cost  assum'!L157+'Growing cost  assum'!L175+'Growing cost  assum'!L193</f>
        <v>144760.90909090909</v>
      </c>
    </row>
    <row r="24" spans="2:13" ht="11.5" customHeight="1" thickBot="1" x14ac:dyDescent="0.2">
      <c r="B24" s="233" t="s">
        <v>565</v>
      </c>
      <c r="C24" s="234"/>
      <c r="D24" s="409">
        <f>'Growing cost  assum'!C11+'Growing cost  assum'!C29+'Growing cost  assum'!C47+'Growing cost  assum'!C65+'Growing cost  assum'!C85+'Growing cost  assum'!C103+'Growing cost  assum'!C121+'Growing cost  assum'!C140+'Growing cost  assum'!C158+'Growing cost  assum'!C176+'Growing cost  assum'!C194</f>
        <v>55142.045454545456</v>
      </c>
      <c r="E24" s="409">
        <f>'Growing cost  assum'!D11+'Growing cost  assum'!D29+'Growing cost  assum'!D47+'Growing cost  assum'!D65+'Growing cost  assum'!D85+'Growing cost  assum'!D103+'Growing cost  assum'!D121+'Growing cost  assum'!D140+'Growing cost  assum'!D158+'Growing cost  assum'!D176+'Growing cost  assum'!D194</f>
        <v>55142.045454545456</v>
      </c>
      <c r="F24" s="409">
        <f>'Growing cost  assum'!E11+'Growing cost  assum'!E29+'Growing cost  assum'!E47+'Growing cost  assum'!E65+'Growing cost  assum'!E85+'Growing cost  assum'!E103+'Growing cost  assum'!E121+'Growing cost  assum'!E140+'Growing cost  assum'!E158+'Growing cost  assum'!E176+'Growing cost  assum'!E194</f>
        <v>55142.045454545456</v>
      </c>
      <c r="G24" s="409">
        <f>'Growing cost  assum'!F11+'Growing cost  assum'!F29+'Growing cost  assum'!F47+'Growing cost  assum'!F65+'Growing cost  assum'!F85+'Growing cost  assum'!F103+'Growing cost  assum'!F121+'Growing cost  assum'!F140+'Growing cost  assum'!F158+'Growing cost  assum'!F176+'Growing cost  assum'!F194</f>
        <v>55142.045454545456</v>
      </c>
      <c r="H24" s="409">
        <f>'Growing cost  assum'!G11+'Growing cost  assum'!G29+'Growing cost  assum'!G47+'Growing cost  assum'!G65+'Growing cost  assum'!G85+'Growing cost  assum'!G103+'Growing cost  assum'!G121+'Growing cost  assum'!G140+'Growing cost  assum'!G158+'Growing cost  assum'!G176+'Growing cost  assum'!G194</f>
        <v>55142.045454545456</v>
      </c>
      <c r="I24" s="409">
        <f>'Growing cost  assum'!H11+'Growing cost  assum'!H29+'Growing cost  assum'!H47+'Growing cost  assum'!H65+'Growing cost  assum'!H85+'Growing cost  assum'!H103+'Growing cost  assum'!H121+'Growing cost  assum'!H140+'Growing cost  assum'!H158+'Growing cost  assum'!H176+'Growing cost  assum'!H194</f>
        <v>55142.045454545456</v>
      </c>
      <c r="J24" s="409">
        <f>'Growing cost  assum'!I11+'Growing cost  assum'!I29+'Growing cost  assum'!I47+'Growing cost  assum'!I65+'Growing cost  assum'!I85+'Growing cost  assum'!I103+'Growing cost  assum'!I121+'Growing cost  assum'!I140+'Growing cost  assum'!I158+'Growing cost  assum'!I176+'Growing cost  assum'!I194</f>
        <v>55142.045454545456</v>
      </c>
      <c r="K24" s="409">
        <f>'Growing cost  assum'!J11+'Growing cost  assum'!J29+'Growing cost  assum'!J47+'Growing cost  assum'!J65+'Growing cost  assum'!J85+'Growing cost  assum'!J103+'Growing cost  assum'!J121+'Growing cost  assum'!J140+'Growing cost  assum'!J158+'Growing cost  assum'!J176+'Growing cost  assum'!J194</f>
        <v>55142.045454545456</v>
      </c>
      <c r="L24" s="409">
        <f>'Growing cost  assum'!K11+'Growing cost  assum'!K29+'Growing cost  assum'!K47+'Growing cost  assum'!K65+'Growing cost  assum'!K85+'Growing cost  assum'!K103+'Growing cost  assum'!K121+'Growing cost  assum'!K140+'Growing cost  assum'!K158+'Growing cost  assum'!K176+'Growing cost  assum'!K194</f>
        <v>55142.045454545456</v>
      </c>
      <c r="M24" s="409">
        <f>'Growing cost  assum'!L11+'Growing cost  assum'!L29+'Growing cost  assum'!L47+'Growing cost  assum'!L65+'Growing cost  assum'!L85+'Growing cost  assum'!L103+'Growing cost  assum'!L121+'Growing cost  assum'!L140+'Growing cost  assum'!L158+'Growing cost  assum'!L176+'Growing cost  assum'!L194</f>
        <v>55142.045454545456</v>
      </c>
    </row>
    <row r="25" spans="2:13" ht="11.5" customHeight="1" thickBot="1" x14ac:dyDescent="0.2">
      <c r="B25" s="234" t="s">
        <v>568</v>
      </c>
      <c r="C25" s="234"/>
      <c r="D25" s="409">
        <f>'Growing cost  assum'!C12+'Growing cost  assum'!C30+'Growing cost  assum'!C48+'Growing cost  assum'!C66+'Growing cost  assum'!C86+'Growing cost  assum'!C104+'Growing cost  assum'!C122+'Growing cost  assum'!C141+'Growing cost  assum'!C159+'Growing cost  assum'!C177+'Growing cost  assum'!C195</f>
        <v>80678.181818181823</v>
      </c>
      <c r="E25" s="409">
        <f>'Growing cost  assum'!D12+'Growing cost  assum'!D30+'Growing cost  assum'!D48+'Growing cost  assum'!D66+'Growing cost  assum'!D86+'Growing cost  assum'!D104+'Growing cost  assum'!D122+'Growing cost  assum'!D141+'Growing cost  assum'!D159+'Growing cost  assum'!D177+'Growing cost  assum'!D195</f>
        <v>80678.181818181823</v>
      </c>
      <c r="F25" s="409">
        <f>'Growing cost  assum'!E12+'Growing cost  assum'!E30+'Growing cost  assum'!E48+'Growing cost  assum'!E66+'Growing cost  assum'!E86+'Growing cost  assum'!E104+'Growing cost  assum'!E122+'Growing cost  assum'!E141+'Growing cost  assum'!E159+'Growing cost  assum'!E177+'Growing cost  assum'!E195</f>
        <v>80678.181818181823</v>
      </c>
      <c r="G25" s="409">
        <f>'Growing cost  assum'!F12+'Growing cost  assum'!F30+'Growing cost  assum'!F48+'Growing cost  assum'!F66+'Growing cost  assum'!F86+'Growing cost  assum'!F104+'Growing cost  assum'!F122+'Growing cost  assum'!F141+'Growing cost  assum'!F159+'Growing cost  assum'!F177+'Growing cost  assum'!F195</f>
        <v>80678.181818181823</v>
      </c>
      <c r="H25" s="409">
        <f>'Growing cost  assum'!G12+'Growing cost  assum'!G30+'Growing cost  assum'!G48+'Growing cost  assum'!G66+'Growing cost  assum'!G86+'Growing cost  assum'!G104+'Growing cost  assum'!G122+'Growing cost  assum'!G141+'Growing cost  assum'!G159+'Growing cost  assum'!G177+'Growing cost  assum'!G195</f>
        <v>80678.181818181823</v>
      </c>
      <c r="I25" s="409">
        <f>'Growing cost  assum'!H12+'Growing cost  assum'!H30+'Growing cost  assum'!H48+'Growing cost  assum'!H66+'Growing cost  assum'!H86+'Growing cost  assum'!H104+'Growing cost  assum'!H122+'Growing cost  assum'!H141+'Growing cost  assum'!H159+'Growing cost  assum'!H177+'Growing cost  assum'!H195</f>
        <v>80678.181818181823</v>
      </c>
      <c r="J25" s="409">
        <f>'Growing cost  assum'!I12+'Growing cost  assum'!I30+'Growing cost  assum'!I48+'Growing cost  assum'!I66+'Growing cost  assum'!I86+'Growing cost  assum'!I104+'Growing cost  assum'!I122+'Growing cost  assum'!I141+'Growing cost  assum'!I159+'Growing cost  assum'!I177+'Growing cost  assum'!I195</f>
        <v>80678.181818181823</v>
      </c>
      <c r="K25" s="409">
        <f>'Growing cost  assum'!J12+'Growing cost  assum'!J30+'Growing cost  assum'!J48+'Growing cost  assum'!J66+'Growing cost  assum'!J86+'Growing cost  assum'!J104+'Growing cost  assum'!J122+'Growing cost  assum'!J141+'Growing cost  assum'!J159+'Growing cost  assum'!J177+'Growing cost  assum'!J195</f>
        <v>80678.181818181823</v>
      </c>
      <c r="L25" s="409">
        <f>'Growing cost  assum'!K12+'Growing cost  assum'!K30+'Growing cost  assum'!K48+'Growing cost  assum'!K66+'Growing cost  assum'!K86+'Growing cost  assum'!K104+'Growing cost  assum'!K122+'Growing cost  assum'!K141+'Growing cost  assum'!K159+'Growing cost  assum'!K177+'Growing cost  assum'!K195</f>
        <v>80678.181818181823</v>
      </c>
      <c r="M25" s="409">
        <f>'Growing cost  assum'!L12+'Growing cost  assum'!L30+'Growing cost  assum'!L48+'Growing cost  assum'!L66+'Growing cost  assum'!L86+'Growing cost  assum'!L104+'Growing cost  assum'!L122+'Growing cost  assum'!L141+'Growing cost  assum'!L159+'Growing cost  assum'!L177+'Growing cost  assum'!L195</f>
        <v>80678.181818181823</v>
      </c>
    </row>
    <row r="26" spans="2:13" ht="11.5" customHeight="1" thickBot="1" x14ac:dyDescent="0.2">
      <c r="B26" s="234" t="s">
        <v>576</v>
      </c>
      <c r="C26" s="234"/>
      <c r="D26" s="409">
        <f>'Growing cost  assum'!C13+'Growing cost  assum'!C31+'Growing cost  assum'!C49+'Growing cost  assum'!C67+'Growing cost  assum'!C87+'Growing cost  assum'!C105+'Growing cost  assum'!C123+'Growing cost  assum'!C142+'Growing cost  assum'!C160+'Growing cost  assum'!C178+'Growing cost  assum'!C196</f>
        <v>47553.181818181823</v>
      </c>
      <c r="E26" s="409">
        <f>'Growing cost  assum'!D13+'Growing cost  assum'!D31+'Growing cost  assum'!D49+'Growing cost  assum'!D67+'Growing cost  assum'!D87+'Growing cost  assum'!D105+'Growing cost  assum'!D123+'Growing cost  assum'!D142+'Growing cost  assum'!D160+'Growing cost  assum'!D178+'Growing cost  assum'!D196</f>
        <v>47553.181818181823</v>
      </c>
      <c r="F26" s="409">
        <f>'Growing cost  assum'!E13+'Growing cost  assum'!E31+'Growing cost  assum'!E49+'Growing cost  assum'!E67+'Growing cost  assum'!E87+'Growing cost  assum'!E105+'Growing cost  assum'!E123+'Growing cost  assum'!E142+'Growing cost  assum'!E160+'Growing cost  assum'!E178+'Growing cost  assum'!E196</f>
        <v>47553.181818181823</v>
      </c>
      <c r="G26" s="409">
        <f>'Growing cost  assum'!F13+'Growing cost  assum'!F31+'Growing cost  assum'!F49+'Growing cost  assum'!F67+'Growing cost  assum'!F87+'Growing cost  assum'!F105+'Growing cost  assum'!F123+'Growing cost  assum'!F142+'Growing cost  assum'!F160+'Growing cost  assum'!F178+'Growing cost  assum'!F196</f>
        <v>47553.181818181823</v>
      </c>
      <c r="H26" s="409">
        <f>'Growing cost  assum'!G13+'Growing cost  assum'!G31+'Growing cost  assum'!G49+'Growing cost  assum'!G67+'Growing cost  assum'!G87+'Growing cost  assum'!G105+'Growing cost  assum'!G123+'Growing cost  assum'!G142+'Growing cost  assum'!G160+'Growing cost  assum'!G178+'Growing cost  assum'!G196</f>
        <v>47553.181818181823</v>
      </c>
      <c r="I26" s="409">
        <f>'Growing cost  assum'!H13+'Growing cost  assum'!H31+'Growing cost  assum'!H49+'Growing cost  assum'!H67+'Growing cost  assum'!H87+'Growing cost  assum'!H105+'Growing cost  assum'!H123+'Growing cost  assum'!H142+'Growing cost  assum'!H160+'Growing cost  assum'!H178+'Growing cost  assum'!H196</f>
        <v>47553.181818181823</v>
      </c>
      <c r="J26" s="409">
        <f>'Growing cost  assum'!I13+'Growing cost  assum'!I31+'Growing cost  assum'!I49+'Growing cost  assum'!I67+'Growing cost  assum'!I87+'Growing cost  assum'!I105+'Growing cost  assum'!I123+'Growing cost  assum'!I142+'Growing cost  assum'!I160+'Growing cost  assum'!I178+'Growing cost  assum'!I196</f>
        <v>47553.181818181823</v>
      </c>
      <c r="K26" s="409">
        <f>'Growing cost  assum'!J13+'Growing cost  assum'!J31+'Growing cost  assum'!J49+'Growing cost  assum'!J67+'Growing cost  assum'!J87+'Growing cost  assum'!J105+'Growing cost  assum'!J123+'Growing cost  assum'!J142+'Growing cost  assum'!J160+'Growing cost  assum'!J178+'Growing cost  assum'!J196</f>
        <v>47553.181818181823</v>
      </c>
      <c r="L26" s="409">
        <f>'Growing cost  assum'!K13+'Growing cost  assum'!K31+'Growing cost  assum'!K49+'Growing cost  assum'!K67+'Growing cost  assum'!K87+'Growing cost  assum'!K105+'Growing cost  assum'!K123+'Growing cost  assum'!K142+'Growing cost  assum'!K160+'Growing cost  assum'!K178+'Growing cost  assum'!K196</f>
        <v>47553.181818181823</v>
      </c>
      <c r="M26" s="409">
        <f>'Growing cost  assum'!L13+'Growing cost  assum'!L31+'Growing cost  assum'!L49+'Growing cost  assum'!L67+'Growing cost  assum'!L87+'Growing cost  assum'!L105+'Growing cost  assum'!L123+'Growing cost  assum'!L142+'Growing cost  assum'!L160+'Growing cost  assum'!L178+'Growing cost  assum'!L196</f>
        <v>47553.181818181823</v>
      </c>
    </row>
    <row r="27" spans="2:13" ht="11.5" customHeight="1" thickBot="1" x14ac:dyDescent="0.2">
      <c r="B27" s="234" t="s">
        <v>569</v>
      </c>
      <c r="C27" s="234"/>
      <c r="D27" s="409">
        <f>'Growing cost  assum'!C14+'Growing cost  assum'!C32+'Growing cost  assum'!C50+'Growing cost  assum'!C68+'Growing cost  assum'!C88+'Growing cost  assum'!C106+'Growing cost  assum'!C124+'Growing cost  assum'!C143+'Growing cost  assum'!C161+'Growing cost  assum'!C179+'Growing cost  assum'!C197</f>
        <v>145291.36363636365</v>
      </c>
      <c r="E27" s="409">
        <f>'Growing cost  assum'!D14+'Growing cost  assum'!D32+'Growing cost  assum'!D50+'Growing cost  assum'!D68+'Growing cost  assum'!D88+'Growing cost  assum'!D106+'Growing cost  assum'!D124+'Growing cost  assum'!D143+'Growing cost  assum'!D161+'Growing cost  assum'!D179+'Growing cost  assum'!D197</f>
        <v>145291.36363636365</v>
      </c>
      <c r="F27" s="409">
        <f>'Growing cost  assum'!E14+'Growing cost  assum'!E32+'Growing cost  assum'!E50+'Growing cost  assum'!E68+'Growing cost  assum'!E88+'Growing cost  assum'!E106+'Growing cost  assum'!E124+'Growing cost  assum'!E143+'Growing cost  assum'!E161+'Growing cost  assum'!E179+'Growing cost  assum'!E197</f>
        <v>145291.36363636365</v>
      </c>
      <c r="G27" s="409">
        <f>'Growing cost  assum'!F14+'Growing cost  assum'!F32+'Growing cost  assum'!F50+'Growing cost  assum'!F68+'Growing cost  assum'!F88+'Growing cost  assum'!F106+'Growing cost  assum'!F124+'Growing cost  assum'!F143+'Growing cost  assum'!F161+'Growing cost  assum'!F179+'Growing cost  assum'!F197</f>
        <v>145291.36363636365</v>
      </c>
      <c r="H27" s="409">
        <f>'Growing cost  assum'!G14+'Growing cost  assum'!G32+'Growing cost  assum'!G50+'Growing cost  assum'!G68+'Growing cost  assum'!G88+'Growing cost  assum'!G106+'Growing cost  assum'!G124+'Growing cost  assum'!G143+'Growing cost  assum'!G161+'Growing cost  assum'!G179+'Growing cost  assum'!G197</f>
        <v>145291.36363636365</v>
      </c>
      <c r="I27" s="409">
        <f>'Growing cost  assum'!H14+'Growing cost  assum'!H32+'Growing cost  assum'!H50+'Growing cost  assum'!H68+'Growing cost  assum'!H88+'Growing cost  assum'!H106+'Growing cost  assum'!H124+'Growing cost  assum'!H143+'Growing cost  assum'!H161+'Growing cost  assum'!H179+'Growing cost  assum'!H197</f>
        <v>145291.36363636365</v>
      </c>
      <c r="J27" s="409">
        <f>'Growing cost  assum'!I14+'Growing cost  assum'!I32+'Growing cost  assum'!I50+'Growing cost  assum'!I68+'Growing cost  assum'!I88+'Growing cost  assum'!I106+'Growing cost  assum'!I124+'Growing cost  assum'!I143+'Growing cost  assum'!I161+'Growing cost  assum'!I179+'Growing cost  assum'!I197</f>
        <v>145291.36363636365</v>
      </c>
      <c r="K27" s="409">
        <f>'Growing cost  assum'!J14+'Growing cost  assum'!J32+'Growing cost  assum'!J50+'Growing cost  assum'!J68+'Growing cost  assum'!J88+'Growing cost  assum'!J106+'Growing cost  assum'!J124+'Growing cost  assum'!J143+'Growing cost  assum'!J161+'Growing cost  assum'!J179+'Growing cost  assum'!J197</f>
        <v>145291.36363636365</v>
      </c>
      <c r="L27" s="409">
        <f>'Growing cost  assum'!K14+'Growing cost  assum'!K32+'Growing cost  assum'!K50+'Growing cost  assum'!K68+'Growing cost  assum'!K88+'Growing cost  assum'!K106+'Growing cost  assum'!K124+'Growing cost  assum'!K143+'Growing cost  assum'!K161+'Growing cost  assum'!K179+'Growing cost  assum'!K197</f>
        <v>145291.36363636365</v>
      </c>
      <c r="M27" s="409">
        <f>'Growing cost  assum'!L14+'Growing cost  assum'!L32+'Growing cost  assum'!L50+'Growing cost  assum'!L68+'Growing cost  assum'!L88+'Growing cost  assum'!L106+'Growing cost  assum'!L124+'Growing cost  assum'!L143+'Growing cost  assum'!L161+'Growing cost  assum'!L179+'Growing cost  assum'!L197</f>
        <v>145291.36363636365</v>
      </c>
    </row>
    <row r="28" spans="2:13" ht="11.5" customHeight="1" thickBot="1" x14ac:dyDescent="0.2">
      <c r="B28" s="234"/>
      <c r="C28" s="234"/>
      <c r="D28" s="409"/>
      <c r="E28" s="409"/>
      <c r="F28" s="409"/>
      <c r="G28" s="409"/>
      <c r="H28" s="409"/>
      <c r="I28" s="409"/>
      <c r="J28" s="409"/>
      <c r="K28" s="409"/>
      <c r="L28" s="409"/>
      <c r="M28" s="409"/>
    </row>
    <row r="29" spans="2:13" ht="11.5" customHeight="1" thickBot="1" x14ac:dyDescent="0.2">
      <c r="B29" s="235" t="s">
        <v>611</v>
      </c>
      <c r="C29" s="235"/>
      <c r="D29" s="411">
        <f>SUM(D19:D27)</f>
        <v>706911.74545454548</v>
      </c>
      <c r="E29" s="411">
        <f t="shared" ref="E29:M29" si="1">SUM(E19:E27)</f>
        <v>706911.74545454548</v>
      </c>
      <c r="F29" s="411">
        <f t="shared" si="1"/>
        <v>706911.74545454548</v>
      </c>
      <c r="G29" s="411">
        <f t="shared" si="1"/>
        <v>706911.74545454548</v>
      </c>
      <c r="H29" s="411">
        <f t="shared" si="1"/>
        <v>706911.74545454548</v>
      </c>
      <c r="I29" s="411">
        <f t="shared" si="1"/>
        <v>706911.74545454548</v>
      </c>
      <c r="J29" s="411">
        <f t="shared" si="1"/>
        <v>706911.74545454548</v>
      </c>
      <c r="K29" s="411">
        <f t="shared" si="1"/>
        <v>706911.74545454548</v>
      </c>
      <c r="L29" s="411">
        <f t="shared" si="1"/>
        <v>706911.74545454548</v>
      </c>
      <c r="M29" s="411">
        <f t="shared" si="1"/>
        <v>706911.74545454548</v>
      </c>
    </row>
    <row r="30" spans="2:13" ht="11.5" customHeight="1" thickBot="1" x14ac:dyDescent="0.2">
      <c r="B30" s="234"/>
      <c r="C30" s="234"/>
      <c r="D30" s="409"/>
      <c r="E30" s="409"/>
      <c r="F30" s="409"/>
      <c r="G30" s="409"/>
      <c r="H30" s="409"/>
      <c r="I30" s="409"/>
      <c r="J30" s="409"/>
      <c r="K30" s="409"/>
      <c r="L30" s="409"/>
      <c r="M30" s="409"/>
    </row>
    <row r="31" spans="2:13" ht="11.5" customHeight="1" thickBot="1" x14ac:dyDescent="0.2">
      <c r="B31" s="235" t="s">
        <v>458</v>
      </c>
      <c r="C31" s="234"/>
      <c r="D31" s="409"/>
      <c r="E31" s="409"/>
      <c r="F31" s="409"/>
      <c r="G31" s="409"/>
      <c r="H31" s="409"/>
      <c r="I31" s="409"/>
      <c r="J31" s="409"/>
      <c r="K31" s="409"/>
      <c r="L31" s="409"/>
      <c r="M31" s="409"/>
    </row>
    <row r="32" spans="2:13" ht="11.5" customHeight="1" thickBot="1" x14ac:dyDescent="0.2">
      <c r="B32" s="234" t="s">
        <v>610</v>
      </c>
      <c r="C32" s="234"/>
      <c r="D32" s="409">
        <f>'Fin Assumptions'!D53</f>
        <v>578865</v>
      </c>
      <c r="E32" s="409">
        <f>D32*1.05</f>
        <v>607808.25</v>
      </c>
      <c r="F32" s="409">
        <f t="shared" ref="F32:M32" si="2">E32*1.05</f>
        <v>638198.66249999998</v>
      </c>
      <c r="G32" s="409">
        <f t="shared" si="2"/>
        <v>670108.59562499996</v>
      </c>
      <c r="H32" s="409">
        <f t="shared" si="2"/>
        <v>703614.02540625003</v>
      </c>
      <c r="I32" s="409">
        <f t="shared" si="2"/>
        <v>738794.72667656257</v>
      </c>
      <c r="J32" s="409">
        <f t="shared" si="2"/>
        <v>775734.46301039075</v>
      </c>
      <c r="K32" s="409">
        <f t="shared" si="2"/>
        <v>814521.18616091029</v>
      </c>
      <c r="L32" s="409">
        <f t="shared" si="2"/>
        <v>855247.24546895584</v>
      </c>
      <c r="M32" s="409">
        <f t="shared" si="2"/>
        <v>898009.60774240363</v>
      </c>
    </row>
    <row r="33" spans="1:16" ht="11.5" customHeight="1" thickBot="1" x14ac:dyDescent="0.2">
      <c r="B33" s="234" t="s">
        <v>609</v>
      </c>
      <c r="C33" s="234"/>
      <c r="D33" s="409">
        <f>2%*'Project Cost'!$D$21</f>
        <v>159182.87318181814</v>
      </c>
      <c r="E33" s="409">
        <f>2%*'Project Cost'!$D$21</f>
        <v>159182.87318181814</v>
      </c>
      <c r="F33" s="409">
        <f>2%*'Project Cost'!$D$21</f>
        <v>159182.87318181814</v>
      </c>
      <c r="G33" s="409">
        <f>3%*'Project Cost'!$D$21</f>
        <v>238774.3097727272</v>
      </c>
      <c r="H33" s="409">
        <f>3%*'Project Cost'!$D$21</f>
        <v>238774.3097727272</v>
      </c>
      <c r="I33" s="409">
        <f>3%*'Project Cost'!$D$21</f>
        <v>238774.3097727272</v>
      </c>
      <c r="J33" s="409">
        <f>4%*'Project Cost'!$D$21</f>
        <v>318365.74636363628</v>
      </c>
      <c r="K33" s="409">
        <f>4%*'Project Cost'!$D$21</f>
        <v>318365.74636363628</v>
      </c>
      <c r="L33" s="409">
        <f>4%*'Project Cost'!$D$21</f>
        <v>318365.74636363628</v>
      </c>
      <c r="M33" s="409">
        <f>4%*'Project Cost'!$D$21</f>
        <v>318365.74636363628</v>
      </c>
    </row>
    <row r="34" spans="1:16" ht="11.5" customHeight="1" thickBot="1" x14ac:dyDescent="0.2">
      <c r="B34" s="234" t="s">
        <v>673</v>
      </c>
      <c r="C34" s="234"/>
      <c r="D34" s="409">
        <v>0</v>
      </c>
      <c r="E34" s="409">
        <f>300000</f>
        <v>300000</v>
      </c>
      <c r="F34" s="409">
        <f>E34+25000</f>
        <v>325000</v>
      </c>
      <c r="G34" s="409">
        <f t="shared" ref="G34:M34" si="3">F34+25000</f>
        <v>350000</v>
      </c>
      <c r="H34" s="409">
        <f t="shared" si="3"/>
        <v>375000</v>
      </c>
      <c r="I34" s="409">
        <f t="shared" si="3"/>
        <v>400000</v>
      </c>
      <c r="J34" s="409">
        <f t="shared" si="3"/>
        <v>425000</v>
      </c>
      <c r="K34" s="409">
        <f t="shared" si="3"/>
        <v>450000</v>
      </c>
      <c r="L34" s="409">
        <f t="shared" si="3"/>
        <v>475000</v>
      </c>
      <c r="M34" s="409">
        <f t="shared" si="3"/>
        <v>500000</v>
      </c>
    </row>
    <row r="35" spans="1:16" ht="11.5" customHeight="1" thickBot="1" x14ac:dyDescent="0.2">
      <c r="B35" s="234" t="s">
        <v>641</v>
      </c>
      <c r="C35" s="234"/>
      <c r="D35" s="409">
        <v>25000</v>
      </c>
      <c r="E35" s="409">
        <f>D35*1.05</f>
        <v>26250</v>
      </c>
      <c r="F35" s="409">
        <f t="shared" ref="F35:M35" si="4">E35*1.05</f>
        <v>27562.5</v>
      </c>
      <c r="G35" s="409">
        <f t="shared" si="4"/>
        <v>28940.625</v>
      </c>
      <c r="H35" s="409">
        <f t="shared" si="4"/>
        <v>30387.65625</v>
      </c>
      <c r="I35" s="409">
        <f t="shared" si="4"/>
        <v>31907.0390625</v>
      </c>
      <c r="J35" s="409">
        <f t="shared" si="4"/>
        <v>33502.391015624999</v>
      </c>
      <c r="K35" s="409">
        <f t="shared" si="4"/>
        <v>35177.51056640625</v>
      </c>
      <c r="L35" s="409">
        <f t="shared" si="4"/>
        <v>36936.386094726564</v>
      </c>
      <c r="M35" s="409">
        <f t="shared" si="4"/>
        <v>38783.205399462895</v>
      </c>
    </row>
    <row r="36" spans="1:16" ht="11.5" customHeight="1" thickBot="1" x14ac:dyDescent="0.2">
      <c r="B36" s="234" t="s">
        <v>77</v>
      </c>
      <c r="C36" s="234"/>
      <c r="D36" s="409">
        <f>Dep.!C42*1%</f>
        <v>52176.491184659077</v>
      </c>
      <c r="E36" s="409">
        <f>Dep.!D42*1%</f>
        <v>44540.017506960219</v>
      </c>
      <c r="F36" s="409">
        <f>Dep.!E42*1%</f>
        <v>38039.514880916184</v>
      </c>
      <c r="G36" s="409">
        <f>Dep.!F42*1%</f>
        <v>32505.062648778759</v>
      </c>
      <c r="H36" s="409">
        <f>Dep.!G42*1%</f>
        <v>27792.204501461947</v>
      </c>
      <c r="I36" s="409">
        <f>Dep.!H42*1%</f>
        <v>23778.130013742651</v>
      </c>
      <c r="J36" s="409">
        <f>Dep.!I42*1%</f>
        <v>20358.428889806255</v>
      </c>
      <c r="K36" s="409">
        <f>Dep.!J42*1%</f>
        <v>17444.332015554068</v>
      </c>
      <c r="L36" s="409">
        <f>Dep.!K42*1%</f>
        <v>14960.366299478766</v>
      </c>
      <c r="M36" s="409">
        <f>Dep.!L42*1%</f>
        <v>12842.361236501874</v>
      </c>
    </row>
    <row r="37" spans="1:16" ht="11.5" customHeight="1" thickBot="1" x14ac:dyDescent="0.2">
      <c r="B37" s="234"/>
      <c r="C37" s="234"/>
      <c r="D37" s="409"/>
      <c r="E37" s="409"/>
      <c r="F37" s="409"/>
      <c r="G37" s="409"/>
      <c r="H37" s="409"/>
      <c r="I37" s="409"/>
      <c r="J37" s="409"/>
      <c r="K37" s="409"/>
      <c r="L37" s="409"/>
      <c r="M37" s="409"/>
    </row>
    <row r="38" spans="1:16" ht="11.5" customHeight="1" thickBot="1" x14ac:dyDescent="0.2">
      <c r="B38" s="235" t="s">
        <v>620</v>
      </c>
      <c r="C38" s="234"/>
      <c r="D38" s="411">
        <f>SUM(D32:D36)</f>
        <v>815224.36436647724</v>
      </c>
      <c r="E38" s="411">
        <f t="shared" ref="E38:M38" si="5">SUM(E32:E36)</f>
        <v>1137781.1406887784</v>
      </c>
      <c r="F38" s="411">
        <f t="shared" si="5"/>
        <v>1187983.5505627342</v>
      </c>
      <c r="G38" s="411">
        <f t="shared" si="5"/>
        <v>1320328.5930465059</v>
      </c>
      <c r="H38" s="411">
        <f t="shared" si="5"/>
        <v>1375568.1959304393</v>
      </c>
      <c r="I38" s="411">
        <f t="shared" si="5"/>
        <v>1433254.2055255326</v>
      </c>
      <c r="J38" s="411">
        <f t="shared" si="5"/>
        <v>1572961.0292794583</v>
      </c>
      <c r="K38" s="411">
        <f t="shared" si="5"/>
        <v>1635508.7751065067</v>
      </c>
      <c r="L38" s="411">
        <f t="shared" si="5"/>
        <v>1700509.7442267975</v>
      </c>
      <c r="M38" s="411">
        <f t="shared" si="5"/>
        <v>1768000.9207420049</v>
      </c>
    </row>
    <row r="39" spans="1:16" ht="11.5" customHeight="1" thickBot="1" x14ac:dyDescent="0.2">
      <c r="B39" s="234"/>
      <c r="C39" s="234"/>
      <c r="D39" s="409"/>
      <c r="E39" s="409"/>
      <c r="F39" s="409"/>
      <c r="G39" s="409"/>
      <c r="H39" s="409"/>
      <c r="I39" s="409"/>
      <c r="J39" s="409"/>
      <c r="K39" s="409"/>
      <c r="L39" s="409"/>
      <c r="M39" s="409"/>
    </row>
    <row r="40" spans="1:16" ht="11.5" customHeight="1" thickBot="1" x14ac:dyDescent="0.2">
      <c r="B40" s="235" t="s">
        <v>78</v>
      </c>
      <c r="C40" s="234"/>
      <c r="D40" s="411">
        <f>D38+D29</f>
        <v>1522136.1098210227</v>
      </c>
      <c r="E40" s="411">
        <f t="shared" ref="E40:M40" si="6">E38+E29</f>
        <v>1844692.886143324</v>
      </c>
      <c r="F40" s="411">
        <f t="shared" si="6"/>
        <v>1894895.2960172798</v>
      </c>
      <c r="G40" s="411">
        <f t="shared" si="6"/>
        <v>2027240.3385010515</v>
      </c>
      <c r="H40" s="411">
        <f t="shared" si="6"/>
        <v>2082479.9413849846</v>
      </c>
      <c r="I40" s="411">
        <f t="shared" si="6"/>
        <v>2140165.950980078</v>
      </c>
      <c r="J40" s="411">
        <f t="shared" si="6"/>
        <v>2279872.7747340039</v>
      </c>
      <c r="K40" s="411">
        <f t="shared" si="6"/>
        <v>2342420.520561052</v>
      </c>
      <c r="L40" s="411">
        <f t="shared" si="6"/>
        <v>2407421.4896813431</v>
      </c>
      <c r="M40" s="411">
        <f t="shared" si="6"/>
        <v>2474912.6661965502</v>
      </c>
    </row>
    <row r="41" spans="1:16" ht="11.5" customHeight="1" thickBot="1" x14ac:dyDescent="0.2">
      <c r="B41" s="235"/>
      <c r="C41" s="234"/>
      <c r="D41" s="411"/>
      <c r="E41" s="411"/>
      <c r="F41" s="411"/>
      <c r="G41" s="411"/>
      <c r="H41" s="411"/>
      <c r="I41" s="411"/>
      <c r="J41" s="411"/>
      <c r="K41" s="411"/>
      <c r="L41" s="411"/>
      <c r="M41" s="416"/>
    </row>
    <row r="42" spans="1:16" ht="11.5" customHeight="1" thickBot="1" x14ac:dyDescent="0.2">
      <c r="A42" s="237"/>
      <c r="B42" s="235" t="s">
        <v>79</v>
      </c>
      <c r="C42" s="234"/>
      <c r="D42" s="411">
        <f>D16-D40</f>
        <v>2228356.0113910986</v>
      </c>
      <c r="E42" s="411">
        <f t="shared" ref="E42:M42" si="7">E16-E40</f>
        <v>2358390.2653718274</v>
      </c>
      <c r="F42" s="411">
        <f t="shared" si="7"/>
        <v>2761854.3524675686</v>
      </c>
      <c r="G42" s="411">
        <f t="shared" si="7"/>
        <v>3080338.8202868267</v>
      </c>
      <c r="H42" s="411">
        <f t="shared" si="7"/>
        <v>3448444.4060089546</v>
      </c>
      <c r="I42" s="411">
        <f t="shared" si="7"/>
        <v>3744733.3964138613</v>
      </c>
      <c r="J42" s="411">
        <f t="shared" si="7"/>
        <v>3605026.5726599353</v>
      </c>
      <c r="K42" s="411">
        <f t="shared" si="7"/>
        <v>3542478.8268328873</v>
      </c>
      <c r="L42" s="411">
        <f t="shared" si="7"/>
        <v>3477477.8577125962</v>
      </c>
      <c r="M42" s="411">
        <f t="shared" si="7"/>
        <v>3409986.681197389</v>
      </c>
    </row>
    <row r="43" spans="1:16" ht="11.5" customHeight="1" thickBot="1" x14ac:dyDescent="0.2">
      <c r="B43" s="234" t="s">
        <v>80</v>
      </c>
      <c r="C43" s="234"/>
      <c r="D43" s="409">
        <f>Debt!D49</f>
        <v>334284.03368181811</v>
      </c>
      <c r="E43" s="409">
        <f>Debt!E49</f>
        <v>334284.03368181811</v>
      </c>
      <c r="F43" s="409">
        <f>Debt!F49</f>
        <v>318614.46960298286</v>
      </c>
      <c r="G43" s="409">
        <f>Debt!G49</f>
        <v>276828.96539275558</v>
      </c>
      <c r="H43" s="409">
        <f>Debt!H49</f>
        <v>235043.46118252832</v>
      </c>
      <c r="I43" s="409">
        <f>Debt!I49</f>
        <v>193257.95697230104</v>
      </c>
      <c r="J43" s="409">
        <f>Debt!J49</f>
        <v>151472.45276207375</v>
      </c>
      <c r="K43" s="409">
        <f>Debt!K49</f>
        <v>109686.94855184649</v>
      </c>
      <c r="L43" s="409">
        <f>Debt!L49</f>
        <v>67901.444341619208</v>
      </c>
      <c r="M43" s="409">
        <f>Debt!M49</f>
        <v>26115.940131391941</v>
      </c>
    </row>
    <row r="44" spans="1:16" ht="11.5" customHeight="1" thickBot="1" x14ac:dyDescent="0.2">
      <c r="B44" s="234" t="s">
        <v>81</v>
      </c>
      <c r="C44" s="234"/>
      <c r="D44" s="409">
        <f>Debt!D71</f>
        <v>10001.312323232323</v>
      </c>
      <c r="E44" s="409">
        <f>Debt!E71</f>
        <v>22416.443474747477</v>
      </c>
      <c r="F44" s="409">
        <f>Debt!F71</f>
        <v>24835.998125252529</v>
      </c>
      <c r="G44" s="409">
        <f>Debt!G71</f>
        <v>27240.422180202015</v>
      </c>
      <c r="H44" s="409">
        <f>Debt!H71</f>
        <v>29498.263186101005</v>
      </c>
      <c r="I44" s="409">
        <f>Debt!I71</f>
        <v>31386.129852767677</v>
      </c>
      <c r="J44" s="409">
        <f>Debt!J71</f>
        <v>31386.129852767677</v>
      </c>
      <c r="K44" s="409">
        <f>Debt!K71</f>
        <v>31386.129852767677</v>
      </c>
      <c r="L44" s="409">
        <f>Debt!L71</f>
        <v>31386.129852767677</v>
      </c>
      <c r="M44" s="409">
        <f>Debt!M71</f>
        <v>31386.129852767677</v>
      </c>
    </row>
    <row r="45" spans="1:16" ht="11.5" customHeight="1" thickBot="1" x14ac:dyDescent="0.2">
      <c r="B45" s="234" t="s">
        <v>39</v>
      </c>
      <c r="C45" s="234"/>
      <c r="D45" s="409">
        <f>Dep.!C20</f>
        <v>471469.82981982949</v>
      </c>
      <c r="E45" s="409">
        <f>Dep.!D20</f>
        <v>471469.82981982949</v>
      </c>
      <c r="F45" s="409">
        <f>Dep.!E20</f>
        <v>471469.82981982949</v>
      </c>
      <c r="G45" s="409">
        <f>Dep.!F20</f>
        <v>471469.82981982949</v>
      </c>
      <c r="H45" s="409">
        <f>Dep.!G20</f>
        <v>471469.82981982949</v>
      </c>
      <c r="I45" s="409">
        <f>Dep.!H20</f>
        <v>471469.82981982949</v>
      </c>
      <c r="J45" s="409">
        <f>Dep.!I20</f>
        <v>471469.82981982949</v>
      </c>
      <c r="K45" s="409">
        <f>Dep.!J20</f>
        <v>471469.82981982949</v>
      </c>
      <c r="L45" s="409">
        <f>Dep.!K20</f>
        <v>471469.82981982949</v>
      </c>
      <c r="M45" s="409">
        <f>Dep.!L20</f>
        <v>471469.82981982949</v>
      </c>
      <c r="N45" s="202"/>
      <c r="O45" s="202"/>
      <c r="P45" s="202"/>
    </row>
    <row r="46" spans="1:16" ht="11.5" customHeight="1" thickBot="1" x14ac:dyDescent="0.2">
      <c r="B46" s="235" t="s">
        <v>82</v>
      </c>
      <c r="C46" s="234"/>
      <c r="D46" s="411">
        <f t="shared" ref="D46:M46" si="8">D42-SUM(D43:D45)</f>
        <v>1412600.8355662187</v>
      </c>
      <c r="E46" s="411">
        <f t="shared" si="8"/>
        <v>1530219.9583954322</v>
      </c>
      <c r="F46" s="411">
        <f t="shared" si="8"/>
        <v>1946934.0549195036</v>
      </c>
      <c r="G46" s="411">
        <f t="shared" si="8"/>
        <v>2304799.6028940398</v>
      </c>
      <c r="H46" s="411">
        <f t="shared" si="8"/>
        <v>2712432.8518204959</v>
      </c>
      <c r="I46" s="411">
        <f t="shared" si="8"/>
        <v>3048619.4797689631</v>
      </c>
      <c r="J46" s="411">
        <f t="shared" si="8"/>
        <v>2950698.1602252643</v>
      </c>
      <c r="K46" s="411">
        <f t="shared" si="8"/>
        <v>2929935.9186084438</v>
      </c>
      <c r="L46" s="411">
        <f t="shared" si="8"/>
        <v>2906720.4536983799</v>
      </c>
      <c r="M46" s="411">
        <f t="shared" si="8"/>
        <v>2881014.7813933999</v>
      </c>
    </row>
    <row r="47" spans="1:16" ht="11.5" customHeight="1" thickBot="1" x14ac:dyDescent="0.2">
      <c r="B47" s="234" t="s">
        <v>83</v>
      </c>
      <c r="C47" s="234"/>
      <c r="D47" s="409">
        <f t="shared" ref="D47:M47" si="9">D58</f>
        <v>49341.924746575147</v>
      </c>
      <c r="E47" s="409">
        <f t="shared" si="9"/>
        <v>61902.121022268773</v>
      </c>
      <c r="F47" s="409">
        <f t="shared" si="9"/>
        <v>88417.681106746502</v>
      </c>
      <c r="G47" s="409">
        <f t="shared" si="9"/>
        <v>111141.21047500633</v>
      </c>
      <c r="H47" s="409">
        <f t="shared" si="9"/>
        <v>135630.84334543222</v>
      </c>
      <c r="I47" s="409">
        <f t="shared" si="9"/>
        <v>155934.09304084317</v>
      </c>
      <c r="J47" s="409">
        <f t="shared" si="9"/>
        <v>154009.89388257271</v>
      </c>
      <c r="K47" s="409">
        <f t="shared" si="9"/>
        <v>155499.80305015272</v>
      </c>
      <c r="L47" s="409">
        <f t="shared" si="9"/>
        <v>156489.68559553401</v>
      </c>
      <c r="M47" s="409">
        <f t="shared" si="9"/>
        <v>157034.205245777</v>
      </c>
    </row>
    <row r="48" spans="1:16" ht="11.5" customHeight="1" thickBot="1" x14ac:dyDescent="0.2">
      <c r="B48" s="235" t="s">
        <v>84</v>
      </c>
      <c r="C48" s="235"/>
      <c r="D48" s="411">
        <f t="shared" ref="D48:M48" si="10">D46-D47</f>
        <v>1363258.9108196436</v>
      </c>
      <c r="E48" s="411">
        <f t="shared" si="10"/>
        <v>1468317.8373731636</v>
      </c>
      <c r="F48" s="411">
        <f t="shared" si="10"/>
        <v>1858516.3738127572</v>
      </c>
      <c r="G48" s="411">
        <f t="shared" si="10"/>
        <v>2193658.3924190337</v>
      </c>
      <c r="H48" s="411">
        <f t="shared" si="10"/>
        <v>2576802.0084750638</v>
      </c>
      <c r="I48" s="411">
        <f t="shared" si="10"/>
        <v>2892685.38672812</v>
      </c>
      <c r="J48" s="411">
        <f t="shared" si="10"/>
        <v>2796688.2663426916</v>
      </c>
      <c r="K48" s="411">
        <f t="shared" si="10"/>
        <v>2774436.1155582909</v>
      </c>
      <c r="L48" s="411">
        <f t="shared" si="10"/>
        <v>2750230.7681028461</v>
      </c>
      <c r="M48" s="411">
        <f t="shared" si="10"/>
        <v>2723980.5761476229</v>
      </c>
    </row>
    <row r="49" spans="2:13" ht="11.5" customHeight="1" thickBot="1" x14ac:dyDescent="0.2">
      <c r="B49" s="238"/>
      <c r="C49" s="238"/>
      <c r="D49" s="238"/>
      <c r="E49" s="238"/>
      <c r="F49" s="238"/>
      <c r="G49" s="238"/>
      <c r="H49" s="238"/>
      <c r="I49" s="238"/>
      <c r="J49" s="238"/>
      <c r="K49" s="238"/>
      <c r="L49" s="238"/>
    </row>
    <row r="50" spans="2:13" ht="11.5" customHeight="1" thickBot="1" x14ac:dyDescent="0.2">
      <c r="B50" s="239" t="s">
        <v>85</v>
      </c>
      <c r="C50" s="239"/>
      <c r="D50" s="413">
        <f t="shared" ref="D50:M50" si="11">D48+D45</f>
        <v>1834728.7406394731</v>
      </c>
      <c r="E50" s="413">
        <f t="shared" si="11"/>
        <v>1939787.667192993</v>
      </c>
      <c r="F50" s="413">
        <f t="shared" si="11"/>
        <v>2329986.2036325866</v>
      </c>
      <c r="G50" s="413">
        <f t="shared" si="11"/>
        <v>2665128.2222388634</v>
      </c>
      <c r="H50" s="413">
        <f t="shared" si="11"/>
        <v>3048271.8382948935</v>
      </c>
      <c r="I50" s="413">
        <f t="shared" si="11"/>
        <v>3364155.2165479497</v>
      </c>
      <c r="J50" s="413">
        <f t="shared" si="11"/>
        <v>3268158.0961625213</v>
      </c>
      <c r="K50" s="413">
        <f t="shared" si="11"/>
        <v>3245905.9453781205</v>
      </c>
      <c r="L50" s="413">
        <f t="shared" si="11"/>
        <v>3221700.5979226758</v>
      </c>
      <c r="M50" s="413">
        <f t="shared" si="11"/>
        <v>3195450.4059674526</v>
      </c>
    </row>
    <row r="51" spans="2:13" ht="11.5" customHeight="1" x14ac:dyDescent="0.15">
      <c r="B51" s="240"/>
      <c r="C51" s="241"/>
      <c r="D51" s="242"/>
      <c r="E51" s="242"/>
      <c r="F51" s="242"/>
      <c r="G51" s="242"/>
      <c r="H51" s="242"/>
      <c r="I51" s="242"/>
      <c r="J51" s="242"/>
      <c r="K51" s="242"/>
      <c r="L51" s="242"/>
    </row>
    <row r="52" spans="2:13" ht="11.5" customHeight="1" thickBot="1" x14ac:dyDescent="0.2">
      <c r="B52" s="243"/>
      <c r="C52" s="243"/>
      <c r="D52" s="243"/>
      <c r="E52" s="243"/>
      <c r="F52" s="243"/>
      <c r="G52" s="243"/>
      <c r="H52" s="243"/>
      <c r="I52" s="243"/>
      <c r="J52" s="243"/>
      <c r="K52" s="243"/>
      <c r="L52" s="243"/>
    </row>
    <row r="53" spans="2:13" ht="11.5" customHeight="1" thickBot="1" x14ac:dyDescent="0.2">
      <c r="B53" s="244" t="s">
        <v>86</v>
      </c>
      <c r="C53" s="245"/>
      <c r="D53" s="245"/>
      <c r="E53" s="245"/>
      <c r="F53" s="245"/>
      <c r="G53" s="245"/>
      <c r="H53" s="245"/>
      <c r="I53" s="245"/>
      <c r="J53" s="245"/>
      <c r="K53" s="245"/>
      <c r="L53" s="245"/>
      <c r="M53" s="246"/>
    </row>
    <row r="54" spans="2:13" ht="11.5" customHeight="1" thickBot="1" x14ac:dyDescent="0.2">
      <c r="B54" s="245" t="s">
        <v>82</v>
      </c>
      <c r="C54" s="245"/>
      <c r="D54" s="414">
        <f t="shared" ref="D54:L54" si="12">D46</f>
        <v>1412600.8355662187</v>
      </c>
      <c r="E54" s="414">
        <f t="shared" si="12"/>
        <v>1530219.9583954322</v>
      </c>
      <c r="F54" s="414">
        <f t="shared" si="12"/>
        <v>1946934.0549195036</v>
      </c>
      <c r="G54" s="414">
        <f t="shared" si="12"/>
        <v>2304799.6028940398</v>
      </c>
      <c r="H54" s="414">
        <f t="shared" si="12"/>
        <v>2712432.8518204959</v>
      </c>
      <c r="I54" s="414">
        <f t="shared" si="12"/>
        <v>3048619.4797689631</v>
      </c>
      <c r="J54" s="414">
        <f t="shared" si="12"/>
        <v>2950698.1602252643</v>
      </c>
      <c r="K54" s="414">
        <f t="shared" si="12"/>
        <v>2929935.9186084438</v>
      </c>
      <c r="L54" s="414">
        <f t="shared" si="12"/>
        <v>2906720.4536983799</v>
      </c>
      <c r="M54" s="414">
        <f t="shared" ref="M54" si="13">M46</f>
        <v>2881014.7813933999</v>
      </c>
    </row>
    <row r="55" spans="2:13" ht="11.5" customHeight="1" thickBot="1" x14ac:dyDescent="0.2">
      <c r="B55" s="245" t="s">
        <v>87</v>
      </c>
      <c r="C55" s="245"/>
      <c r="D55" s="414">
        <f t="shared" ref="D55:L55" si="14">D45</f>
        <v>471469.82981982949</v>
      </c>
      <c r="E55" s="414">
        <f t="shared" si="14"/>
        <v>471469.82981982949</v>
      </c>
      <c r="F55" s="414">
        <f t="shared" si="14"/>
        <v>471469.82981982949</v>
      </c>
      <c r="G55" s="414">
        <f t="shared" si="14"/>
        <v>471469.82981982949</v>
      </c>
      <c r="H55" s="414">
        <f t="shared" si="14"/>
        <v>471469.82981982949</v>
      </c>
      <c r="I55" s="414">
        <f t="shared" si="14"/>
        <v>471469.82981982949</v>
      </c>
      <c r="J55" s="414">
        <f t="shared" si="14"/>
        <v>471469.82981982949</v>
      </c>
      <c r="K55" s="414">
        <f t="shared" si="14"/>
        <v>471469.82981982949</v>
      </c>
      <c r="L55" s="414">
        <f t="shared" si="14"/>
        <v>471469.82981982949</v>
      </c>
      <c r="M55" s="414">
        <f t="shared" ref="M55" si="15">M45</f>
        <v>471469.82981982949</v>
      </c>
    </row>
    <row r="56" spans="2:13" ht="11.5" customHeight="1" thickBot="1" x14ac:dyDescent="0.2">
      <c r="B56" s="245" t="s">
        <v>88</v>
      </c>
      <c r="C56" s="245"/>
      <c r="D56" s="414">
        <f>Dep.!C34</f>
        <v>897232.1704545453</v>
      </c>
      <c r="E56" s="414">
        <f>Dep.!D34</f>
        <v>763647.36776988627</v>
      </c>
      <c r="F56" s="414">
        <f>Dep.!E34</f>
        <v>650050.26260440331</v>
      </c>
      <c r="G56" s="414">
        <f>Dep.!F34</f>
        <v>553445.22321374272</v>
      </c>
      <c r="H56" s="414">
        <f>Dep.!G34</f>
        <v>471285.81473168131</v>
      </c>
      <c r="I56" s="414">
        <f>Dep.!H34</f>
        <v>401407.44877192914</v>
      </c>
      <c r="J56" s="414">
        <f>Dep.!I34</f>
        <v>341970.11239363975</v>
      </c>
      <c r="K56" s="414">
        <f>Dep.!J34</f>
        <v>291409.68742521881</v>
      </c>
      <c r="L56" s="414">
        <f>Dep.!K34</f>
        <v>248396.57160752974</v>
      </c>
      <c r="M56" s="414">
        <f>Dep.!L34</f>
        <v>211800.50629768931</v>
      </c>
    </row>
    <row r="57" spans="2:13" ht="11.5" customHeight="1" thickBot="1" x14ac:dyDescent="0.2">
      <c r="B57" s="244" t="s">
        <v>89</v>
      </c>
      <c r="C57" s="244"/>
      <c r="D57" s="415">
        <f t="shared" ref="D57:L57" si="16">D54+D55-D56</f>
        <v>986838.49493150285</v>
      </c>
      <c r="E57" s="415">
        <f t="shared" si="16"/>
        <v>1238042.4204453754</v>
      </c>
      <c r="F57" s="415">
        <f t="shared" si="16"/>
        <v>1768353.62213493</v>
      </c>
      <c r="G57" s="415">
        <f t="shared" si="16"/>
        <v>2222824.2095001265</v>
      </c>
      <c r="H57" s="415">
        <f t="shared" si="16"/>
        <v>2712616.8669086443</v>
      </c>
      <c r="I57" s="415">
        <f t="shared" si="16"/>
        <v>3118681.8608168634</v>
      </c>
      <c r="J57" s="415">
        <f t="shared" si="16"/>
        <v>3080197.8776514539</v>
      </c>
      <c r="K57" s="415">
        <f t="shared" si="16"/>
        <v>3109996.0610030545</v>
      </c>
      <c r="L57" s="415">
        <f t="shared" si="16"/>
        <v>3129793.7119106799</v>
      </c>
      <c r="M57" s="415">
        <f t="shared" ref="M57" si="17">M54+M55-M56</f>
        <v>3140684.1049155402</v>
      </c>
    </row>
    <row r="58" spans="2:13" ht="11.5" customHeight="1" thickBot="1" x14ac:dyDescent="0.2">
      <c r="B58" s="245" t="s">
        <v>90</v>
      </c>
      <c r="C58" s="245"/>
      <c r="D58" s="414">
        <f>IF(D60&gt;=0,D57*'Fin Assumptions'!$B$22,0)</f>
        <v>49341.924746575147</v>
      </c>
      <c r="E58" s="414">
        <f>IF(E60&gt;=0,E57*'Fin Assumptions'!$B$22,0)</f>
        <v>61902.121022268773</v>
      </c>
      <c r="F58" s="414">
        <f>IF(F60&gt;=0,F57*'Fin Assumptions'!$B$22,0)</f>
        <v>88417.681106746502</v>
      </c>
      <c r="G58" s="414">
        <f>IF(G60&gt;=0,G57*'Fin Assumptions'!$B$22,0)</f>
        <v>111141.21047500633</v>
      </c>
      <c r="H58" s="414">
        <f>IF(H60&gt;=0,H57*'Fin Assumptions'!$B$22,0)</f>
        <v>135630.84334543222</v>
      </c>
      <c r="I58" s="414">
        <f>IF(I60&gt;=0,I57*'Fin Assumptions'!$B$22,0)</f>
        <v>155934.09304084317</v>
      </c>
      <c r="J58" s="414">
        <f>IF(J60&gt;=0,J57*'Fin Assumptions'!$B$22,0)</f>
        <v>154009.89388257271</v>
      </c>
      <c r="K58" s="414">
        <f>IF(K60&gt;=0,K57*'Fin Assumptions'!$B$22,0)</f>
        <v>155499.80305015272</v>
      </c>
      <c r="L58" s="414">
        <f>IF(L60&gt;=0,L57*'Fin Assumptions'!$B$22,0)</f>
        <v>156489.68559553401</v>
      </c>
      <c r="M58" s="414">
        <f>IF(M60&gt;=0,M57*'Fin Assumptions'!$B$22,0)</f>
        <v>157034.205245777</v>
      </c>
    </row>
    <row r="59" spans="2:13" ht="11.5" customHeight="1" thickBot="1" x14ac:dyDescent="0.2"/>
    <row r="60" spans="2:13" ht="11.5" customHeight="1" thickBot="1" x14ac:dyDescent="0.2">
      <c r="B60" s="236" t="s">
        <v>195</v>
      </c>
      <c r="C60" s="236"/>
      <c r="D60" s="412">
        <f>SUM($D$57:D57)</f>
        <v>986838.49493150285</v>
      </c>
      <c r="E60" s="412">
        <f>SUM($D$57:E57)</f>
        <v>2224880.9153768783</v>
      </c>
      <c r="F60" s="412">
        <f>SUM($D$57:F57)</f>
        <v>3993234.5375118083</v>
      </c>
      <c r="G60" s="412">
        <f>SUM($D$57:G57)</f>
        <v>6216058.7470119353</v>
      </c>
      <c r="H60" s="412">
        <f>SUM($D$57:H57)</f>
        <v>8928675.6139205806</v>
      </c>
      <c r="I60" s="412">
        <f>SUM($D$57:I57)</f>
        <v>12047357.474737443</v>
      </c>
      <c r="J60" s="412">
        <f>SUM($D$57:J57)</f>
        <v>15127555.352388896</v>
      </c>
      <c r="K60" s="412">
        <f>SUM($D$57:K57)</f>
        <v>18237551.413391951</v>
      </c>
      <c r="L60" s="412">
        <f>SUM($D$57:L57)</f>
        <v>21367345.125302631</v>
      </c>
    </row>
    <row r="61" spans="2:13" ht="11.5" customHeight="1" thickBot="1" x14ac:dyDescent="0.2"/>
    <row r="62" spans="2:13" ht="11.5" customHeight="1" thickBot="1" x14ac:dyDescent="0.2">
      <c r="B62" s="248" t="s">
        <v>91</v>
      </c>
      <c r="C62" s="249"/>
      <c r="D62" s="249"/>
      <c r="E62" s="249"/>
      <c r="F62" s="249"/>
      <c r="G62" s="249"/>
      <c r="H62" s="249"/>
      <c r="I62" s="249"/>
      <c r="J62" s="249"/>
      <c r="K62" s="249"/>
      <c r="L62" s="249"/>
    </row>
    <row r="63" spans="2:13" ht="11.5" customHeight="1" thickBot="1" x14ac:dyDescent="0.2">
      <c r="B63" s="249" t="s">
        <v>51</v>
      </c>
      <c r="C63" s="249">
        <v>0</v>
      </c>
      <c r="D63" s="249">
        <v>1</v>
      </c>
      <c r="E63" s="249">
        <v>2</v>
      </c>
      <c r="F63" s="249">
        <v>3</v>
      </c>
      <c r="G63" s="249">
        <v>4</v>
      </c>
      <c r="H63" s="249">
        <v>5</v>
      </c>
      <c r="I63" s="249">
        <v>6</v>
      </c>
      <c r="J63" s="249">
        <v>7</v>
      </c>
      <c r="K63" s="249">
        <v>8</v>
      </c>
      <c r="L63" s="249">
        <v>9</v>
      </c>
    </row>
    <row r="64" spans="2:13" ht="11.5" customHeight="1" thickBot="1" x14ac:dyDescent="0.2">
      <c r="B64" s="248" t="s">
        <v>92</v>
      </c>
      <c r="C64" s="249"/>
      <c r="D64" s="249"/>
      <c r="E64" s="249"/>
      <c r="F64" s="249"/>
      <c r="G64" s="249"/>
      <c r="H64" s="249"/>
      <c r="I64" s="249"/>
      <c r="J64" s="249"/>
      <c r="K64" s="249"/>
      <c r="L64" s="249"/>
    </row>
    <row r="65" spans="2:12" ht="11.5" customHeight="1" thickBot="1" x14ac:dyDescent="0.2">
      <c r="B65" s="250" t="s">
        <v>93</v>
      </c>
      <c r="C65" s="249"/>
      <c r="D65" s="249"/>
      <c r="E65" s="249"/>
      <c r="F65" s="249"/>
      <c r="G65" s="249"/>
      <c r="H65" s="249"/>
      <c r="I65" s="249"/>
      <c r="J65" s="249"/>
      <c r="K65" s="249"/>
      <c r="L65" s="249"/>
    </row>
    <row r="66" spans="2:12" ht="11.5" customHeight="1" thickBot="1" x14ac:dyDescent="0.2">
      <c r="B66" s="249" t="s">
        <v>94</v>
      </c>
      <c r="C66" s="249"/>
      <c r="D66" s="417">
        <f t="shared" ref="D66:L66" si="18">D48</f>
        <v>1363258.9108196436</v>
      </c>
      <c r="E66" s="417">
        <f t="shared" si="18"/>
        <v>1468317.8373731636</v>
      </c>
      <c r="F66" s="417">
        <f t="shared" si="18"/>
        <v>1858516.3738127572</v>
      </c>
      <c r="G66" s="417">
        <f t="shared" si="18"/>
        <v>2193658.3924190337</v>
      </c>
      <c r="H66" s="417">
        <f t="shared" si="18"/>
        <v>2576802.0084750638</v>
      </c>
      <c r="I66" s="417">
        <f t="shared" si="18"/>
        <v>2892685.38672812</v>
      </c>
      <c r="J66" s="417">
        <f t="shared" si="18"/>
        <v>2796688.2663426916</v>
      </c>
      <c r="K66" s="417">
        <f t="shared" si="18"/>
        <v>2774436.1155582909</v>
      </c>
      <c r="L66" s="417">
        <f t="shared" si="18"/>
        <v>2750230.7681028461</v>
      </c>
    </row>
    <row r="67" spans="2:12" ht="11.5" customHeight="1" thickBot="1" x14ac:dyDescent="0.2">
      <c r="B67" s="249" t="s">
        <v>95</v>
      </c>
      <c r="C67" s="249"/>
      <c r="D67" s="417">
        <f t="shared" ref="D67:L67" si="19">D45</f>
        <v>471469.82981982949</v>
      </c>
      <c r="E67" s="417">
        <f t="shared" si="19"/>
        <v>471469.82981982949</v>
      </c>
      <c r="F67" s="417">
        <f t="shared" si="19"/>
        <v>471469.82981982949</v>
      </c>
      <c r="G67" s="417">
        <f t="shared" si="19"/>
        <v>471469.82981982949</v>
      </c>
      <c r="H67" s="417">
        <f t="shared" si="19"/>
        <v>471469.82981982949</v>
      </c>
      <c r="I67" s="417">
        <f t="shared" si="19"/>
        <v>471469.82981982949</v>
      </c>
      <c r="J67" s="417">
        <f t="shared" si="19"/>
        <v>471469.82981982949</v>
      </c>
      <c r="K67" s="417">
        <f t="shared" si="19"/>
        <v>471469.82981982949</v>
      </c>
      <c r="L67" s="417">
        <f t="shared" si="19"/>
        <v>471469.82981982949</v>
      </c>
    </row>
    <row r="68" spans="2:12" ht="11.5" customHeight="1" thickBot="1" x14ac:dyDescent="0.2">
      <c r="B68" s="251" t="s">
        <v>85</v>
      </c>
      <c r="C68" s="251"/>
      <c r="D68" s="418">
        <f t="shared" ref="D68:L68" si="20">SUM(D66:D67)</f>
        <v>1834728.7406394731</v>
      </c>
      <c r="E68" s="418">
        <f t="shared" si="20"/>
        <v>1939787.667192993</v>
      </c>
      <c r="F68" s="418">
        <f t="shared" si="20"/>
        <v>2329986.2036325866</v>
      </c>
      <c r="G68" s="418">
        <f t="shared" si="20"/>
        <v>2665128.2222388634</v>
      </c>
      <c r="H68" s="418">
        <f t="shared" si="20"/>
        <v>3048271.8382948935</v>
      </c>
      <c r="I68" s="418">
        <f t="shared" si="20"/>
        <v>3364155.2165479497</v>
      </c>
      <c r="J68" s="418">
        <f t="shared" si="20"/>
        <v>3268158.0961625213</v>
      </c>
      <c r="K68" s="418">
        <f t="shared" si="20"/>
        <v>3245905.9453781205</v>
      </c>
      <c r="L68" s="418">
        <f t="shared" si="20"/>
        <v>3221700.5979226758</v>
      </c>
    </row>
    <row r="69" spans="2:12" ht="11.5" customHeight="1" thickBot="1" x14ac:dyDescent="0.2">
      <c r="B69" s="249"/>
      <c r="C69" s="249"/>
      <c r="D69" s="252"/>
      <c r="E69" s="249"/>
      <c r="F69" s="249"/>
      <c r="G69" s="249"/>
      <c r="H69" s="249"/>
      <c r="I69" s="249"/>
      <c r="J69" s="249"/>
      <c r="K69" s="249"/>
      <c r="L69" s="249"/>
    </row>
    <row r="70" spans="2:12" ht="11.5" customHeight="1" thickBot="1" x14ac:dyDescent="0.2">
      <c r="B70" s="250" t="s">
        <v>96</v>
      </c>
      <c r="C70" s="249"/>
      <c r="D70" s="249"/>
      <c r="E70" s="249"/>
      <c r="F70" s="249"/>
      <c r="G70" s="249"/>
      <c r="H70" s="249"/>
      <c r="I70" s="249"/>
      <c r="J70" s="249"/>
      <c r="K70" s="249"/>
      <c r="L70" s="249"/>
    </row>
    <row r="71" spans="2:12" ht="11.5" customHeight="1" thickBot="1" x14ac:dyDescent="0.2">
      <c r="B71" s="249" t="s">
        <v>463</v>
      </c>
      <c r="C71" s="253">
        <f>+'Fin Assumptions'!B34</f>
        <v>2387743.0977272722</v>
      </c>
      <c r="D71" s="252"/>
      <c r="E71" s="249"/>
      <c r="F71" s="249"/>
      <c r="G71" s="249"/>
      <c r="H71" s="249"/>
      <c r="I71" s="249"/>
      <c r="J71" s="249"/>
      <c r="K71" s="249"/>
      <c r="L71" s="249"/>
    </row>
    <row r="72" spans="2:12" ht="11.5" customHeight="1" thickBot="1" x14ac:dyDescent="0.2">
      <c r="B72" s="249" t="s">
        <v>97</v>
      </c>
      <c r="C72" s="253">
        <f>+'Fin Assumptions'!B35</f>
        <v>0</v>
      </c>
      <c r="D72" s="252"/>
      <c r="E72" s="254"/>
      <c r="F72" s="249"/>
      <c r="G72" s="249"/>
      <c r="H72" s="249"/>
      <c r="I72" s="249"/>
      <c r="J72" s="249"/>
      <c r="K72" s="249"/>
      <c r="L72" s="249"/>
    </row>
    <row r="73" spans="2:12" ht="11.5" customHeight="1" thickBot="1" x14ac:dyDescent="0.2">
      <c r="B73" s="249" t="s">
        <v>98</v>
      </c>
      <c r="C73" s="253">
        <f>+'Fin Assumptions'!B36</f>
        <v>5571400.5613636356</v>
      </c>
      <c r="D73" s="252"/>
      <c r="E73" s="254"/>
      <c r="F73" s="249"/>
      <c r="G73" s="249"/>
      <c r="H73" s="249"/>
      <c r="I73" s="249"/>
      <c r="J73" s="249"/>
      <c r="K73" s="249"/>
      <c r="L73" s="249"/>
    </row>
    <row r="74" spans="2:12" ht="11.5" customHeight="1" thickBot="1" x14ac:dyDescent="0.2">
      <c r="B74" s="249" t="s">
        <v>99</v>
      </c>
      <c r="C74" s="252"/>
      <c r="D74" s="252"/>
      <c r="E74" s="252"/>
      <c r="F74" s="252"/>
      <c r="G74" s="252"/>
      <c r="H74" s="252"/>
      <c r="I74" s="252"/>
      <c r="J74" s="252"/>
      <c r="K74" s="252"/>
      <c r="L74" s="252"/>
    </row>
    <row r="75" spans="2:12" ht="11.5" customHeight="1" thickBot="1" x14ac:dyDescent="0.2">
      <c r="B75" s="251" t="s">
        <v>100</v>
      </c>
      <c r="C75" s="255">
        <f>SUM(C71:C74)</f>
        <v>7959143.6590909082</v>
      </c>
      <c r="D75" s="255">
        <f>D68+SUM(D71:D74)</f>
        <v>1834728.7406394731</v>
      </c>
      <c r="E75" s="255">
        <f t="shared" ref="E75:L75" si="21">E68+SUM(E71:E74)</f>
        <v>1939787.667192993</v>
      </c>
      <c r="F75" s="255">
        <f t="shared" si="21"/>
        <v>2329986.2036325866</v>
      </c>
      <c r="G75" s="255">
        <f t="shared" si="21"/>
        <v>2665128.2222388634</v>
      </c>
      <c r="H75" s="255">
        <f t="shared" si="21"/>
        <v>3048271.8382948935</v>
      </c>
      <c r="I75" s="255">
        <f t="shared" si="21"/>
        <v>3364155.2165479497</v>
      </c>
      <c r="J75" s="255">
        <f t="shared" si="21"/>
        <v>3268158.0961625213</v>
      </c>
      <c r="K75" s="255">
        <f t="shared" si="21"/>
        <v>3245905.9453781205</v>
      </c>
      <c r="L75" s="255">
        <f t="shared" si="21"/>
        <v>3221700.5979226758</v>
      </c>
    </row>
    <row r="76" spans="2:12" ht="11.5" customHeight="1" thickBot="1" x14ac:dyDescent="0.2">
      <c r="B76" s="249"/>
      <c r="C76" s="249"/>
      <c r="D76" s="249"/>
      <c r="E76" s="249"/>
      <c r="F76" s="249"/>
      <c r="G76" s="249"/>
      <c r="H76" s="249"/>
      <c r="I76" s="249"/>
      <c r="J76" s="249"/>
      <c r="K76" s="249"/>
      <c r="L76" s="249"/>
    </row>
    <row r="77" spans="2:12" ht="11.5" customHeight="1" thickBot="1" x14ac:dyDescent="0.2">
      <c r="B77" s="248" t="s">
        <v>101</v>
      </c>
      <c r="C77" s="249"/>
      <c r="D77" s="249"/>
      <c r="E77" s="249"/>
      <c r="F77" s="249"/>
      <c r="G77" s="249"/>
      <c r="H77" s="249"/>
      <c r="I77" s="249"/>
      <c r="J77" s="249"/>
      <c r="K77" s="249"/>
      <c r="L77" s="249"/>
    </row>
    <row r="78" spans="2:12" ht="11.5" customHeight="1" thickBot="1" x14ac:dyDescent="0.2">
      <c r="B78" s="249" t="s">
        <v>102</v>
      </c>
      <c r="C78" s="253">
        <f>C75</f>
        <v>7959143.6590909082</v>
      </c>
      <c r="D78" s="253">
        <v>0</v>
      </c>
      <c r="E78" s="253">
        <f>D78*3</f>
        <v>0</v>
      </c>
      <c r="F78" s="253">
        <f>Dep.!E16</f>
        <v>0</v>
      </c>
      <c r="G78" s="253">
        <f>Dep.!F16</f>
        <v>0</v>
      </c>
      <c r="H78" s="253">
        <f>Dep.!G16</f>
        <v>0</v>
      </c>
      <c r="I78" s="253">
        <f>Dep.!H16</f>
        <v>0</v>
      </c>
      <c r="J78" s="253">
        <f>H78</f>
        <v>0</v>
      </c>
      <c r="K78" s="253"/>
      <c r="L78" s="253"/>
    </row>
    <row r="79" spans="2:12" ht="11.5" customHeight="1" thickBot="1" x14ac:dyDescent="0.2">
      <c r="B79" s="249" t="s">
        <v>103</v>
      </c>
      <c r="C79" s="253"/>
      <c r="D79" s="253">
        <f>Debt!D68-Debt!C68</f>
        <v>104180.3367003367</v>
      </c>
      <c r="E79" s="253">
        <f>Debt!E68-Debt!D68</f>
        <v>129324.28282828284</v>
      </c>
      <c r="F79" s="253">
        <f>Debt!F68-Debt!E68</f>
        <v>25203.694276094262</v>
      </c>
      <c r="G79" s="253">
        <f>Debt!G68-Debt!F68</f>
        <v>25046.083905723848</v>
      </c>
      <c r="H79" s="253">
        <f>Debt!H68-Debt!G68</f>
        <v>23519.177144781162</v>
      </c>
      <c r="I79" s="253">
        <f>Debt!I68-Debt!H68</f>
        <v>19665.27777777781</v>
      </c>
      <c r="J79" s="253">
        <f>Debt!J68-Debt!I68</f>
        <v>0</v>
      </c>
      <c r="K79" s="253">
        <f>Debt!K68-Debt!J68</f>
        <v>0</v>
      </c>
      <c r="L79" s="253">
        <f>Debt!L68-Debt!K68</f>
        <v>0</v>
      </c>
    </row>
    <row r="80" spans="2:12" ht="11.5" customHeight="1" thickBot="1" x14ac:dyDescent="0.2">
      <c r="B80" s="249" t="s">
        <v>104</v>
      </c>
      <c r="C80" s="253"/>
      <c r="D80" s="253"/>
      <c r="E80" s="253">
        <f>Debt!E50</f>
        <v>0</v>
      </c>
      <c r="F80" s="253">
        <f>Debt!F50</f>
        <v>696425.07017045445</v>
      </c>
      <c r="G80" s="253">
        <f>Debt!G50</f>
        <v>696425.07017045445</v>
      </c>
      <c r="H80" s="253">
        <f>Debt!H50</f>
        <v>696425.07017045445</v>
      </c>
      <c r="I80" s="253">
        <f>Debt!I50</f>
        <v>696425.07017045445</v>
      </c>
      <c r="J80" s="253">
        <f>Debt!J50</f>
        <v>696425.07017045445</v>
      </c>
      <c r="K80" s="253">
        <f>Debt!K50</f>
        <v>696425.07017045445</v>
      </c>
      <c r="L80" s="253">
        <f>Debt!L50</f>
        <v>696425.07017045445</v>
      </c>
    </row>
    <row r="81" spans="2:13" ht="11.5" customHeight="1" thickBot="1" x14ac:dyDescent="0.2">
      <c r="B81" s="251" t="s">
        <v>105</v>
      </c>
      <c r="C81" s="255">
        <f t="shared" ref="C81:L81" si="22">SUM(C78:C80)</f>
        <v>7959143.6590909082</v>
      </c>
      <c r="D81" s="255">
        <f t="shared" si="22"/>
        <v>104180.3367003367</v>
      </c>
      <c r="E81" s="255">
        <f t="shared" si="22"/>
        <v>129324.28282828284</v>
      </c>
      <c r="F81" s="255">
        <f t="shared" si="22"/>
        <v>721628.76444654865</v>
      </c>
      <c r="G81" s="255">
        <f t="shared" si="22"/>
        <v>721471.15407617833</v>
      </c>
      <c r="H81" s="255">
        <f t="shared" si="22"/>
        <v>719944.24731523567</v>
      </c>
      <c r="I81" s="255">
        <f t="shared" si="22"/>
        <v>716090.3479482322</v>
      </c>
      <c r="J81" s="255">
        <f t="shared" si="22"/>
        <v>696425.07017045445</v>
      </c>
      <c r="K81" s="255">
        <f t="shared" si="22"/>
        <v>696425.07017045445</v>
      </c>
      <c r="L81" s="255">
        <f t="shared" si="22"/>
        <v>696425.07017045445</v>
      </c>
    </row>
    <row r="82" spans="2:13" ht="11.5" customHeight="1" thickBot="1" x14ac:dyDescent="0.2">
      <c r="B82" s="249"/>
      <c r="C82" s="249"/>
      <c r="D82" s="249"/>
      <c r="E82" s="249"/>
      <c r="F82" s="249"/>
      <c r="G82" s="249"/>
      <c r="H82" s="249"/>
      <c r="I82" s="249"/>
      <c r="J82" s="249"/>
      <c r="K82" s="249"/>
      <c r="L82" s="249"/>
    </row>
    <row r="83" spans="2:13" ht="11.5" customHeight="1" thickBot="1" x14ac:dyDescent="0.2">
      <c r="B83" s="249" t="s">
        <v>106</v>
      </c>
      <c r="C83" s="249"/>
      <c r="D83" s="417">
        <f>C85</f>
        <v>0</v>
      </c>
      <c r="E83" s="417">
        <f t="shared" ref="E83:L83" si="23">D85</f>
        <v>1730548.4039391363</v>
      </c>
      <c r="F83" s="417">
        <f t="shared" si="23"/>
        <v>3541011.7883038465</v>
      </c>
      <c r="G83" s="417">
        <f t="shared" si="23"/>
        <v>5149369.2274898849</v>
      </c>
      <c r="H83" s="417">
        <f t="shared" si="23"/>
        <v>7093026.2956525702</v>
      </c>
      <c r="I83" s="417">
        <f t="shared" si="23"/>
        <v>9421353.8866322283</v>
      </c>
      <c r="J83" s="417">
        <f t="shared" si="23"/>
        <v>12069418.755231947</v>
      </c>
      <c r="K83" s="417">
        <f t="shared" si="23"/>
        <v>14641151.781224012</v>
      </c>
      <c r="L83" s="417">
        <f t="shared" si="23"/>
        <v>17190632.656431679</v>
      </c>
    </row>
    <row r="84" spans="2:13" ht="11.5" customHeight="1" thickBot="1" x14ac:dyDescent="0.2">
      <c r="B84" s="249" t="s">
        <v>107</v>
      </c>
      <c r="C84" s="252">
        <f t="shared" ref="C84:L84" si="24">C75-C81</f>
        <v>0</v>
      </c>
      <c r="D84" s="417">
        <f t="shared" si="24"/>
        <v>1730548.4039391363</v>
      </c>
      <c r="E84" s="417">
        <f t="shared" si="24"/>
        <v>1810463.3843647102</v>
      </c>
      <c r="F84" s="417">
        <f t="shared" si="24"/>
        <v>1608357.439186038</v>
      </c>
      <c r="G84" s="417">
        <f t="shared" si="24"/>
        <v>1943657.068162685</v>
      </c>
      <c r="H84" s="417">
        <f t="shared" si="24"/>
        <v>2328327.5909796581</v>
      </c>
      <c r="I84" s="417">
        <f t="shared" si="24"/>
        <v>2648064.8685997175</v>
      </c>
      <c r="J84" s="417">
        <f t="shared" si="24"/>
        <v>2571733.0259920666</v>
      </c>
      <c r="K84" s="417">
        <f t="shared" si="24"/>
        <v>2549480.8752076663</v>
      </c>
      <c r="L84" s="417">
        <f t="shared" si="24"/>
        <v>2525275.5277522216</v>
      </c>
    </row>
    <row r="85" spans="2:13" ht="11.5" customHeight="1" thickBot="1" x14ac:dyDescent="0.2">
      <c r="B85" s="249" t="s">
        <v>108</v>
      </c>
      <c r="C85" s="252">
        <v>0</v>
      </c>
      <c r="D85" s="417">
        <f>D83+D84</f>
        <v>1730548.4039391363</v>
      </c>
      <c r="E85" s="417">
        <f t="shared" ref="E85:L85" si="25">E83+E84</f>
        <v>3541011.7883038465</v>
      </c>
      <c r="F85" s="417">
        <f t="shared" si="25"/>
        <v>5149369.2274898849</v>
      </c>
      <c r="G85" s="417">
        <f t="shared" si="25"/>
        <v>7093026.2956525702</v>
      </c>
      <c r="H85" s="417">
        <f t="shared" si="25"/>
        <v>9421353.8866322283</v>
      </c>
      <c r="I85" s="417">
        <f t="shared" si="25"/>
        <v>12069418.755231947</v>
      </c>
      <c r="J85" s="417">
        <f t="shared" si="25"/>
        <v>14641151.781224012</v>
      </c>
      <c r="K85" s="417">
        <f t="shared" si="25"/>
        <v>17190632.656431679</v>
      </c>
      <c r="L85" s="417">
        <f t="shared" si="25"/>
        <v>19715908.184183899</v>
      </c>
    </row>
    <row r="88" spans="2:13" ht="11.5" customHeight="1" thickBot="1" x14ac:dyDescent="0.2"/>
    <row r="89" spans="2:13" ht="11.5" customHeight="1" thickBot="1" x14ac:dyDescent="0.2">
      <c r="B89" s="256" t="s">
        <v>109</v>
      </c>
      <c r="C89" s="256"/>
      <c r="D89" s="257" t="str">
        <f t="shared" ref="D89:L89" si="26">D3</f>
        <v>Year 1</v>
      </c>
      <c r="E89" s="257" t="str">
        <f t="shared" si="26"/>
        <v>Year 2</v>
      </c>
      <c r="F89" s="257" t="str">
        <f t="shared" si="26"/>
        <v>Year 3</v>
      </c>
      <c r="G89" s="257" t="str">
        <f t="shared" si="26"/>
        <v>Year 4</v>
      </c>
      <c r="H89" s="257" t="str">
        <f t="shared" si="26"/>
        <v>Year 5</v>
      </c>
      <c r="I89" s="257" t="str">
        <f t="shared" si="26"/>
        <v>Year 6</v>
      </c>
      <c r="J89" s="257" t="str">
        <f t="shared" si="26"/>
        <v>Year 7</v>
      </c>
      <c r="K89" s="257" t="str">
        <f t="shared" si="26"/>
        <v>Year 8</v>
      </c>
      <c r="L89" s="257" t="str">
        <f t="shared" si="26"/>
        <v>Year 9</v>
      </c>
      <c r="M89" s="257" t="s">
        <v>456</v>
      </c>
    </row>
    <row r="90" spans="2:13" ht="11.5" customHeight="1" thickBot="1" x14ac:dyDescent="0.2">
      <c r="B90" s="256" t="s">
        <v>110</v>
      </c>
      <c r="C90" s="256"/>
      <c r="D90" s="245"/>
      <c r="E90" s="245"/>
      <c r="F90" s="245"/>
      <c r="G90" s="245"/>
      <c r="H90" s="245"/>
      <c r="I90" s="245"/>
      <c r="J90" s="245"/>
      <c r="K90" s="245"/>
      <c r="L90" s="245"/>
      <c r="M90" s="245"/>
    </row>
    <row r="91" spans="2:13" ht="11.5" customHeight="1" thickBot="1" x14ac:dyDescent="0.2">
      <c r="B91" s="245" t="s">
        <v>111</v>
      </c>
      <c r="C91" s="258"/>
      <c r="D91" s="259">
        <f>C71</f>
        <v>2387743.0977272722</v>
      </c>
      <c r="E91" s="259">
        <f>D91</f>
        <v>2387743.0977272722</v>
      </c>
      <c r="F91" s="259">
        <f t="shared" ref="F91:J91" si="27">E91</f>
        <v>2387743.0977272722</v>
      </c>
      <c r="G91" s="259">
        <f t="shared" si="27"/>
        <v>2387743.0977272722</v>
      </c>
      <c r="H91" s="259">
        <f t="shared" si="27"/>
        <v>2387743.0977272722</v>
      </c>
      <c r="I91" s="259">
        <f t="shared" si="27"/>
        <v>2387743.0977272722</v>
      </c>
      <c r="J91" s="259">
        <f t="shared" si="27"/>
        <v>2387743.0977272722</v>
      </c>
      <c r="K91" s="259">
        <f t="shared" ref="K91" si="28">J91</f>
        <v>2387743.0977272722</v>
      </c>
      <c r="L91" s="259">
        <f t="shared" ref="L91" si="29">K91</f>
        <v>2387743.0977272722</v>
      </c>
      <c r="M91" s="259">
        <f t="shared" ref="M91" si="30">L91</f>
        <v>2387743.0977272722</v>
      </c>
    </row>
    <row r="92" spans="2:13" ht="11.5" customHeight="1" thickBot="1" x14ac:dyDescent="0.2">
      <c r="B92" s="245" t="s">
        <v>112</v>
      </c>
      <c r="C92" s="258"/>
      <c r="D92" s="259">
        <f>D48</f>
        <v>1363258.9108196436</v>
      </c>
      <c r="E92" s="259">
        <f>D92+E48</f>
        <v>2831576.7481928072</v>
      </c>
      <c r="F92" s="259">
        <f>E92+F48</f>
        <v>4690093.1220055642</v>
      </c>
      <c r="G92" s="259">
        <f t="shared" ref="G92:L92" si="31">F92+G48</f>
        <v>6883751.5144245978</v>
      </c>
      <c r="H92" s="259">
        <f t="shared" si="31"/>
        <v>9460553.5228996612</v>
      </c>
      <c r="I92" s="259">
        <f t="shared" si="31"/>
        <v>12353238.90962778</v>
      </c>
      <c r="J92" s="259">
        <f t="shared" si="31"/>
        <v>15149927.175970472</v>
      </c>
      <c r="K92" s="259">
        <f t="shared" si="31"/>
        <v>17924363.291528761</v>
      </c>
      <c r="L92" s="259">
        <f t="shared" si="31"/>
        <v>20674594.059631608</v>
      </c>
      <c r="M92" s="259">
        <f>SUM($C$48:M48)+$C$92</f>
        <v>23398574.635779232</v>
      </c>
    </row>
    <row r="93" spans="2:13" ht="11.5" customHeight="1" thickBot="1" x14ac:dyDescent="0.2">
      <c r="B93" s="245" t="s">
        <v>113</v>
      </c>
      <c r="C93" s="258"/>
      <c r="D93" s="259">
        <f>C72</f>
        <v>0</v>
      </c>
      <c r="E93" s="259">
        <f>D93+E72</f>
        <v>0</v>
      </c>
      <c r="F93" s="259">
        <f t="shared" ref="F93:J93" si="32">E93</f>
        <v>0</v>
      </c>
      <c r="G93" s="259">
        <f t="shared" si="32"/>
        <v>0</v>
      </c>
      <c r="H93" s="259">
        <f t="shared" si="32"/>
        <v>0</v>
      </c>
      <c r="I93" s="259">
        <f t="shared" si="32"/>
        <v>0</v>
      </c>
      <c r="J93" s="259">
        <f t="shared" si="32"/>
        <v>0</v>
      </c>
      <c r="K93" s="259">
        <f t="shared" ref="K93" si="33">J93</f>
        <v>0</v>
      </c>
      <c r="L93" s="259">
        <f t="shared" ref="L93" si="34">K93</f>
        <v>0</v>
      </c>
      <c r="M93" s="259">
        <f t="shared" ref="M93" si="35">L93</f>
        <v>0</v>
      </c>
    </row>
    <row r="94" spans="2:13" ht="11.5" customHeight="1" thickBot="1" x14ac:dyDescent="0.2">
      <c r="B94" s="245" t="s">
        <v>98</v>
      </c>
      <c r="C94" s="258"/>
      <c r="D94" s="259">
        <f>C73</f>
        <v>5571400.5613636356</v>
      </c>
      <c r="E94" s="259">
        <f>C73+E73-E80</f>
        <v>5571400.5613636356</v>
      </c>
      <c r="F94" s="259">
        <f t="shared" ref="F94:M94" si="36">E94-F80</f>
        <v>4874975.4911931809</v>
      </c>
      <c r="G94" s="259">
        <f t="shared" si="36"/>
        <v>4178550.4210227262</v>
      </c>
      <c r="H94" s="259">
        <f t="shared" si="36"/>
        <v>3482125.3508522715</v>
      </c>
      <c r="I94" s="259">
        <f t="shared" si="36"/>
        <v>2785700.2806818169</v>
      </c>
      <c r="J94" s="259">
        <f t="shared" si="36"/>
        <v>2089275.2105113624</v>
      </c>
      <c r="K94" s="259">
        <f t="shared" si="36"/>
        <v>1392850.140340908</v>
      </c>
      <c r="L94" s="259">
        <f t="shared" si="36"/>
        <v>696425.07017045352</v>
      </c>
      <c r="M94" s="259">
        <f t="shared" si="36"/>
        <v>696425.07017045352</v>
      </c>
    </row>
    <row r="95" spans="2:13" ht="11.5" customHeight="1" thickBot="1" x14ac:dyDescent="0.2">
      <c r="B95" s="244" t="s">
        <v>116</v>
      </c>
      <c r="C95" s="258"/>
      <c r="D95" s="259">
        <f t="shared" ref="D95:M95" si="37">SUM(D91:D94)</f>
        <v>9322402.5699105524</v>
      </c>
      <c r="E95" s="259">
        <f t="shared" si="37"/>
        <v>10790720.407283716</v>
      </c>
      <c r="F95" s="259">
        <f t="shared" si="37"/>
        <v>11952811.710926017</v>
      </c>
      <c r="G95" s="259">
        <f t="shared" si="37"/>
        <v>13450045.033174597</v>
      </c>
      <c r="H95" s="259">
        <f t="shared" si="37"/>
        <v>15330421.971479205</v>
      </c>
      <c r="I95" s="259">
        <f t="shared" si="37"/>
        <v>17526682.288036868</v>
      </c>
      <c r="J95" s="259">
        <f t="shared" si="37"/>
        <v>19626945.484209109</v>
      </c>
      <c r="K95" s="259">
        <f t="shared" si="37"/>
        <v>21704956.529596943</v>
      </c>
      <c r="L95" s="259">
        <f t="shared" si="37"/>
        <v>23758762.227529336</v>
      </c>
      <c r="M95" s="259">
        <f t="shared" si="37"/>
        <v>26482742.803676959</v>
      </c>
    </row>
    <row r="96" spans="2:13" ht="11.5" customHeight="1" thickBot="1" x14ac:dyDescent="0.2">
      <c r="B96" s="245"/>
      <c r="C96" s="258"/>
      <c r="D96" s="245"/>
      <c r="E96" s="245"/>
      <c r="F96" s="245"/>
      <c r="G96" s="245"/>
      <c r="H96" s="245"/>
      <c r="I96" s="245"/>
      <c r="J96" s="245"/>
      <c r="K96" s="245"/>
      <c r="L96" s="245"/>
      <c r="M96" s="245"/>
    </row>
    <row r="97" spans="2:15" ht="11.5" customHeight="1" thickBot="1" x14ac:dyDescent="0.2">
      <c r="B97" s="256" t="s">
        <v>37</v>
      </c>
      <c r="C97" s="260"/>
      <c r="D97" s="245"/>
      <c r="E97" s="245"/>
      <c r="F97" s="245"/>
      <c r="G97" s="245"/>
      <c r="H97" s="245"/>
      <c r="I97" s="245"/>
      <c r="J97" s="245"/>
      <c r="K97" s="245"/>
      <c r="L97" s="245"/>
      <c r="M97" s="245"/>
    </row>
    <row r="98" spans="2:15" ht="11.5" customHeight="1" thickBot="1" x14ac:dyDescent="0.2">
      <c r="B98" s="245" t="s">
        <v>117</v>
      </c>
      <c r="C98" s="258"/>
      <c r="D98" s="259">
        <f>C75</f>
        <v>7959143.6590909082</v>
      </c>
      <c r="E98" s="259">
        <f>D98+SUM(E78)</f>
        <v>7959143.6590909082</v>
      </c>
      <c r="F98" s="259">
        <f t="shared" ref="F98" si="38">E98</f>
        <v>7959143.6590909082</v>
      </c>
      <c r="G98" s="259">
        <f t="shared" ref="G98:M98" si="39">F98+F78</f>
        <v>7959143.6590909082</v>
      </c>
      <c r="H98" s="259">
        <f t="shared" si="39"/>
        <v>7959143.6590909082</v>
      </c>
      <c r="I98" s="259">
        <f t="shared" si="39"/>
        <v>7959143.6590909082</v>
      </c>
      <c r="J98" s="259">
        <f t="shared" si="39"/>
        <v>7959143.6590909082</v>
      </c>
      <c r="K98" s="259">
        <f t="shared" si="39"/>
        <v>7959143.6590909082</v>
      </c>
      <c r="L98" s="259">
        <f t="shared" si="39"/>
        <v>7959143.6590909082</v>
      </c>
      <c r="M98" s="259">
        <f t="shared" si="39"/>
        <v>7959143.6590909082</v>
      </c>
      <c r="O98" s="261">
        <f>M98+M99+M100+M101</f>
        <v>16245226.170814812</v>
      </c>
    </row>
    <row r="99" spans="2:15" ht="11.5" customHeight="1" thickBot="1" x14ac:dyDescent="0.2">
      <c r="B99" s="245" t="s">
        <v>118</v>
      </c>
      <c r="C99" s="258"/>
      <c r="D99" s="259">
        <f>D45</f>
        <v>471469.82981982949</v>
      </c>
      <c r="E99" s="259">
        <f t="shared" ref="E99:M99" si="40">D99+E45</f>
        <v>942939.65963965899</v>
      </c>
      <c r="F99" s="259">
        <f t="shared" si="40"/>
        <v>1414409.4894594885</v>
      </c>
      <c r="G99" s="259">
        <f t="shared" si="40"/>
        <v>1885879.319279318</v>
      </c>
      <c r="H99" s="259">
        <f t="shared" si="40"/>
        <v>2357349.1490991474</v>
      </c>
      <c r="I99" s="259">
        <f t="shared" si="40"/>
        <v>2828818.9789189771</v>
      </c>
      <c r="J99" s="259">
        <f t="shared" si="40"/>
        <v>3300288.8087388068</v>
      </c>
      <c r="K99" s="259">
        <f t="shared" si="40"/>
        <v>3771758.6385586364</v>
      </c>
      <c r="L99" s="259">
        <f t="shared" si="40"/>
        <v>4243228.4683784656</v>
      </c>
      <c r="M99" s="259">
        <f t="shared" si="40"/>
        <v>4714698.2981982948</v>
      </c>
    </row>
    <row r="100" spans="2:15" ht="11.5" customHeight="1" thickBot="1" x14ac:dyDescent="0.2">
      <c r="B100" s="245" t="s">
        <v>119</v>
      </c>
      <c r="C100" s="258"/>
      <c r="D100" s="259">
        <f t="shared" ref="D100:J100" si="41">D98-D99</f>
        <v>7487673.829271079</v>
      </c>
      <c r="E100" s="259">
        <f t="shared" si="41"/>
        <v>7016203.9994512489</v>
      </c>
      <c r="F100" s="259">
        <f t="shared" si="41"/>
        <v>6544734.1696314197</v>
      </c>
      <c r="G100" s="259">
        <f t="shared" si="41"/>
        <v>6073264.3398115905</v>
      </c>
      <c r="H100" s="259">
        <f t="shared" si="41"/>
        <v>5601794.5099917613</v>
      </c>
      <c r="I100" s="259">
        <f t="shared" si="41"/>
        <v>5130324.6801719312</v>
      </c>
      <c r="J100" s="259">
        <f t="shared" si="41"/>
        <v>4658854.850352101</v>
      </c>
      <c r="K100" s="259">
        <f t="shared" ref="K100:M100" si="42">K98-K99</f>
        <v>4187385.0205322718</v>
      </c>
      <c r="L100" s="259">
        <f t="shared" si="42"/>
        <v>3715915.1907124426</v>
      </c>
      <c r="M100" s="259">
        <f t="shared" si="42"/>
        <v>3244445.3608926134</v>
      </c>
    </row>
    <row r="101" spans="2:15" ht="11.5" customHeight="1" thickBot="1" x14ac:dyDescent="0.2">
      <c r="B101" s="245" t="s">
        <v>63</v>
      </c>
      <c r="C101" s="258"/>
      <c r="D101" s="259">
        <f t="shared" ref="D101:M101" si="43">C101+D79</f>
        <v>104180.3367003367</v>
      </c>
      <c r="E101" s="259">
        <f t="shared" si="43"/>
        <v>233504.61952861954</v>
      </c>
      <c r="F101" s="259">
        <f t="shared" si="43"/>
        <v>258708.31380471381</v>
      </c>
      <c r="G101" s="259">
        <f t="shared" si="43"/>
        <v>283754.39771043765</v>
      </c>
      <c r="H101" s="259">
        <f t="shared" si="43"/>
        <v>307273.57485521882</v>
      </c>
      <c r="I101" s="259">
        <f t="shared" si="43"/>
        <v>326938.85263299663</v>
      </c>
      <c r="J101" s="259">
        <f t="shared" si="43"/>
        <v>326938.85263299663</v>
      </c>
      <c r="K101" s="259">
        <f t="shared" si="43"/>
        <v>326938.85263299663</v>
      </c>
      <c r="L101" s="259">
        <f t="shared" si="43"/>
        <v>326938.85263299663</v>
      </c>
      <c r="M101" s="259">
        <f t="shared" si="43"/>
        <v>326938.85263299663</v>
      </c>
    </row>
    <row r="102" spans="2:15" ht="11.5" customHeight="1" thickBot="1" x14ac:dyDescent="0.2">
      <c r="B102" s="245" t="s">
        <v>120</v>
      </c>
      <c r="C102" s="258"/>
      <c r="D102" s="259">
        <f t="shared" ref="D102:M102" si="44">D85</f>
        <v>1730548.4039391363</v>
      </c>
      <c r="E102" s="259">
        <f t="shared" si="44"/>
        <v>3541011.7883038465</v>
      </c>
      <c r="F102" s="259">
        <f t="shared" si="44"/>
        <v>5149369.2274898849</v>
      </c>
      <c r="G102" s="259">
        <f t="shared" si="44"/>
        <v>7093026.2956525702</v>
      </c>
      <c r="H102" s="259">
        <f t="shared" si="44"/>
        <v>9421353.8866322283</v>
      </c>
      <c r="I102" s="259">
        <f t="shared" si="44"/>
        <v>12069418.755231947</v>
      </c>
      <c r="J102" s="259">
        <f t="shared" si="44"/>
        <v>14641151.781224012</v>
      </c>
      <c r="K102" s="259">
        <f t="shared" si="44"/>
        <v>17190632.656431679</v>
      </c>
      <c r="L102" s="259">
        <f t="shared" si="44"/>
        <v>19715908.184183899</v>
      </c>
      <c r="M102" s="259">
        <f t="shared" si="44"/>
        <v>0</v>
      </c>
    </row>
    <row r="103" spans="2:15" ht="11.5" customHeight="1" thickBot="1" x14ac:dyDescent="0.2">
      <c r="B103" s="244" t="s">
        <v>121</v>
      </c>
      <c r="C103" s="258"/>
      <c r="D103" s="259">
        <f t="shared" ref="D103:J103" si="45">D100+D101+D102</f>
        <v>9322402.5699105524</v>
      </c>
      <c r="E103" s="259">
        <f t="shared" si="45"/>
        <v>10790720.407283716</v>
      </c>
      <c r="F103" s="259">
        <f t="shared" si="45"/>
        <v>11952811.710926019</v>
      </c>
      <c r="G103" s="259">
        <f t="shared" si="45"/>
        <v>13450045.033174599</v>
      </c>
      <c r="H103" s="259">
        <f t="shared" si="45"/>
        <v>15330421.971479207</v>
      </c>
      <c r="I103" s="259">
        <f t="shared" si="45"/>
        <v>17526682.288036875</v>
      </c>
      <c r="J103" s="259">
        <f t="shared" si="45"/>
        <v>19626945.484209109</v>
      </c>
      <c r="K103" s="259">
        <f t="shared" ref="K103:M103" si="46">K100+K101+K102</f>
        <v>21704956.529596947</v>
      </c>
      <c r="L103" s="259">
        <f t="shared" si="46"/>
        <v>23758762.227529339</v>
      </c>
      <c r="M103" s="259">
        <f t="shared" si="46"/>
        <v>3571384.21352561</v>
      </c>
    </row>
    <row r="104" spans="2:15" ht="11.5" customHeight="1" x14ac:dyDescent="0.15">
      <c r="C104" s="262"/>
      <c r="D104" s="262">
        <f t="shared" ref="D104" si="47">D95-D103</f>
        <v>0</v>
      </c>
      <c r="E104" s="262">
        <f t="shared" ref="E104" si="48">E95-E103</f>
        <v>0</v>
      </c>
      <c r="F104" s="262">
        <f t="shared" ref="F104" si="49">F95-F103</f>
        <v>0</v>
      </c>
      <c r="G104" s="262">
        <f t="shared" ref="G104" si="50">G95-G103</f>
        <v>0</v>
      </c>
      <c r="H104" s="262">
        <f t="shared" ref="H104" si="51">H95-H103</f>
        <v>0</v>
      </c>
      <c r="I104" s="262">
        <f t="shared" ref="I104" si="52">I95-I103</f>
        <v>0</v>
      </c>
      <c r="J104" s="262">
        <f t="shared" ref="J104" si="53">J95-J103</f>
        <v>0</v>
      </c>
      <c r="K104" s="262">
        <f t="shared" ref="K104" si="54">K95-K103</f>
        <v>0</v>
      </c>
      <c r="L104" s="262">
        <f t="shared" ref="L104" si="55">L95-L103</f>
        <v>0</v>
      </c>
      <c r="M104" s="262">
        <f t="shared" ref="M104" si="56">M95-M103</f>
        <v>22911358.590151347</v>
      </c>
    </row>
    <row r="105" spans="2:15" ht="11.5" customHeight="1" x14ac:dyDescent="0.15">
      <c r="F105" s="262"/>
    </row>
    <row r="106" spans="2:15" ht="11.5" customHeight="1" thickBot="1" x14ac:dyDescent="0.2"/>
    <row r="107" spans="2:15" ht="11.5" customHeight="1" thickBot="1" x14ac:dyDescent="0.2">
      <c r="B107" s="263" t="s">
        <v>122</v>
      </c>
      <c r="C107" s="264"/>
      <c r="D107" s="264"/>
      <c r="E107" s="264"/>
      <c r="F107" s="264"/>
      <c r="G107" s="264"/>
      <c r="H107" s="264"/>
      <c r="I107" s="264"/>
      <c r="J107" s="264"/>
      <c r="K107" s="264"/>
      <c r="L107" s="264"/>
    </row>
    <row r="108" spans="2:15" ht="11.5" customHeight="1" thickBot="1" x14ac:dyDescent="0.2">
      <c r="B108" s="264" t="s">
        <v>51</v>
      </c>
      <c r="C108" s="264"/>
      <c r="D108" s="264">
        <v>1</v>
      </c>
      <c r="E108" s="264">
        <v>2</v>
      </c>
      <c r="F108" s="264">
        <v>3</v>
      </c>
      <c r="G108" s="264">
        <v>4</v>
      </c>
      <c r="H108" s="264">
        <v>5</v>
      </c>
      <c r="I108" s="264">
        <v>6</v>
      </c>
      <c r="J108" s="264">
        <v>7</v>
      </c>
      <c r="K108" s="264">
        <v>8</v>
      </c>
      <c r="L108" s="264">
        <v>9</v>
      </c>
    </row>
    <row r="109" spans="2:15" ht="11.5" customHeight="1" thickBot="1" x14ac:dyDescent="0.2">
      <c r="B109" s="264" t="s">
        <v>123</v>
      </c>
      <c r="C109" s="264"/>
      <c r="D109" s="265">
        <f t="shared" ref="D109:L109" si="57">D42/D16</f>
        <v>0.5941502979803398</v>
      </c>
      <c r="E109" s="265">
        <f t="shared" si="57"/>
        <v>0.56110959035432395</v>
      </c>
      <c r="F109" s="265">
        <f t="shared" si="57"/>
        <v>0.59308628570277211</v>
      </c>
      <c r="G109" s="265">
        <f t="shared" si="57"/>
        <v>0.60309174356836548</v>
      </c>
      <c r="H109" s="265">
        <f t="shared" si="57"/>
        <v>0.6234842838943897</v>
      </c>
      <c r="I109" s="265">
        <f t="shared" si="57"/>
        <v>0.63632921743549853</v>
      </c>
      <c r="J109" s="265">
        <f t="shared" si="57"/>
        <v>0.61258933413302652</v>
      </c>
      <c r="K109" s="265">
        <f t="shared" si="57"/>
        <v>0.60196081831061965</v>
      </c>
      <c r="L109" s="265">
        <f t="shared" si="57"/>
        <v>0.59091543498574151</v>
      </c>
    </row>
    <row r="110" spans="2:15" ht="11.5" customHeight="1" thickBot="1" x14ac:dyDescent="0.2">
      <c r="B110" s="264" t="s">
        <v>124</v>
      </c>
      <c r="C110" s="264"/>
      <c r="D110" s="265">
        <f t="shared" ref="D110:L110" si="58">D48/D16</f>
        <v>0.36348800817612492</v>
      </c>
      <c r="E110" s="265">
        <f t="shared" si="58"/>
        <v>0.34934303806096628</v>
      </c>
      <c r="F110" s="265">
        <f t="shared" si="58"/>
        <v>0.39910162969947433</v>
      </c>
      <c r="G110" s="265">
        <f t="shared" si="58"/>
        <v>0.42949082612742684</v>
      </c>
      <c r="H110" s="265">
        <f t="shared" si="58"/>
        <v>0.46588993929906153</v>
      </c>
      <c r="I110" s="265">
        <f t="shared" si="58"/>
        <v>0.49154373184124428</v>
      </c>
      <c r="J110" s="265">
        <f t="shared" si="58"/>
        <v>0.47523128285637939</v>
      </c>
      <c r="K110" s="265">
        <f t="shared" si="58"/>
        <v>0.47145005407559237</v>
      </c>
      <c r="L110" s="265">
        <f t="shared" si="58"/>
        <v>0.46733692553650125</v>
      </c>
    </row>
    <row r="111" spans="2:15" ht="11.5" customHeight="1" thickBot="1" x14ac:dyDescent="0.2">
      <c r="B111" s="264" t="s">
        <v>125</v>
      </c>
      <c r="C111" s="266"/>
      <c r="D111" s="266">
        <f>D94/D91</f>
        <v>2.3333333333333335</v>
      </c>
      <c r="E111" s="266">
        <f t="shared" ref="E111:I111" si="59">E94/E91</f>
        <v>2.3333333333333335</v>
      </c>
      <c r="F111" s="266">
        <f t="shared" si="59"/>
        <v>2.0416666666666665</v>
      </c>
      <c r="G111" s="266">
        <f t="shared" si="59"/>
        <v>1.75</v>
      </c>
      <c r="H111" s="266">
        <f t="shared" si="59"/>
        <v>1.4583333333333333</v>
      </c>
      <c r="I111" s="266">
        <f t="shared" si="59"/>
        <v>1.1666666666666663</v>
      </c>
      <c r="J111" s="266">
        <f>K94/J91</f>
        <v>0.58333333333333304</v>
      </c>
      <c r="K111" s="266">
        <f>L94/K91</f>
        <v>0.2916666666666663</v>
      </c>
      <c r="L111" s="266">
        <f>M94/L91</f>
        <v>0.2916666666666663</v>
      </c>
    </row>
    <row r="112" spans="2:15" ht="11.5" customHeight="1" thickBot="1" x14ac:dyDescent="0.2">
      <c r="B112" s="264" t="s">
        <v>126</v>
      </c>
      <c r="C112" s="264"/>
      <c r="D112" s="266">
        <f>D94/D42</f>
        <v>2.5002291074151883</v>
      </c>
      <c r="E112" s="266">
        <f t="shared" ref="E112:L112" si="60">E94/E42</f>
        <v>2.3623743038496809</v>
      </c>
      <c r="F112" s="266">
        <f t="shared" si="60"/>
        <v>1.7651095492554312</v>
      </c>
      <c r="G112" s="266">
        <f t="shared" si="60"/>
        <v>1.3565229881541536</v>
      </c>
      <c r="H112" s="266">
        <f t="shared" si="60"/>
        <v>1.0097669966158154</v>
      </c>
      <c r="I112" s="266">
        <f t="shared" si="60"/>
        <v>0.74389815930542313</v>
      </c>
      <c r="J112" s="266">
        <f t="shared" si="60"/>
        <v>0.57954502370555627</v>
      </c>
      <c r="K112" s="266">
        <f t="shared" si="60"/>
        <v>0.39318517016689403</v>
      </c>
      <c r="L112" s="266">
        <f t="shared" si="60"/>
        <v>0.20026729102699325</v>
      </c>
    </row>
    <row r="113" spans="2:12" ht="11.5" customHeight="1" thickBot="1" x14ac:dyDescent="0.2">
      <c r="B113" s="264" t="s">
        <v>127</v>
      </c>
      <c r="C113" s="264"/>
      <c r="D113" s="267">
        <f t="shared" ref="D113:L113" si="61">D42/(D43+D44)</f>
        <v>6.4724102760923499</v>
      </c>
      <c r="E113" s="267">
        <f t="shared" si="61"/>
        <v>6.6116823957503863</v>
      </c>
      <c r="F113" s="267">
        <f t="shared" si="61"/>
        <v>8.0414924770257166</v>
      </c>
      <c r="G113" s="267">
        <f t="shared" si="61"/>
        <v>10.130381242497613</v>
      </c>
      <c r="H113" s="267">
        <f t="shared" si="61"/>
        <v>13.03554066655917</v>
      </c>
      <c r="I113" s="267">
        <f t="shared" si="61"/>
        <v>16.669628163103624</v>
      </c>
      <c r="J113" s="267">
        <f t="shared" si="61"/>
        <v>19.714833841041372</v>
      </c>
      <c r="K113" s="267">
        <f t="shared" si="61"/>
        <v>25.110948643742226</v>
      </c>
      <c r="L113" s="267">
        <f t="shared" si="61"/>
        <v>35.024300733789019</v>
      </c>
    </row>
    <row r="114" spans="2:12" ht="11.5" customHeight="1" thickBot="1" x14ac:dyDescent="0.2">
      <c r="B114" s="264" t="s">
        <v>128</v>
      </c>
      <c r="C114" s="264"/>
      <c r="D114" s="267">
        <f>+D136</f>
        <v>6.4724102760923499</v>
      </c>
      <c r="E114" s="267">
        <f>E136</f>
        <v>6.6116823957503863</v>
      </c>
      <c r="F114" s="267">
        <f t="shared" ref="F114:L114" si="62">F136</f>
        <v>2.6559470357852026</v>
      </c>
      <c r="G114" s="267">
        <f t="shared" si="62"/>
        <v>3.0788164756399019</v>
      </c>
      <c r="H114" s="267">
        <f t="shared" si="62"/>
        <v>3.5885156756773888</v>
      </c>
      <c r="I114" s="267">
        <f t="shared" si="62"/>
        <v>4.0656375994925025</v>
      </c>
      <c r="J114" s="267">
        <f t="shared" si="62"/>
        <v>4.0999585983889704</v>
      </c>
      <c r="K114" s="267">
        <f t="shared" si="62"/>
        <v>0</v>
      </c>
      <c r="L114" s="267">
        <f t="shared" si="62"/>
        <v>0</v>
      </c>
    </row>
    <row r="115" spans="2:12" ht="11.5" customHeight="1" thickBot="1" x14ac:dyDescent="0.2">
      <c r="B115" s="268" t="s">
        <v>129</v>
      </c>
      <c r="C115" s="264"/>
      <c r="D115" s="269">
        <f>D137</f>
        <v>3.8115128735133359</v>
      </c>
      <c r="E115" s="267"/>
      <c r="F115" s="267"/>
      <c r="G115" s="267"/>
      <c r="H115" s="267"/>
      <c r="I115" s="267"/>
      <c r="J115" s="267"/>
      <c r="K115" s="267"/>
      <c r="L115" s="267"/>
    </row>
    <row r="116" spans="2:12" ht="11.5" customHeight="1" thickBot="1" x14ac:dyDescent="0.2">
      <c r="B116" s="264"/>
      <c r="C116" s="264"/>
      <c r="D116" s="267"/>
      <c r="E116" s="267"/>
      <c r="F116" s="267"/>
      <c r="G116" s="267"/>
      <c r="H116" s="267"/>
      <c r="I116" s="267"/>
      <c r="J116" s="267"/>
      <c r="K116" s="267"/>
      <c r="L116" s="267"/>
    </row>
    <row r="117" spans="2:12" ht="11.5" customHeight="1" thickBot="1" x14ac:dyDescent="0.2">
      <c r="B117" s="263" t="s">
        <v>130</v>
      </c>
      <c r="C117" s="264"/>
      <c r="D117" s="267"/>
      <c r="E117" s="267"/>
      <c r="F117" s="267"/>
      <c r="G117" s="267"/>
      <c r="H117" s="267"/>
      <c r="I117" s="267"/>
      <c r="J117" s="267"/>
      <c r="K117" s="267"/>
      <c r="L117" s="267"/>
    </row>
    <row r="118" spans="2:12" ht="11.5" customHeight="1" thickBot="1" x14ac:dyDescent="0.2">
      <c r="B118" s="264" t="s">
        <v>79</v>
      </c>
      <c r="C118" s="264"/>
      <c r="D118" s="419">
        <f t="shared" ref="D118:L118" si="63">D42</f>
        <v>2228356.0113910986</v>
      </c>
      <c r="E118" s="419">
        <f t="shared" si="63"/>
        <v>2358390.2653718274</v>
      </c>
      <c r="F118" s="419">
        <f t="shared" si="63"/>
        <v>2761854.3524675686</v>
      </c>
      <c r="G118" s="419">
        <f t="shared" si="63"/>
        <v>3080338.8202868267</v>
      </c>
      <c r="H118" s="419">
        <f t="shared" si="63"/>
        <v>3448444.4060089546</v>
      </c>
      <c r="I118" s="419">
        <f t="shared" si="63"/>
        <v>3744733.3964138613</v>
      </c>
      <c r="J118" s="419">
        <f t="shared" si="63"/>
        <v>3605026.5726599353</v>
      </c>
      <c r="K118" s="419">
        <f t="shared" si="63"/>
        <v>3542478.8268328873</v>
      </c>
      <c r="L118" s="419">
        <f t="shared" si="63"/>
        <v>3477477.8577125962</v>
      </c>
    </row>
    <row r="119" spans="2:12" ht="11.5" customHeight="1" thickBot="1" x14ac:dyDescent="0.2">
      <c r="B119" s="268" t="s">
        <v>47</v>
      </c>
      <c r="C119" s="264"/>
      <c r="D119" s="419"/>
      <c r="E119" s="419"/>
      <c r="F119" s="419"/>
      <c r="G119" s="419"/>
      <c r="H119" s="419"/>
      <c r="I119" s="419"/>
      <c r="J119" s="419"/>
      <c r="K119" s="419"/>
      <c r="L119" s="419"/>
    </row>
    <row r="120" spans="2:12" ht="11.5" customHeight="1" thickBot="1" x14ac:dyDescent="0.2">
      <c r="B120" s="264" t="s">
        <v>131</v>
      </c>
      <c r="C120" s="264"/>
      <c r="D120" s="419">
        <f t="shared" ref="D120:L120" si="64">D43</f>
        <v>334284.03368181811</v>
      </c>
      <c r="E120" s="419">
        <f t="shared" si="64"/>
        <v>334284.03368181811</v>
      </c>
      <c r="F120" s="419">
        <f t="shared" si="64"/>
        <v>318614.46960298286</v>
      </c>
      <c r="G120" s="419">
        <f t="shared" si="64"/>
        <v>276828.96539275558</v>
      </c>
      <c r="H120" s="419">
        <f t="shared" si="64"/>
        <v>235043.46118252832</v>
      </c>
      <c r="I120" s="419">
        <f t="shared" si="64"/>
        <v>193257.95697230104</v>
      </c>
      <c r="J120" s="419">
        <f t="shared" si="64"/>
        <v>151472.45276207375</v>
      </c>
      <c r="K120" s="419">
        <f t="shared" si="64"/>
        <v>109686.94855184649</v>
      </c>
      <c r="L120" s="419">
        <f t="shared" si="64"/>
        <v>67901.444341619208</v>
      </c>
    </row>
    <row r="121" spans="2:12" ht="11.5" customHeight="1" thickBot="1" x14ac:dyDescent="0.2">
      <c r="B121" s="264" t="s">
        <v>132</v>
      </c>
      <c r="C121" s="264"/>
      <c r="D121" s="419">
        <f t="shared" ref="D121:L121" si="65">D44</f>
        <v>10001.312323232323</v>
      </c>
      <c r="E121" s="419">
        <f t="shared" si="65"/>
        <v>22416.443474747477</v>
      </c>
      <c r="F121" s="419">
        <f t="shared" si="65"/>
        <v>24835.998125252529</v>
      </c>
      <c r="G121" s="419">
        <f t="shared" si="65"/>
        <v>27240.422180202015</v>
      </c>
      <c r="H121" s="419">
        <f t="shared" si="65"/>
        <v>29498.263186101005</v>
      </c>
      <c r="I121" s="419">
        <f t="shared" si="65"/>
        <v>31386.129852767677</v>
      </c>
      <c r="J121" s="419">
        <f t="shared" si="65"/>
        <v>31386.129852767677</v>
      </c>
      <c r="K121" s="419">
        <f t="shared" si="65"/>
        <v>31386.129852767677</v>
      </c>
      <c r="L121" s="419">
        <f t="shared" si="65"/>
        <v>31386.129852767677</v>
      </c>
    </row>
    <row r="122" spans="2:12" ht="11.5" customHeight="1" thickBot="1" x14ac:dyDescent="0.2">
      <c r="B122" s="268" t="s">
        <v>133</v>
      </c>
      <c r="C122" s="264"/>
      <c r="D122" s="420">
        <f>SUM(D120:D121)</f>
        <v>344285.34600505041</v>
      </c>
      <c r="E122" s="420">
        <f t="shared" ref="E122:L122" si="66">SUM(E120:E121)</f>
        <v>356700.47715656558</v>
      </c>
      <c r="F122" s="420">
        <f t="shared" si="66"/>
        <v>343450.46772823541</v>
      </c>
      <c r="G122" s="420">
        <f t="shared" si="66"/>
        <v>304069.38757295761</v>
      </c>
      <c r="H122" s="420">
        <f t="shared" si="66"/>
        <v>264541.72436862934</v>
      </c>
      <c r="I122" s="420">
        <f t="shared" si="66"/>
        <v>224644.08682506872</v>
      </c>
      <c r="J122" s="420">
        <f t="shared" si="66"/>
        <v>182858.58261484143</v>
      </c>
      <c r="K122" s="420">
        <f t="shared" si="66"/>
        <v>141073.07840461418</v>
      </c>
      <c r="L122" s="420">
        <f t="shared" si="66"/>
        <v>99287.574194386892</v>
      </c>
    </row>
    <row r="123" spans="2:12" ht="11.5" customHeight="1" thickBot="1" x14ac:dyDescent="0.2">
      <c r="B123" s="264"/>
      <c r="C123" s="264"/>
      <c r="D123" s="267"/>
      <c r="E123" s="267"/>
      <c r="F123" s="267"/>
      <c r="G123" s="267"/>
      <c r="H123" s="267"/>
      <c r="I123" s="267"/>
      <c r="J123" s="267"/>
      <c r="K123" s="267"/>
      <c r="L123" s="267"/>
    </row>
    <row r="124" spans="2:12" ht="11.5" customHeight="1" thickBot="1" x14ac:dyDescent="0.2">
      <c r="B124" s="268" t="s">
        <v>127</v>
      </c>
      <c r="C124" s="264"/>
      <c r="D124" s="267">
        <f t="shared" ref="D124:L124" si="67">D118/D122</f>
        <v>6.4724102760923499</v>
      </c>
      <c r="E124" s="267">
        <f t="shared" si="67"/>
        <v>6.6116823957503863</v>
      </c>
      <c r="F124" s="267">
        <f t="shared" si="67"/>
        <v>8.0414924770257166</v>
      </c>
      <c r="G124" s="267">
        <f t="shared" si="67"/>
        <v>10.130381242497613</v>
      </c>
      <c r="H124" s="267">
        <f t="shared" si="67"/>
        <v>13.03554066655917</v>
      </c>
      <c r="I124" s="267">
        <f t="shared" si="67"/>
        <v>16.669628163103624</v>
      </c>
      <c r="J124" s="267">
        <f t="shared" si="67"/>
        <v>19.714833841041372</v>
      </c>
      <c r="K124" s="267">
        <f t="shared" si="67"/>
        <v>25.110948643742226</v>
      </c>
      <c r="L124" s="267">
        <f t="shared" si="67"/>
        <v>35.024300733789019</v>
      </c>
    </row>
    <row r="125" spans="2:12" ht="11.5" customHeight="1" thickBot="1" x14ac:dyDescent="0.2">
      <c r="B125" s="268" t="s">
        <v>134</v>
      </c>
      <c r="C125" s="264"/>
      <c r="D125" s="269">
        <f>SUM(D118:J118)/SUM(D122:J122)</f>
        <v>10.505626223228479</v>
      </c>
      <c r="E125" s="267"/>
      <c r="F125" s="267"/>
      <c r="G125" s="267"/>
      <c r="H125" s="267"/>
      <c r="I125" s="267"/>
      <c r="J125" s="267"/>
      <c r="K125" s="267"/>
      <c r="L125" s="267"/>
    </row>
    <row r="126" spans="2:12" ht="11.5" customHeight="1" thickBot="1" x14ac:dyDescent="0.2">
      <c r="B126" s="268"/>
      <c r="C126" s="264"/>
      <c r="D126" s="267"/>
      <c r="E126" s="267"/>
      <c r="F126" s="267"/>
      <c r="G126" s="267"/>
      <c r="H126" s="267"/>
      <c r="I126" s="267"/>
      <c r="J126" s="267"/>
      <c r="K126" s="267"/>
      <c r="L126" s="267"/>
    </row>
    <row r="127" spans="2:12" ht="11.5" customHeight="1" thickBot="1" x14ac:dyDescent="0.2">
      <c r="B127" s="263" t="s">
        <v>135</v>
      </c>
      <c r="C127" s="264"/>
      <c r="D127" s="267"/>
      <c r="E127" s="267"/>
      <c r="F127" s="267"/>
      <c r="G127" s="267"/>
      <c r="H127" s="267"/>
      <c r="I127" s="267"/>
      <c r="J127" s="267"/>
      <c r="K127" s="267"/>
      <c r="L127" s="267"/>
    </row>
    <row r="128" spans="2:12" ht="11.5" customHeight="1" thickBot="1" x14ac:dyDescent="0.2">
      <c r="B128" s="264"/>
      <c r="C128" s="264"/>
      <c r="D128" s="267"/>
      <c r="E128" s="267"/>
      <c r="F128" s="267"/>
      <c r="G128" s="267"/>
      <c r="H128" s="267"/>
      <c r="I128" s="267"/>
      <c r="J128" s="267"/>
      <c r="K128" s="267"/>
      <c r="L128" s="267"/>
    </row>
    <row r="129" spans="2:13" ht="11.5" customHeight="1" thickBot="1" x14ac:dyDescent="0.2">
      <c r="B129" s="264" t="s">
        <v>79</v>
      </c>
      <c r="C129" s="264"/>
      <c r="D129" s="419">
        <f t="shared" ref="D129:K129" si="68">D118</f>
        <v>2228356.0113910986</v>
      </c>
      <c r="E129" s="419">
        <f t="shared" si="68"/>
        <v>2358390.2653718274</v>
      </c>
      <c r="F129" s="419">
        <f t="shared" si="68"/>
        <v>2761854.3524675686</v>
      </c>
      <c r="G129" s="419">
        <f t="shared" si="68"/>
        <v>3080338.8202868267</v>
      </c>
      <c r="H129" s="419">
        <f t="shared" si="68"/>
        <v>3448444.4060089546</v>
      </c>
      <c r="I129" s="419">
        <f t="shared" si="68"/>
        <v>3744733.3964138613</v>
      </c>
      <c r="J129" s="419">
        <f t="shared" si="68"/>
        <v>3605026.5726599353</v>
      </c>
      <c r="K129" s="419">
        <f t="shared" si="68"/>
        <v>3542478.8268328873</v>
      </c>
      <c r="L129" s="419">
        <f t="shared" ref="L129" si="69">L118</f>
        <v>3477477.8577125962</v>
      </c>
    </row>
    <row r="130" spans="2:13" ht="11.5" customHeight="1" thickBot="1" x14ac:dyDescent="0.2">
      <c r="B130" s="268" t="s">
        <v>136</v>
      </c>
      <c r="C130" s="264"/>
      <c r="D130" s="419"/>
      <c r="E130" s="419"/>
      <c r="F130" s="419"/>
      <c r="G130" s="419"/>
      <c r="H130" s="419"/>
      <c r="I130" s="419"/>
      <c r="J130" s="419"/>
      <c r="K130" s="419"/>
      <c r="L130" s="419"/>
    </row>
    <row r="131" spans="2:13" ht="11.5" customHeight="1" thickBot="1" x14ac:dyDescent="0.2">
      <c r="B131" s="264" t="s">
        <v>137</v>
      </c>
      <c r="C131" s="264"/>
      <c r="D131" s="419">
        <f>D120</f>
        <v>334284.03368181811</v>
      </c>
      <c r="E131" s="419">
        <f t="shared" ref="E131:L132" si="70">E120</f>
        <v>334284.03368181811</v>
      </c>
      <c r="F131" s="419">
        <f t="shared" si="70"/>
        <v>318614.46960298286</v>
      </c>
      <c r="G131" s="419">
        <f t="shared" si="70"/>
        <v>276828.96539275558</v>
      </c>
      <c r="H131" s="419">
        <f t="shared" si="70"/>
        <v>235043.46118252832</v>
      </c>
      <c r="I131" s="419">
        <f t="shared" si="70"/>
        <v>193257.95697230104</v>
      </c>
      <c r="J131" s="419">
        <f t="shared" si="70"/>
        <v>151472.45276207375</v>
      </c>
      <c r="K131" s="419">
        <f t="shared" si="70"/>
        <v>109686.94855184649</v>
      </c>
      <c r="L131" s="419">
        <f t="shared" si="70"/>
        <v>67901.444341619208</v>
      </c>
    </row>
    <row r="132" spans="2:13" ht="11.5" customHeight="1" thickBot="1" x14ac:dyDescent="0.2">
      <c r="B132" s="264" t="s">
        <v>138</v>
      </c>
      <c r="C132" s="264"/>
      <c r="D132" s="419">
        <f>D121</f>
        <v>10001.312323232323</v>
      </c>
      <c r="E132" s="419">
        <f t="shared" si="70"/>
        <v>22416.443474747477</v>
      </c>
      <c r="F132" s="419">
        <f t="shared" si="70"/>
        <v>24835.998125252529</v>
      </c>
      <c r="G132" s="419">
        <f t="shared" si="70"/>
        <v>27240.422180202015</v>
      </c>
      <c r="H132" s="419">
        <f t="shared" si="70"/>
        <v>29498.263186101005</v>
      </c>
      <c r="I132" s="419">
        <f t="shared" si="70"/>
        <v>31386.129852767677</v>
      </c>
      <c r="J132" s="419">
        <f t="shared" si="70"/>
        <v>31386.129852767677</v>
      </c>
      <c r="K132" s="419">
        <f t="shared" si="70"/>
        <v>31386.129852767677</v>
      </c>
      <c r="L132" s="419">
        <f t="shared" si="70"/>
        <v>31386.129852767677</v>
      </c>
    </row>
    <row r="133" spans="2:13" ht="11.5" customHeight="1" thickBot="1" x14ac:dyDescent="0.2">
      <c r="B133" s="264" t="s">
        <v>139</v>
      </c>
      <c r="C133" s="264"/>
      <c r="D133" s="419">
        <f t="shared" ref="D133:L133" si="71">D80</f>
        <v>0</v>
      </c>
      <c r="E133" s="419">
        <f t="shared" si="71"/>
        <v>0</v>
      </c>
      <c r="F133" s="419">
        <f t="shared" si="71"/>
        <v>696425.07017045445</v>
      </c>
      <c r="G133" s="419">
        <f t="shared" si="71"/>
        <v>696425.07017045445</v>
      </c>
      <c r="H133" s="419">
        <f t="shared" si="71"/>
        <v>696425.07017045445</v>
      </c>
      <c r="I133" s="419">
        <f t="shared" si="71"/>
        <v>696425.07017045445</v>
      </c>
      <c r="J133" s="419">
        <f t="shared" si="71"/>
        <v>696425.07017045445</v>
      </c>
      <c r="K133" s="419">
        <f t="shared" si="71"/>
        <v>696425.07017045445</v>
      </c>
      <c r="L133" s="419">
        <f t="shared" si="71"/>
        <v>696425.07017045445</v>
      </c>
    </row>
    <row r="134" spans="2:13" ht="11.5" customHeight="1" thickBot="1" x14ac:dyDescent="0.2">
      <c r="B134" s="268" t="s">
        <v>140</v>
      </c>
      <c r="C134" s="268"/>
      <c r="D134" s="420">
        <f>SUM(D131:D133)</f>
        <v>344285.34600505041</v>
      </c>
      <c r="E134" s="420">
        <f t="shared" ref="E134:L134" si="72">SUM(E131:E133)</f>
        <v>356700.47715656558</v>
      </c>
      <c r="F134" s="420">
        <f t="shared" si="72"/>
        <v>1039875.5378986899</v>
      </c>
      <c r="G134" s="420">
        <f t="shared" si="72"/>
        <v>1000494.4577434121</v>
      </c>
      <c r="H134" s="420">
        <f t="shared" si="72"/>
        <v>960966.79453908373</v>
      </c>
      <c r="I134" s="420">
        <f t="shared" si="72"/>
        <v>921069.15699552314</v>
      </c>
      <c r="J134" s="420">
        <f t="shared" si="72"/>
        <v>879283.65278529585</v>
      </c>
      <c r="K134" s="420">
        <f t="shared" si="72"/>
        <v>837498.14857506868</v>
      </c>
      <c r="L134" s="420">
        <f t="shared" si="72"/>
        <v>795712.64436484128</v>
      </c>
    </row>
    <row r="135" spans="2:13" ht="11.5" customHeight="1" thickBot="1" x14ac:dyDescent="0.2">
      <c r="B135" s="264"/>
      <c r="C135" s="264"/>
      <c r="D135" s="267"/>
      <c r="E135" s="267"/>
      <c r="F135" s="267"/>
      <c r="G135" s="267"/>
      <c r="H135" s="267"/>
      <c r="I135" s="267"/>
      <c r="J135" s="267"/>
      <c r="K135" s="267"/>
      <c r="L135" s="267"/>
    </row>
    <row r="136" spans="2:13" ht="11.5" customHeight="1" thickBot="1" x14ac:dyDescent="0.2">
      <c r="B136" s="268" t="s">
        <v>128</v>
      </c>
      <c r="C136" s="264"/>
      <c r="D136" s="269">
        <f t="shared" ref="D136:J136" si="73">D129/D134</f>
        <v>6.4724102760923499</v>
      </c>
      <c r="E136" s="269">
        <f t="shared" si="73"/>
        <v>6.6116823957503863</v>
      </c>
      <c r="F136" s="269">
        <f t="shared" si="73"/>
        <v>2.6559470357852026</v>
      </c>
      <c r="G136" s="269">
        <f t="shared" si="73"/>
        <v>3.0788164756399019</v>
      </c>
      <c r="H136" s="269">
        <f t="shared" si="73"/>
        <v>3.5885156756773888</v>
      </c>
      <c r="I136" s="269">
        <f t="shared" si="73"/>
        <v>4.0656375994925025</v>
      </c>
      <c r="J136" s="269">
        <f t="shared" si="73"/>
        <v>4.0999585983889704</v>
      </c>
      <c r="K136" s="269"/>
      <c r="L136" s="269"/>
    </row>
    <row r="137" spans="2:13" ht="11.5" customHeight="1" thickBot="1" x14ac:dyDescent="0.2">
      <c r="B137" s="268" t="s">
        <v>129</v>
      </c>
      <c r="C137" s="264"/>
      <c r="D137" s="271">
        <f>SUM(D129:I129)/SUM(D134:I134)</f>
        <v>3.8115128735133359</v>
      </c>
      <c r="E137" s="267"/>
      <c r="F137" s="267"/>
      <c r="G137" s="267"/>
      <c r="H137" s="267"/>
      <c r="I137" s="267"/>
      <c r="J137" s="267"/>
      <c r="K137" s="267"/>
      <c r="L137" s="267"/>
    </row>
    <row r="138" spans="2:13" ht="11.5" customHeight="1" thickBot="1" x14ac:dyDescent="0.2">
      <c r="B138" s="264"/>
      <c r="C138" s="264"/>
      <c r="D138" s="267"/>
      <c r="E138" s="267"/>
      <c r="F138" s="267"/>
      <c r="G138" s="267"/>
      <c r="H138" s="267"/>
      <c r="I138" s="267"/>
      <c r="J138" s="267"/>
      <c r="K138" s="267"/>
      <c r="L138" s="267"/>
    </row>
    <row r="139" spans="2:13" ht="11.5" customHeight="1" thickBot="1" x14ac:dyDescent="0.2">
      <c r="B139" s="264"/>
      <c r="C139" s="264"/>
      <c r="D139" s="267"/>
      <c r="E139" s="264"/>
      <c r="F139" s="264"/>
      <c r="G139" s="264"/>
      <c r="H139" s="264"/>
      <c r="I139" s="264"/>
      <c r="J139" s="264"/>
      <c r="K139" s="264"/>
      <c r="L139" s="264"/>
    </row>
    <row r="140" spans="2:13" ht="11.5" customHeight="1" thickBot="1" x14ac:dyDescent="0.2">
      <c r="B140" s="263" t="s">
        <v>141</v>
      </c>
      <c r="C140" s="264"/>
      <c r="D140" s="264"/>
      <c r="E140" s="264"/>
      <c r="F140" s="264"/>
      <c r="G140" s="264"/>
      <c r="H140" s="264"/>
      <c r="I140" s="264"/>
      <c r="J140" s="264"/>
      <c r="K140" s="264"/>
      <c r="L140" s="264"/>
    </row>
    <row r="141" spans="2:13" ht="11.5" customHeight="1" thickBot="1" x14ac:dyDescent="0.2">
      <c r="B141" s="268" t="s">
        <v>142</v>
      </c>
      <c r="C141" s="264"/>
      <c r="D141" s="264"/>
      <c r="E141" s="264"/>
      <c r="F141" s="264"/>
      <c r="G141" s="264"/>
      <c r="H141" s="264"/>
      <c r="I141" s="264"/>
      <c r="J141" s="264"/>
      <c r="K141" s="264"/>
      <c r="L141" s="264"/>
    </row>
    <row r="142" spans="2:13" ht="11.5" customHeight="1" thickBot="1" x14ac:dyDescent="0.2">
      <c r="B142" s="264" t="s">
        <v>94</v>
      </c>
      <c r="C142" s="264"/>
      <c r="D142" s="419">
        <f t="shared" ref="D142:L142" si="74">D48</f>
        <v>1363258.9108196436</v>
      </c>
      <c r="E142" s="419">
        <f t="shared" si="74"/>
        <v>1468317.8373731636</v>
      </c>
      <c r="F142" s="419">
        <f t="shared" si="74"/>
        <v>1858516.3738127572</v>
      </c>
      <c r="G142" s="419">
        <f t="shared" si="74"/>
        <v>2193658.3924190337</v>
      </c>
      <c r="H142" s="419">
        <f t="shared" si="74"/>
        <v>2576802.0084750638</v>
      </c>
      <c r="I142" s="419">
        <f t="shared" si="74"/>
        <v>2892685.38672812</v>
      </c>
      <c r="J142" s="419">
        <f t="shared" si="74"/>
        <v>2796688.2663426916</v>
      </c>
      <c r="K142" s="419">
        <f t="shared" si="74"/>
        <v>2774436.1155582909</v>
      </c>
      <c r="L142" s="419">
        <f t="shared" si="74"/>
        <v>2750230.7681028461</v>
      </c>
    </row>
    <row r="143" spans="2:13" ht="11.5" customHeight="1" thickBot="1" x14ac:dyDescent="0.2">
      <c r="B143" s="264" t="s">
        <v>143</v>
      </c>
      <c r="C143" s="264"/>
      <c r="D143" s="419">
        <f t="shared" ref="D143:L143" si="75">D55</f>
        <v>471469.82981982949</v>
      </c>
      <c r="E143" s="419">
        <f t="shared" si="75"/>
        <v>471469.82981982949</v>
      </c>
      <c r="F143" s="419">
        <f t="shared" si="75"/>
        <v>471469.82981982949</v>
      </c>
      <c r="G143" s="419">
        <f t="shared" si="75"/>
        <v>471469.82981982949</v>
      </c>
      <c r="H143" s="419">
        <f t="shared" si="75"/>
        <v>471469.82981982949</v>
      </c>
      <c r="I143" s="419">
        <f t="shared" si="75"/>
        <v>471469.82981982949</v>
      </c>
      <c r="J143" s="419">
        <f t="shared" si="75"/>
        <v>471469.82981982949</v>
      </c>
      <c r="K143" s="419">
        <f t="shared" si="75"/>
        <v>471469.82981982949</v>
      </c>
      <c r="L143" s="419">
        <f t="shared" si="75"/>
        <v>471469.82981982949</v>
      </c>
      <c r="M143" s="202"/>
    </row>
    <row r="144" spans="2:13" ht="11.5" customHeight="1" thickBot="1" x14ac:dyDescent="0.2">
      <c r="B144" s="264" t="s">
        <v>47</v>
      </c>
      <c r="C144" s="264"/>
      <c r="D144" s="419">
        <f t="shared" ref="D144:L144" si="76">+D43</f>
        <v>334284.03368181811</v>
      </c>
      <c r="E144" s="419">
        <f t="shared" si="76"/>
        <v>334284.03368181811</v>
      </c>
      <c r="F144" s="419">
        <f t="shared" si="76"/>
        <v>318614.46960298286</v>
      </c>
      <c r="G144" s="419">
        <f t="shared" si="76"/>
        <v>276828.96539275558</v>
      </c>
      <c r="H144" s="419">
        <f t="shared" si="76"/>
        <v>235043.46118252832</v>
      </c>
      <c r="I144" s="419">
        <f t="shared" si="76"/>
        <v>193257.95697230104</v>
      </c>
      <c r="J144" s="419">
        <f t="shared" si="76"/>
        <v>151472.45276207375</v>
      </c>
      <c r="K144" s="419">
        <f t="shared" si="76"/>
        <v>109686.94855184649</v>
      </c>
      <c r="L144" s="419">
        <f t="shared" si="76"/>
        <v>67901.444341619208</v>
      </c>
    </row>
    <row r="145" spans="2:13" ht="11.5" customHeight="1" thickBot="1" x14ac:dyDescent="0.2">
      <c r="B145" s="268" t="s">
        <v>144</v>
      </c>
      <c r="C145" s="264"/>
      <c r="D145" s="420">
        <f t="shared" ref="D145:L145" si="77">SUM(D142:D144)</f>
        <v>2169012.7743212911</v>
      </c>
      <c r="E145" s="420">
        <f t="shared" si="77"/>
        <v>2274071.700874811</v>
      </c>
      <c r="F145" s="420">
        <f t="shared" si="77"/>
        <v>2648600.6732355696</v>
      </c>
      <c r="G145" s="420">
        <f t="shared" si="77"/>
        <v>2941957.1876316192</v>
      </c>
      <c r="H145" s="420">
        <f t="shared" si="77"/>
        <v>3283315.2994774217</v>
      </c>
      <c r="I145" s="420">
        <f t="shared" si="77"/>
        <v>3557413.1735202507</v>
      </c>
      <c r="J145" s="420">
        <f t="shared" si="77"/>
        <v>3419630.5489245951</v>
      </c>
      <c r="K145" s="420">
        <f t="shared" si="77"/>
        <v>3355592.8939299672</v>
      </c>
      <c r="L145" s="420">
        <f t="shared" si="77"/>
        <v>3289602.0422642948</v>
      </c>
    </row>
    <row r="146" spans="2:13" ht="11.5" customHeight="1" thickBot="1" x14ac:dyDescent="0.2">
      <c r="B146" s="264"/>
      <c r="C146" s="264"/>
      <c r="D146" s="264"/>
      <c r="E146" s="264"/>
      <c r="F146" s="264"/>
      <c r="G146" s="264"/>
      <c r="H146" s="264"/>
      <c r="I146" s="264"/>
      <c r="J146" s="264"/>
      <c r="K146" s="264"/>
      <c r="L146" s="264"/>
    </row>
    <row r="147" spans="2:13" ht="11.5" customHeight="1" thickBot="1" x14ac:dyDescent="0.2">
      <c r="B147" s="268" t="s">
        <v>145</v>
      </c>
      <c r="C147" s="264"/>
      <c r="D147" s="264"/>
      <c r="E147" s="264"/>
      <c r="F147" s="264"/>
      <c r="G147" s="264"/>
      <c r="H147" s="264"/>
      <c r="I147" s="264"/>
      <c r="J147" s="264"/>
      <c r="K147" s="264"/>
      <c r="L147" s="264"/>
    </row>
    <row r="148" spans="2:13" ht="11.5" customHeight="1" thickBot="1" x14ac:dyDescent="0.2">
      <c r="B148" s="264" t="s">
        <v>146</v>
      </c>
      <c r="C148" s="272">
        <f>C78</f>
        <v>7959143.6590909082</v>
      </c>
      <c r="D148" s="264"/>
      <c r="E148" s="264"/>
      <c r="F148" s="264"/>
      <c r="G148" s="264"/>
      <c r="H148" s="264"/>
      <c r="I148" s="264"/>
      <c r="J148" s="264"/>
      <c r="K148" s="264"/>
      <c r="L148" s="264"/>
    </row>
    <row r="149" spans="2:13" ht="11.5" customHeight="1" thickBot="1" x14ac:dyDescent="0.2">
      <c r="B149" s="264" t="s">
        <v>147</v>
      </c>
      <c r="C149" s="272">
        <f>C79</f>
        <v>0</v>
      </c>
      <c r="D149" s="267">
        <f t="shared" ref="D149:L149" si="78">D79*0</f>
        <v>0</v>
      </c>
      <c r="E149" s="267">
        <f t="shared" si="78"/>
        <v>0</v>
      </c>
      <c r="F149" s="267">
        <f t="shared" si="78"/>
        <v>0</v>
      </c>
      <c r="G149" s="267">
        <f t="shared" si="78"/>
        <v>0</v>
      </c>
      <c r="H149" s="267">
        <f t="shared" si="78"/>
        <v>0</v>
      </c>
      <c r="I149" s="267">
        <f t="shared" si="78"/>
        <v>0</v>
      </c>
      <c r="J149" s="267">
        <f t="shared" si="78"/>
        <v>0</v>
      </c>
      <c r="K149" s="267">
        <f t="shared" si="78"/>
        <v>0</v>
      </c>
      <c r="L149" s="267">
        <f t="shared" si="78"/>
        <v>0</v>
      </c>
    </row>
    <row r="150" spans="2:13" ht="11.5" customHeight="1" thickBot="1" x14ac:dyDescent="0.2">
      <c r="B150" s="264" t="s">
        <v>148</v>
      </c>
      <c r="C150" s="272"/>
      <c r="D150" s="267">
        <f t="shared" ref="D150:L150" si="79">+D80*0</f>
        <v>0</v>
      </c>
      <c r="E150" s="267">
        <f t="shared" si="79"/>
        <v>0</v>
      </c>
      <c r="F150" s="267">
        <f t="shared" si="79"/>
        <v>0</v>
      </c>
      <c r="G150" s="267">
        <f t="shared" si="79"/>
        <v>0</v>
      </c>
      <c r="H150" s="267">
        <f t="shared" si="79"/>
        <v>0</v>
      </c>
      <c r="I150" s="267">
        <f t="shared" si="79"/>
        <v>0</v>
      </c>
      <c r="J150" s="267">
        <f t="shared" si="79"/>
        <v>0</v>
      </c>
      <c r="K150" s="267">
        <f t="shared" si="79"/>
        <v>0</v>
      </c>
      <c r="L150" s="267">
        <f t="shared" si="79"/>
        <v>0</v>
      </c>
    </row>
    <row r="151" spans="2:13" ht="11.5" customHeight="1" thickBot="1" x14ac:dyDescent="0.2">
      <c r="B151" s="264" t="s">
        <v>149</v>
      </c>
      <c r="C151" s="273">
        <f>SUM(C148:C149)</f>
        <v>7959143.6590909082</v>
      </c>
      <c r="D151" s="274">
        <f>SUM(D149:D150)</f>
        <v>0</v>
      </c>
      <c r="E151" s="274">
        <f t="shared" ref="E151:L151" si="80">SUM(E149:E150)</f>
        <v>0</v>
      </c>
      <c r="F151" s="274">
        <f t="shared" si="80"/>
        <v>0</v>
      </c>
      <c r="G151" s="274">
        <f t="shared" si="80"/>
        <v>0</v>
      </c>
      <c r="H151" s="274">
        <f t="shared" si="80"/>
        <v>0</v>
      </c>
      <c r="I151" s="274">
        <f t="shared" si="80"/>
        <v>0</v>
      </c>
      <c r="J151" s="274">
        <f t="shared" si="80"/>
        <v>0</v>
      </c>
      <c r="K151" s="274">
        <f t="shared" si="80"/>
        <v>0</v>
      </c>
      <c r="L151" s="274">
        <f t="shared" si="80"/>
        <v>0</v>
      </c>
    </row>
    <row r="152" spans="2:13" ht="11.5" customHeight="1" thickBot="1" x14ac:dyDescent="0.2">
      <c r="B152" s="264"/>
      <c r="C152" s="273"/>
      <c r="D152" s="274"/>
      <c r="E152" s="274"/>
      <c r="F152" s="274"/>
      <c r="G152" s="274"/>
      <c r="H152" s="274"/>
      <c r="I152" s="274"/>
      <c r="J152" s="274"/>
      <c r="K152" s="274"/>
      <c r="L152" s="274"/>
    </row>
    <row r="153" spans="2:13" ht="11.5" customHeight="1" thickBot="1" x14ac:dyDescent="0.2">
      <c r="B153" s="264" t="s">
        <v>150</v>
      </c>
      <c r="C153" s="272"/>
      <c r="D153" s="264"/>
      <c r="E153" s="264"/>
      <c r="F153" s="264"/>
      <c r="G153" s="264"/>
      <c r="H153" s="264"/>
      <c r="I153" s="264"/>
      <c r="J153" s="264"/>
      <c r="K153" s="264"/>
      <c r="L153" s="274"/>
    </row>
    <row r="154" spans="2:13" ht="11.5" customHeight="1" thickBot="1" x14ac:dyDescent="0.2">
      <c r="B154" s="264" t="s">
        <v>196</v>
      </c>
      <c r="C154" s="275">
        <f>-'Project Cost'!D21</f>
        <v>-7959143.6590909073</v>
      </c>
      <c r="D154" s="276">
        <f>D145-D151</f>
        <v>2169012.7743212911</v>
      </c>
      <c r="E154" s="276">
        <f>E145-E151</f>
        <v>2274071.700874811</v>
      </c>
      <c r="F154" s="276">
        <f t="shared" ref="F154:L154" si="81">F145-F151</f>
        <v>2648600.6732355696</v>
      </c>
      <c r="G154" s="276">
        <f t="shared" si="81"/>
        <v>2941957.1876316192</v>
      </c>
      <c r="H154" s="276">
        <f t="shared" si="81"/>
        <v>3283315.2994774217</v>
      </c>
      <c r="I154" s="276">
        <f t="shared" si="81"/>
        <v>3557413.1735202507</v>
      </c>
      <c r="J154" s="276">
        <f t="shared" si="81"/>
        <v>3419630.5489245951</v>
      </c>
      <c r="K154" s="276">
        <f t="shared" si="81"/>
        <v>3355592.8939299672</v>
      </c>
      <c r="L154" s="276">
        <f t="shared" si="81"/>
        <v>3289602.0422642948</v>
      </c>
      <c r="M154" s="277">
        <f>M100</f>
        <v>3244445.3608926134</v>
      </c>
    </row>
    <row r="155" spans="2:13" ht="11.5" customHeight="1" thickBot="1" x14ac:dyDescent="0.2">
      <c r="B155" s="264" t="s">
        <v>151</v>
      </c>
      <c r="C155" s="278">
        <f>IRR(C154:M154)</f>
        <v>0.3169003201662024</v>
      </c>
      <c r="D155" s="264"/>
      <c r="E155" s="264"/>
      <c r="F155" s="264"/>
      <c r="G155" s="264"/>
      <c r="H155" s="264"/>
      <c r="I155" s="264"/>
      <c r="J155" s="264"/>
      <c r="K155" s="264"/>
      <c r="L155" s="264"/>
    </row>
    <row r="156" spans="2:13" ht="11.5" customHeight="1" thickBot="1" x14ac:dyDescent="0.2">
      <c r="B156" s="264"/>
      <c r="C156" s="278"/>
      <c r="D156" s="264"/>
      <c r="E156" s="264"/>
      <c r="F156" s="264"/>
      <c r="G156" s="264"/>
      <c r="H156" s="264"/>
      <c r="I156" s="264"/>
      <c r="J156" s="264"/>
      <c r="K156" s="264"/>
      <c r="L156" s="264"/>
    </row>
    <row r="157" spans="2:13" ht="11.5" customHeight="1" thickBot="1" x14ac:dyDescent="0.2">
      <c r="B157" s="279" t="s">
        <v>435</v>
      </c>
      <c r="C157" s="278"/>
      <c r="D157" s="264"/>
      <c r="E157" s="264"/>
      <c r="F157" s="264"/>
      <c r="G157" s="264"/>
      <c r="H157" s="264"/>
      <c r="I157" s="264"/>
      <c r="J157" s="264"/>
      <c r="K157" s="264"/>
      <c r="L157" s="264"/>
    </row>
    <row r="158" spans="2:13" ht="11.5" customHeight="1" thickBot="1" x14ac:dyDescent="0.2">
      <c r="B158" s="268" t="s">
        <v>142</v>
      </c>
      <c r="C158" s="269"/>
      <c r="D158" s="280"/>
      <c r="E158" s="280"/>
      <c r="F158" s="280"/>
      <c r="G158" s="280"/>
      <c r="H158" s="280"/>
      <c r="I158" s="280"/>
      <c r="J158" s="280"/>
      <c r="K158" s="280"/>
      <c r="L158" s="280"/>
      <c r="M158" s="202" t="e">
        <f>#REF!</f>
        <v>#REF!</v>
      </c>
    </row>
    <row r="159" spans="2:13" ht="11.5" customHeight="1" thickBot="1" x14ac:dyDescent="0.2">
      <c r="B159" s="264" t="s">
        <v>94</v>
      </c>
      <c r="C159" s="269"/>
      <c r="D159" s="276">
        <f t="shared" ref="D159:L159" si="82">+D142</f>
        <v>1363258.9108196436</v>
      </c>
      <c r="E159" s="276">
        <f t="shared" si="82"/>
        <v>1468317.8373731636</v>
      </c>
      <c r="F159" s="276">
        <f t="shared" si="82"/>
        <v>1858516.3738127572</v>
      </c>
      <c r="G159" s="276">
        <f t="shared" si="82"/>
        <v>2193658.3924190337</v>
      </c>
      <c r="H159" s="276">
        <f t="shared" si="82"/>
        <v>2576802.0084750638</v>
      </c>
      <c r="I159" s="276">
        <f t="shared" si="82"/>
        <v>2892685.38672812</v>
      </c>
      <c r="J159" s="276">
        <f t="shared" si="82"/>
        <v>2796688.2663426916</v>
      </c>
      <c r="K159" s="276">
        <f t="shared" si="82"/>
        <v>2774436.1155582909</v>
      </c>
      <c r="L159" s="276">
        <f t="shared" si="82"/>
        <v>2750230.7681028461</v>
      </c>
      <c r="M159" s="202"/>
    </row>
    <row r="160" spans="2:13" ht="11.5" customHeight="1" thickBot="1" x14ac:dyDescent="0.2">
      <c r="B160" s="264" t="s">
        <v>143</v>
      </c>
      <c r="C160" s="269"/>
      <c r="D160" s="276">
        <f t="shared" ref="D160:L160" si="83">+D143</f>
        <v>471469.82981982949</v>
      </c>
      <c r="E160" s="276">
        <f t="shared" si="83"/>
        <v>471469.82981982949</v>
      </c>
      <c r="F160" s="276">
        <f t="shared" si="83"/>
        <v>471469.82981982949</v>
      </c>
      <c r="G160" s="276">
        <f t="shared" si="83"/>
        <v>471469.82981982949</v>
      </c>
      <c r="H160" s="276">
        <f t="shared" si="83"/>
        <v>471469.82981982949</v>
      </c>
      <c r="I160" s="276">
        <f t="shared" si="83"/>
        <v>471469.82981982949</v>
      </c>
      <c r="J160" s="276">
        <f t="shared" si="83"/>
        <v>471469.82981982949</v>
      </c>
      <c r="K160" s="276">
        <f t="shared" si="83"/>
        <v>471469.82981982949</v>
      </c>
      <c r="L160" s="276">
        <f t="shared" si="83"/>
        <v>471469.82981982949</v>
      </c>
      <c r="M160" s="202"/>
    </row>
    <row r="161" spans="2:13" ht="11.5" customHeight="1" thickBot="1" x14ac:dyDescent="0.2">
      <c r="B161" s="264" t="s">
        <v>47</v>
      </c>
      <c r="C161" s="269"/>
      <c r="D161" s="276"/>
      <c r="E161" s="276"/>
      <c r="F161" s="276"/>
      <c r="G161" s="276"/>
      <c r="H161" s="276"/>
      <c r="I161" s="276"/>
      <c r="J161" s="276"/>
      <c r="K161" s="276"/>
      <c r="L161" s="276"/>
      <c r="M161" s="202"/>
    </row>
    <row r="162" spans="2:13" ht="11.5" customHeight="1" thickBot="1" x14ac:dyDescent="0.2">
      <c r="B162" s="268" t="s">
        <v>144</v>
      </c>
      <c r="C162" s="269"/>
      <c r="D162" s="276">
        <f t="shared" ref="D162" si="84">+D159+D160+D161</f>
        <v>1834728.7406394731</v>
      </c>
      <c r="E162" s="276">
        <f t="shared" ref="E162:L162" si="85">+E159+E160+E161</f>
        <v>1939787.667192993</v>
      </c>
      <c r="F162" s="276">
        <f t="shared" si="85"/>
        <v>2329986.2036325866</v>
      </c>
      <c r="G162" s="276">
        <f t="shared" si="85"/>
        <v>2665128.2222388634</v>
      </c>
      <c r="H162" s="276">
        <f t="shared" si="85"/>
        <v>3048271.8382948935</v>
      </c>
      <c r="I162" s="276">
        <f t="shared" si="85"/>
        <v>3364155.2165479497</v>
      </c>
      <c r="J162" s="276">
        <f t="shared" si="85"/>
        <v>3268158.0961625213</v>
      </c>
      <c r="K162" s="276">
        <f t="shared" si="85"/>
        <v>3245905.9453781205</v>
      </c>
      <c r="L162" s="276">
        <f t="shared" si="85"/>
        <v>3221700.5979226758</v>
      </c>
      <c r="M162" s="202"/>
    </row>
    <row r="163" spans="2:13" ht="11.5" customHeight="1" thickBot="1" x14ac:dyDescent="0.2">
      <c r="B163" s="264"/>
      <c r="C163" s="269"/>
      <c r="D163" s="276"/>
      <c r="E163" s="276"/>
      <c r="F163" s="276"/>
      <c r="G163" s="276"/>
      <c r="H163" s="276"/>
      <c r="I163" s="276"/>
      <c r="J163" s="276"/>
      <c r="K163" s="276"/>
      <c r="L163" s="276"/>
      <c r="M163" s="202"/>
    </row>
    <row r="164" spans="2:13" ht="11.5" customHeight="1" thickBot="1" x14ac:dyDescent="0.2">
      <c r="B164" s="268" t="s">
        <v>145</v>
      </c>
      <c r="C164" s="269"/>
      <c r="D164" s="276"/>
      <c r="E164" s="276"/>
      <c r="F164" s="276"/>
      <c r="G164" s="276"/>
      <c r="H164" s="276"/>
      <c r="I164" s="276"/>
      <c r="J164" s="276"/>
      <c r="K164" s="276"/>
      <c r="L164" s="276"/>
      <c r="M164" s="202"/>
    </row>
    <row r="165" spans="2:13" ht="11.5" customHeight="1" thickBot="1" x14ac:dyDescent="0.2">
      <c r="B165" s="264" t="s">
        <v>146</v>
      </c>
      <c r="C165" s="270">
        <f>+C71</f>
        <v>2387743.0977272722</v>
      </c>
      <c r="D165" s="276"/>
      <c r="E165" s="276"/>
      <c r="F165" s="276"/>
      <c r="G165" s="276"/>
      <c r="H165" s="276"/>
      <c r="I165" s="276"/>
      <c r="J165" s="276"/>
      <c r="K165" s="276"/>
      <c r="L165" s="276"/>
      <c r="M165" s="202"/>
    </row>
    <row r="166" spans="2:13" ht="11.5" customHeight="1" thickBot="1" x14ac:dyDescent="0.2">
      <c r="B166" s="264" t="s">
        <v>436</v>
      </c>
      <c r="C166" s="270"/>
      <c r="D166" s="276">
        <f t="shared" ref="D166:L166" si="86">D80</f>
        <v>0</v>
      </c>
      <c r="E166" s="276">
        <f t="shared" si="86"/>
        <v>0</v>
      </c>
      <c r="F166" s="276">
        <f t="shared" si="86"/>
        <v>696425.07017045445</v>
      </c>
      <c r="G166" s="276">
        <f t="shared" si="86"/>
        <v>696425.07017045445</v>
      </c>
      <c r="H166" s="276">
        <f t="shared" si="86"/>
        <v>696425.07017045445</v>
      </c>
      <c r="I166" s="276">
        <f t="shared" si="86"/>
        <v>696425.07017045445</v>
      </c>
      <c r="J166" s="276">
        <f t="shared" si="86"/>
        <v>696425.07017045445</v>
      </c>
      <c r="K166" s="276">
        <f t="shared" si="86"/>
        <v>696425.07017045445</v>
      </c>
      <c r="L166" s="276">
        <f t="shared" si="86"/>
        <v>696425.07017045445</v>
      </c>
      <c r="M166" s="202"/>
    </row>
    <row r="167" spans="2:13" ht="11.5" customHeight="1" thickBot="1" x14ac:dyDescent="0.2">
      <c r="B167" s="268" t="s">
        <v>437</v>
      </c>
      <c r="C167" s="281">
        <f>+C162-C165</f>
        <v>-2387743.0977272722</v>
      </c>
      <c r="D167" s="276">
        <f t="shared" ref="D167:L167" si="87">+D162-D166</f>
        <v>1834728.7406394731</v>
      </c>
      <c r="E167" s="276">
        <f t="shared" si="87"/>
        <v>1939787.667192993</v>
      </c>
      <c r="F167" s="276">
        <f t="shared" si="87"/>
        <v>1633561.1334621322</v>
      </c>
      <c r="G167" s="276">
        <f t="shared" si="87"/>
        <v>1968703.1520684089</v>
      </c>
      <c r="H167" s="276">
        <f t="shared" si="87"/>
        <v>2351846.7681244388</v>
      </c>
      <c r="I167" s="276">
        <f t="shared" si="87"/>
        <v>2667730.1463774955</v>
      </c>
      <c r="J167" s="276">
        <f t="shared" si="87"/>
        <v>2571733.0259920666</v>
      </c>
      <c r="K167" s="276">
        <f t="shared" si="87"/>
        <v>2549480.8752076663</v>
      </c>
      <c r="L167" s="276">
        <f t="shared" si="87"/>
        <v>2525275.5277522216</v>
      </c>
      <c r="M167" s="282" t="e">
        <f>#REF!*0</f>
        <v>#REF!</v>
      </c>
    </row>
    <row r="168" spans="2:13" ht="11.5" customHeight="1" thickBot="1" x14ac:dyDescent="0.2">
      <c r="B168" s="268"/>
      <c r="C168" s="269"/>
      <c r="D168" s="280"/>
      <c r="E168" s="280"/>
      <c r="F168" s="280"/>
      <c r="G168" s="280"/>
      <c r="H168" s="280"/>
      <c r="I168" s="280"/>
      <c r="J168" s="280"/>
      <c r="K168" s="280"/>
      <c r="L168" s="280"/>
      <c r="M168" s="202"/>
    </row>
    <row r="169" spans="2:13" ht="11.5" customHeight="1" thickBot="1" x14ac:dyDescent="0.2">
      <c r="B169" s="264" t="s">
        <v>152</v>
      </c>
      <c r="C169" s="283"/>
      <c r="D169" s="264"/>
      <c r="E169" s="264"/>
      <c r="F169" s="264"/>
      <c r="G169" s="264"/>
      <c r="H169" s="264"/>
      <c r="I169" s="264"/>
      <c r="J169" s="264"/>
      <c r="K169" s="264"/>
      <c r="L169" s="264"/>
    </row>
    <row r="170" spans="2:13" ht="11.5" customHeight="1" x14ac:dyDescent="0.15">
      <c r="C170" s="284"/>
    </row>
    <row r="171" spans="2:13" ht="11.5" customHeight="1" thickBot="1" x14ac:dyDescent="0.2">
      <c r="C171" s="284"/>
    </row>
    <row r="172" spans="2:13" ht="11.5" customHeight="1" thickBot="1" x14ac:dyDescent="0.2">
      <c r="B172" s="285" t="s">
        <v>441</v>
      </c>
      <c r="C172" s="285" t="s">
        <v>153</v>
      </c>
      <c r="D172" s="286"/>
      <c r="E172" s="286"/>
      <c r="F172" s="286"/>
      <c r="G172" s="286"/>
      <c r="H172" s="286"/>
      <c r="I172" s="286"/>
      <c r="J172" s="286"/>
      <c r="K172" s="286"/>
      <c r="L172" s="286"/>
    </row>
    <row r="173" spans="2:13" ht="11.5" customHeight="1" thickBot="1" x14ac:dyDescent="0.2">
      <c r="B173" s="285" t="s">
        <v>440</v>
      </c>
      <c r="C173" s="285" t="s">
        <v>153</v>
      </c>
      <c r="D173" s="287">
        <v>0</v>
      </c>
      <c r="E173" s="287">
        <v>0</v>
      </c>
      <c r="F173" s="287">
        <v>0</v>
      </c>
      <c r="G173" s="287">
        <v>0</v>
      </c>
      <c r="H173" s="287">
        <v>0</v>
      </c>
      <c r="I173" s="287">
        <v>0</v>
      </c>
      <c r="J173" s="287">
        <v>0</v>
      </c>
      <c r="K173" s="287">
        <v>0</v>
      </c>
      <c r="L173" s="287">
        <v>0</v>
      </c>
    </row>
    <row r="175" spans="2:13" ht="11.5" hidden="1" customHeight="1" x14ac:dyDescent="0.15">
      <c r="B175" s="288" t="s">
        <v>450</v>
      </c>
      <c r="C175" s="289"/>
      <c r="D175" s="289"/>
      <c r="E175" s="289"/>
      <c r="F175" s="289"/>
      <c r="G175" s="289"/>
      <c r="H175" s="289"/>
      <c r="I175" s="289"/>
      <c r="J175" s="289"/>
      <c r="K175" s="289"/>
      <c r="L175" s="289"/>
    </row>
    <row r="176" spans="2:13" ht="11.5" hidden="1" customHeight="1" x14ac:dyDescent="0.15">
      <c r="B176" s="290" t="s">
        <v>154</v>
      </c>
      <c r="C176" s="291"/>
      <c r="D176" s="292">
        <f t="shared" ref="D176:L176" si="88">D40</f>
        <v>1522136.1098210227</v>
      </c>
      <c r="E176" s="292">
        <f t="shared" si="88"/>
        <v>1844692.886143324</v>
      </c>
      <c r="F176" s="292">
        <f t="shared" si="88"/>
        <v>1894895.2960172798</v>
      </c>
      <c r="G176" s="292">
        <f t="shared" si="88"/>
        <v>2027240.3385010515</v>
      </c>
      <c r="H176" s="292">
        <f t="shared" si="88"/>
        <v>2082479.9413849846</v>
      </c>
      <c r="I176" s="292">
        <f t="shared" si="88"/>
        <v>2140165.950980078</v>
      </c>
      <c r="J176" s="292">
        <f t="shared" si="88"/>
        <v>2279872.7747340039</v>
      </c>
      <c r="K176" s="292">
        <f t="shared" si="88"/>
        <v>2342420.520561052</v>
      </c>
      <c r="L176" s="292">
        <f t="shared" si="88"/>
        <v>2407421.4896813431</v>
      </c>
    </row>
    <row r="177" spans="2:12" ht="11.5" hidden="1" customHeight="1" x14ac:dyDescent="0.15">
      <c r="B177" s="290" t="s">
        <v>155</v>
      </c>
      <c r="C177" s="293" t="s">
        <v>156</v>
      </c>
      <c r="D177" s="294">
        <f>D38</f>
        <v>815224.36436647724</v>
      </c>
      <c r="E177" s="294">
        <f t="shared" ref="E177:L177" si="89">E38</f>
        <v>1137781.1406887784</v>
      </c>
      <c r="F177" s="294">
        <f t="shared" si="89"/>
        <v>1187983.5505627342</v>
      </c>
      <c r="G177" s="294">
        <f t="shared" si="89"/>
        <v>1320328.5930465059</v>
      </c>
      <c r="H177" s="294">
        <f t="shared" si="89"/>
        <v>1375568.1959304393</v>
      </c>
      <c r="I177" s="294">
        <f t="shared" si="89"/>
        <v>1433254.2055255326</v>
      </c>
      <c r="J177" s="294">
        <f t="shared" si="89"/>
        <v>1572961.0292794583</v>
      </c>
      <c r="K177" s="294">
        <f t="shared" si="89"/>
        <v>1635508.7751065067</v>
      </c>
      <c r="L177" s="294">
        <f t="shared" si="89"/>
        <v>1700509.7442267975</v>
      </c>
    </row>
    <row r="178" spans="2:12" ht="11.5" hidden="1" customHeight="1" x14ac:dyDescent="0.15">
      <c r="B178" s="295" t="s">
        <v>39</v>
      </c>
      <c r="C178" s="296">
        <v>1</v>
      </c>
      <c r="D178" s="297">
        <f t="shared" ref="D178:L178" si="90">$C178*D45</f>
        <v>471469.82981982949</v>
      </c>
      <c r="E178" s="297">
        <f t="shared" si="90"/>
        <v>471469.82981982949</v>
      </c>
      <c r="F178" s="297">
        <f t="shared" si="90"/>
        <v>471469.82981982949</v>
      </c>
      <c r="G178" s="297">
        <f t="shared" si="90"/>
        <v>471469.82981982949</v>
      </c>
      <c r="H178" s="297">
        <f t="shared" si="90"/>
        <v>471469.82981982949</v>
      </c>
      <c r="I178" s="297">
        <f t="shared" si="90"/>
        <v>471469.82981982949</v>
      </c>
      <c r="J178" s="297">
        <f t="shared" si="90"/>
        <v>471469.82981982949</v>
      </c>
      <c r="K178" s="297">
        <f t="shared" si="90"/>
        <v>471469.82981982949</v>
      </c>
      <c r="L178" s="297">
        <f t="shared" si="90"/>
        <v>471469.82981982949</v>
      </c>
    </row>
    <row r="179" spans="2:12" ht="11.5" hidden="1" customHeight="1" x14ac:dyDescent="0.15">
      <c r="B179" s="290" t="s">
        <v>157</v>
      </c>
      <c r="C179" s="293"/>
      <c r="D179" s="292">
        <f>SUM(D32:D36)</f>
        <v>815224.36436647724</v>
      </c>
      <c r="E179" s="292">
        <f t="shared" ref="E179:L179" si="91">SUM(E178:E178)</f>
        <v>471469.82981982949</v>
      </c>
      <c r="F179" s="292">
        <f t="shared" si="91"/>
        <v>471469.82981982949</v>
      </c>
      <c r="G179" s="292">
        <f t="shared" si="91"/>
        <v>471469.82981982949</v>
      </c>
      <c r="H179" s="292">
        <f t="shared" si="91"/>
        <v>471469.82981982949</v>
      </c>
      <c r="I179" s="292">
        <f t="shared" si="91"/>
        <v>471469.82981982949</v>
      </c>
      <c r="J179" s="292">
        <f t="shared" si="91"/>
        <v>471469.82981982949</v>
      </c>
      <c r="K179" s="292">
        <f t="shared" si="91"/>
        <v>471469.82981982949</v>
      </c>
      <c r="L179" s="292">
        <f t="shared" si="91"/>
        <v>471469.82981982949</v>
      </c>
    </row>
    <row r="180" spans="2:12" ht="11.5" hidden="1" customHeight="1" x14ac:dyDescent="0.15">
      <c r="B180" s="295"/>
      <c r="C180" s="293"/>
      <c r="D180" s="293"/>
      <c r="E180" s="293"/>
      <c r="F180" s="293"/>
      <c r="G180" s="293"/>
      <c r="H180" s="293"/>
      <c r="I180" s="293"/>
      <c r="J180" s="293"/>
      <c r="K180" s="293"/>
      <c r="L180" s="293"/>
    </row>
    <row r="181" spans="2:12" ht="11.5" hidden="1" customHeight="1" x14ac:dyDescent="0.15">
      <c r="B181" s="290" t="s">
        <v>158</v>
      </c>
      <c r="C181" s="293"/>
      <c r="D181" s="292">
        <f t="shared" ref="D181:L181" si="92">D176-D179</f>
        <v>706911.74545454548</v>
      </c>
      <c r="E181" s="292">
        <f t="shared" si="92"/>
        <v>1373223.0563234945</v>
      </c>
      <c r="F181" s="292">
        <f t="shared" si="92"/>
        <v>1423425.4661974504</v>
      </c>
      <c r="G181" s="292">
        <f t="shared" si="92"/>
        <v>1555770.5086812221</v>
      </c>
      <c r="H181" s="292">
        <f t="shared" si="92"/>
        <v>1611010.1115651552</v>
      </c>
      <c r="I181" s="292">
        <f t="shared" si="92"/>
        <v>1668696.1211602485</v>
      </c>
      <c r="J181" s="292">
        <f t="shared" si="92"/>
        <v>1808402.9449141745</v>
      </c>
      <c r="K181" s="292">
        <f t="shared" si="92"/>
        <v>1870950.6907412226</v>
      </c>
      <c r="L181" s="292">
        <f t="shared" si="92"/>
        <v>1935951.6598615136</v>
      </c>
    </row>
    <row r="182" spans="2:12" ht="11.5" hidden="1" customHeight="1" x14ac:dyDescent="0.15">
      <c r="B182" s="295"/>
      <c r="C182" s="293"/>
      <c r="D182" s="298"/>
      <c r="E182" s="298"/>
      <c r="F182" s="298"/>
      <c r="G182" s="298"/>
      <c r="H182" s="298"/>
      <c r="I182" s="298"/>
      <c r="J182" s="298"/>
      <c r="K182" s="298"/>
      <c r="L182" s="298"/>
    </row>
    <row r="183" spans="2:12" ht="11.5" hidden="1" customHeight="1" x14ac:dyDescent="0.15">
      <c r="B183" s="290" t="s">
        <v>17</v>
      </c>
      <c r="C183" s="293"/>
      <c r="D183" s="292">
        <f>D4-D181</f>
        <v>-656511.74545454548</v>
      </c>
      <c r="E183" s="292">
        <f t="shared" ref="E183:L183" si="93">E16-E181</f>
        <v>2829860.0951916566</v>
      </c>
      <c r="F183" s="292">
        <f t="shared" si="93"/>
        <v>3233324.1822873978</v>
      </c>
      <c r="G183" s="292">
        <f t="shared" si="93"/>
        <v>3551808.6501066564</v>
      </c>
      <c r="H183" s="292">
        <f t="shared" si="93"/>
        <v>3919914.2358287843</v>
      </c>
      <c r="I183" s="292">
        <f t="shared" si="93"/>
        <v>4216203.226233691</v>
      </c>
      <c r="J183" s="292">
        <f t="shared" si="93"/>
        <v>4076496.402479765</v>
      </c>
      <c r="K183" s="292">
        <f t="shared" si="93"/>
        <v>4013948.6566527169</v>
      </c>
      <c r="L183" s="292">
        <f t="shared" si="93"/>
        <v>3948947.6875324259</v>
      </c>
    </row>
    <row r="184" spans="2:12" ht="11.5" hidden="1" customHeight="1" x14ac:dyDescent="0.15">
      <c r="B184" s="295"/>
      <c r="C184" s="293"/>
      <c r="D184" s="298"/>
      <c r="E184" s="298"/>
      <c r="F184" s="298"/>
      <c r="G184" s="298"/>
      <c r="H184" s="298"/>
      <c r="I184" s="298"/>
      <c r="J184" s="298"/>
      <c r="K184" s="298"/>
      <c r="L184" s="298"/>
    </row>
    <row r="185" spans="2:12" ht="11.5" hidden="1" customHeight="1" x14ac:dyDescent="0.15">
      <c r="B185" s="290" t="s">
        <v>442</v>
      </c>
      <c r="C185" s="291"/>
      <c r="D185" s="292" t="e">
        <f t="shared" ref="D185:L185" si="94">D183*100000/(D173)</f>
        <v>#DIV/0!</v>
      </c>
      <c r="E185" s="292" t="e">
        <f t="shared" si="94"/>
        <v>#DIV/0!</v>
      </c>
      <c r="F185" s="292" t="e">
        <f t="shared" si="94"/>
        <v>#DIV/0!</v>
      </c>
      <c r="G185" s="292" t="e">
        <f t="shared" si="94"/>
        <v>#DIV/0!</v>
      </c>
      <c r="H185" s="292" t="e">
        <f t="shared" si="94"/>
        <v>#DIV/0!</v>
      </c>
      <c r="I185" s="292" t="e">
        <f t="shared" si="94"/>
        <v>#DIV/0!</v>
      </c>
      <c r="J185" s="292" t="e">
        <f t="shared" si="94"/>
        <v>#DIV/0!</v>
      </c>
      <c r="K185" s="292" t="e">
        <f t="shared" si="94"/>
        <v>#DIV/0!</v>
      </c>
      <c r="L185" s="292" t="e">
        <f t="shared" si="94"/>
        <v>#DIV/0!</v>
      </c>
    </row>
    <row r="186" spans="2:12" ht="11.5" hidden="1" customHeight="1" x14ac:dyDescent="0.15">
      <c r="B186" s="295"/>
      <c r="C186" s="293"/>
      <c r="D186" s="298"/>
      <c r="E186" s="298"/>
      <c r="F186" s="298"/>
      <c r="G186" s="298"/>
      <c r="H186" s="298"/>
      <c r="I186" s="298"/>
      <c r="J186" s="298"/>
      <c r="K186" s="298"/>
      <c r="L186" s="298"/>
    </row>
    <row r="187" spans="2:12" ht="11.5" hidden="1" customHeight="1" x14ac:dyDescent="0.15">
      <c r="B187" s="295" t="s">
        <v>448</v>
      </c>
      <c r="C187" s="293"/>
      <c r="D187" s="298" t="e">
        <f>ROUND(D179*100000/(D185),0)</f>
        <v>#DIV/0!</v>
      </c>
      <c r="E187" s="298" t="e">
        <f t="shared" ref="E187:L187" si="95">ROUND(E179*100000/(E185),0)</f>
        <v>#DIV/0!</v>
      </c>
      <c r="F187" s="298" t="e">
        <f t="shared" si="95"/>
        <v>#DIV/0!</v>
      </c>
      <c r="G187" s="298" t="e">
        <f t="shared" si="95"/>
        <v>#DIV/0!</v>
      </c>
      <c r="H187" s="298" t="e">
        <f t="shared" si="95"/>
        <v>#DIV/0!</v>
      </c>
      <c r="I187" s="298" t="e">
        <f t="shared" si="95"/>
        <v>#DIV/0!</v>
      </c>
      <c r="J187" s="298" t="e">
        <f t="shared" si="95"/>
        <v>#DIV/0!</v>
      </c>
      <c r="K187" s="298" t="e">
        <f t="shared" si="95"/>
        <v>#DIV/0!</v>
      </c>
      <c r="L187" s="298" t="e">
        <f t="shared" si="95"/>
        <v>#DIV/0!</v>
      </c>
    </row>
    <row r="188" spans="2:12" ht="11.5" hidden="1" customHeight="1" x14ac:dyDescent="0.15">
      <c r="B188" s="295"/>
      <c r="C188" s="293"/>
      <c r="D188" s="298"/>
      <c r="E188" s="298"/>
      <c r="F188" s="298"/>
      <c r="G188" s="298"/>
      <c r="H188" s="298"/>
      <c r="I188" s="298"/>
      <c r="J188" s="298"/>
      <c r="K188" s="298"/>
      <c r="L188" s="298"/>
    </row>
    <row r="189" spans="2:12" ht="11.5" hidden="1" customHeight="1" x14ac:dyDescent="0.15">
      <c r="B189" s="295" t="s">
        <v>443</v>
      </c>
      <c r="C189" s="293"/>
      <c r="D189" s="299" t="e">
        <f t="shared" ref="D189:L189" si="96">D187/D172</f>
        <v>#DIV/0!</v>
      </c>
      <c r="E189" s="299" t="e">
        <f t="shared" si="96"/>
        <v>#DIV/0!</v>
      </c>
      <c r="F189" s="299" t="e">
        <f t="shared" si="96"/>
        <v>#DIV/0!</v>
      </c>
      <c r="G189" s="299" t="e">
        <f t="shared" si="96"/>
        <v>#DIV/0!</v>
      </c>
      <c r="H189" s="299" t="e">
        <f t="shared" si="96"/>
        <v>#DIV/0!</v>
      </c>
      <c r="I189" s="299" t="e">
        <f t="shared" si="96"/>
        <v>#DIV/0!</v>
      </c>
      <c r="J189" s="299" t="e">
        <f t="shared" si="96"/>
        <v>#DIV/0!</v>
      </c>
      <c r="K189" s="299" t="e">
        <f t="shared" si="96"/>
        <v>#DIV/0!</v>
      </c>
      <c r="L189" s="299" t="e">
        <f t="shared" si="96"/>
        <v>#DIV/0!</v>
      </c>
    </row>
    <row r="190" spans="2:12" ht="11.5" hidden="1" customHeight="1" x14ac:dyDescent="0.15">
      <c r="B190" s="295"/>
      <c r="C190" s="293"/>
      <c r="D190" s="298"/>
      <c r="E190" s="298"/>
      <c r="F190" s="298"/>
      <c r="G190" s="298"/>
      <c r="H190" s="298"/>
      <c r="I190" s="298"/>
      <c r="J190" s="298"/>
      <c r="K190" s="298"/>
      <c r="L190" s="298"/>
    </row>
    <row r="191" spans="2:12" ht="11.5" hidden="1" customHeight="1" x14ac:dyDescent="0.15">
      <c r="B191" s="295" t="s">
        <v>449</v>
      </c>
      <c r="C191" s="293"/>
      <c r="D191" s="297" t="e">
        <f>D176*100000/(D173)</f>
        <v>#DIV/0!</v>
      </c>
      <c r="E191" s="297" t="e">
        <f t="shared" ref="E191:L191" si="97">E176*100000/(E173)</f>
        <v>#DIV/0!</v>
      </c>
      <c r="F191" s="297" t="e">
        <f t="shared" si="97"/>
        <v>#DIV/0!</v>
      </c>
      <c r="G191" s="297" t="e">
        <f t="shared" si="97"/>
        <v>#DIV/0!</v>
      </c>
      <c r="H191" s="297" t="e">
        <f t="shared" si="97"/>
        <v>#DIV/0!</v>
      </c>
      <c r="I191" s="297" t="e">
        <f t="shared" si="97"/>
        <v>#DIV/0!</v>
      </c>
      <c r="J191" s="297" t="e">
        <f t="shared" si="97"/>
        <v>#DIV/0!</v>
      </c>
      <c r="K191" s="297" t="e">
        <f t="shared" si="97"/>
        <v>#DIV/0!</v>
      </c>
      <c r="L191" s="297" t="e">
        <f t="shared" si="97"/>
        <v>#DIV/0!</v>
      </c>
    </row>
    <row r="192" spans="2:12" ht="11.5" hidden="1" customHeight="1" x14ac:dyDescent="0.15">
      <c r="B192" s="295"/>
      <c r="C192" s="293"/>
      <c r="D192" s="298"/>
      <c r="E192" s="298"/>
      <c r="F192" s="298"/>
      <c r="G192" s="298"/>
      <c r="H192" s="298"/>
      <c r="I192" s="298"/>
      <c r="J192" s="298"/>
      <c r="K192" s="298"/>
      <c r="L192" s="298"/>
    </row>
    <row r="193" spans="2:12" ht="11.5" hidden="1" customHeight="1" x14ac:dyDescent="0.15">
      <c r="B193" s="295" t="s">
        <v>451</v>
      </c>
      <c r="C193" s="293"/>
      <c r="D193" s="300" t="e">
        <f t="shared" ref="D193:L193" si="98">D4*100000/(D173)</f>
        <v>#DIV/0!</v>
      </c>
      <c r="E193" s="300" t="e">
        <f t="shared" si="98"/>
        <v>#DIV/0!</v>
      </c>
      <c r="F193" s="300" t="e">
        <f t="shared" si="98"/>
        <v>#DIV/0!</v>
      </c>
      <c r="G193" s="300" t="e">
        <f t="shared" si="98"/>
        <v>#DIV/0!</v>
      </c>
      <c r="H193" s="300" t="e">
        <f t="shared" si="98"/>
        <v>#DIV/0!</v>
      </c>
      <c r="I193" s="300" t="e">
        <f t="shared" si="98"/>
        <v>#DIV/0!</v>
      </c>
      <c r="J193" s="300" t="e">
        <f t="shared" si="98"/>
        <v>#DIV/0!</v>
      </c>
      <c r="K193" s="300" t="e">
        <f t="shared" si="98"/>
        <v>#DIV/0!</v>
      </c>
      <c r="L193" s="300" t="e">
        <f t="shared" si="98"/>
        <v>#DIV/0!</v>
      </c>
    </row>
    <row r="194" spans="2:12" ht="11.5" hidden="1" customHeight="1" x14ac:dyDescent="0.15">
      <c r="B194" s="295"/>
      <c r="C194" s="293"/>
      <c r="D194" s="298"/>
      <c r="E194" s="298"/>
      <c r="F194" s="298"/>
      <c r="G194" s="298"/>
      <c r="H194" s="298"/>
      <c r="I194" s="298"/>
      <c r="J194" s="298"/>
      <c r="K194" s="298"/>
      <c r="L194" s="298"/>
    </row>
    <row r="195" spans="2:12" ht="11.5" hidden="1" customHeight="1" x14ac:dyDescent="0.15">
      <c r="B195" s="301" t="s">
        <v>444</v>
      </c>
      <c r="C195" s="302"/>
      <c r="D195" s="303" t="e">
        <f>D193-D191</f>
        <v>#DIV/0!</v>
      </c>
      <c r="E195" s="303" t="e">
        <f t="shared" ref="E195:L195" si="99">E193-E191</f>
        <v>#DIV/0!</v>
      </c>
      <c r="F195" s="303" t="e">
        <f t="shared" si="99"/>
        <v>#DIV/0!</v>
      </c>
      <c r="G195" s="303" t="e">
        <f t="shared" si="99"/>
        <v>#DIV/0!</v>
      </c>
      <c r="H195" s="303" t="e">
        <f t="shared" si="99"/>
        <v>#DIV/0!</v>
      </c>
      <c r="I195" s="303" t="e">
        <f t="shared" si="99"/>
        <v>#DIV/0!</v>
      </c>
      <c r="J195" s="303" t="e">
        <f t="shared" si="99"/>
        <v>#DIV/0!</v>
      </c>
      <c r="K195" s="303" t="e">
        <f t="shared" si="99"/>
        <v>#DIV/0!</v>
      </c>
      <c r="L195" s="303" t="e">
        <f t="shared" si="99"/>
        <v>#DIV/0!</v>
      </c>
    </row>
    <row r="196" spans="2:12" ht="11.5" hidden="1" customHeight="1" x14ac:dyDescent="0.15"/>
    <row r="197" spans="2:12" ht="11.5" hidden="1" customHeight="1" x14ac:dyDescent="0.15">
      <c r="D197" s="207"/>
      <c r="E197" s="207"/>
      <c r="F197" s="207"/>
      <c r="G197" s="207"/>
      <c r="H197" s="207"/>
      <c r="I197" s="207"/>
      <c r="J197" s="207"/>
      <c r="K197" s="207"/>
      <c r="L197" s="207"/>
    </row>
    <row r="198" spans="2:12" ht="11.5" hidden="1" customHeight="1" x14ac:dyDescent="0.15">
      <c r="B198" s="304" t="s">
        <v>159</v>
      </c>
      <c r="C198" s="305"/>
      <c r="D198" s="305">
        <v>1</v>
      </c>
      <c r="E198" s="305">
        <v>2</v>
      </c>
      <c r="F198" s="305">
        <v>3</v>
      </c>
      <c r="G198" s="305">
        <v>4</v>
      </c>
      <c r="H198" s="305">
        <v>5</v>
      </c>
      <c r="I198" s="305">
        <v>6</v>
      </c>
      <c r="J198" s="305">
        <v>7</v>
      </c>
      <c r="K198" s="305">
        <v>8</v>
      </c>
      <c r="L198" s="305">
        <v>9</v>
      </c>
    </row>
    <row r="199" spans="2:12" ht="11.5" hidden="1" customHeight="1" x14ac:dyDescent="0.15">
      <c r="B199" s="306" t="s">
        <v>160</v>
      </c>
      <c r="C199" s="307"/>
      <c r="D199" s="308" t="e">
        <f>SUM(#REF!)</f>
        <v>#REF!</v>
      </c>
      <c r="E199" s="308" t="e">
        <f>SUM(#REF!)</f>
        <v>#REF!</v>
      </c>
      <c r="F199" s="308">
        <f t="shared" ref="F199:L199" si="100">SUM(F33:F36)</f>
        <v>549784.88806273439</v>
      </c>
      <c r="G199" s="308">
        <f t="shared" si="100"/>
        <v>650219.99742150598</v>
      </c>
      <c r="H199" s="308">
        <f t="shared" si="100"/>
        <v>671954.17052418913</v>
      </c>
      <c r="I199" s="308">
        <f t="shared" si="100"/>
        <v>694459.4788489698</v>
      </c>
      <c r="J199" s="308">
        <f t="shared" si="100"/>
        <v>797226.56626906758</v>
      </c>
      <c r="K199" s="308">
        <f t="shared" si="100"/>
        <v>820987.58894559671</v>
      </c>
      <c r="L199" s="308">
        <f t="shared" si="100"/>
        <v>845262.49875784176</v>
      </c>
    </row>
    <row r="200" spans="2:12" ht="11.5" hidden="1" customHeight="1" x14ac:dyDescent="0.15">
      <c r="B200" s="306" t="s">
        <v>161</v>
      </c>
      <c r="C200" s="307"/>
      <c r="D200" s="308">
        <f t="shared" ref="D200:L200" si="101">D43</f>
        <v>334284.03368181811</v>
      </c>
      <c r="E200" s="308">
        <f t="shared" si="101"/>
        <v>334284.03368181811</v>
      </c>
      <c r="F200" s="308">
        <f t="shared" si="101"/>
        <v>318614.46960298286</v>
      </c>
      <c r="G200" s="308">
        <f t="shared" si="101"/>
        <v>276828.96539275558</v>
      </c>
      <c r="H200" s="308">
        <f t="shared" si="101"/>
        <v>235043.46118252832</v>
      </c>
      <c r="I200" s="308">
        <f t="shared" si="101"/>
        <v>193257.95697230104</v>
      </c>
      <c r="J200" s="308">
        <f t="shared" si="101"/>
        <v>151472.45276207375</v>
      </c>
      <c r="K200" s="308">
        <f t="shared" si="101"/>
        <v>109686.94855184649</v>
      </c>
      <c r="L200" s="308">
        <f t="shared" si="101"/>
        <v>67901.444341619208</v>
      </c>
    </row>
    <row r="201" spans="2:12" ht="11.5" hidden="1" customHeight="1" x14ac:dyDescent="0.15">
      <c r="B201" s="306" t="s">
        <v>162</v>
      </c>
      <c r="C201" s="307"/>
      <c r="D201" s="308">
        <f t="shared" ref="D201:L201" si="102">D44</f>
        <v>10001.312323232323</v>
      </c>
      <c r="E201" s="308">
        <f t="shared" si="102"/>
        <v>22416.443474747477</v>
      </c>
      <c r="F201" s="308">
        <f t="shared" si="102"/>
        <v>24835.998125252529</v>
      </c>
      <c r="G201" s="308">
        <f t="shared" si="102"/>
        <v>27240.422180202015</v>
      </c>
      <c r="H201" s="308">
        <f t="shared" si="102"/>
        <v>29498.263186101005</v>
      </c>
      <c r="I201" s="308">
        <f t="shared" si="102"/>
        <v>31386.129852767677</v>
      </c>
      <c r="J201" s="308">
        <f t="shared" si="102"/>
        <v>31386.129852767677</v>
      </c>
      <c r="K201" s="308">
        <f t="shared" si="102"/>
        <v>31386.129852767677</v>
      </c>
      <c r="L201" s="308">
        <f t="shared" si="102"/>
        <v>31386.129852767677</v>
      </c>
    </row>
    <row r="202" spans="2:12" ht="11.5" hidden="1" customHeight="1" x14ac:dyDescent="0.15">
      <c r="B202" s="306" t="s">
        <v>39</v>
      </c>
      <c r="C202" s="307"/>
      <c r="D202" s="308">
        <f t="shared" ref="D202:L202" si="103">D45</f>
        <v>471469.82981982949</v>
      </c>
      <c r="E202" s="308">
        <f t="shared" si="103"/>
        <v>471469.82981982949</v>
      </c>
      <c r="F202" s="308">
        <f t="shared" si="103"/>
        <v>471469.82981982949</v>
      </c>
      <c r="G202" s="308">
        <f t="shared" si="103"/>
        <v>471469.82981982949</v>
      </c>
      <c r="H202" s="308">
        <f t="shared" si="103"/>
        <v>471469.82981982949</v>
      </c>
      <c r="I202" s="308">
        <f t="shared" si="103"/>
        <v>471469.82981982949</v>
      </c>
      <c r="J202" s="308">
        <f t="shared" si="103"/>
        <v>471469.82981982949</v>
      </c>
      <c r="K202" s="308">
        <f t="shared" si="103"/>
        <v>471469.82981982949</v>
      </c>
      <c r="L202" s="308">
        <f t="shared" si="103"/>
        <v>471469.82981982949</v>
      </c>
    </row>
    <row r="203" spans="2:12" ht="11.5" hidden="1" customHeight="1" x14ac:dyDescent="0.15">
      <c r="B203" s="306" t="s">
        <v>163</v>
      </c>
      <c r="C203" s="307"/>
      <c r="D203" s="308">
        <f>D133</f>
        <v>0</v>
      </c>
      <c r="E203" s="308">
        <f t="shared" ref="E203:L203" si="104">E133</f>
        <v>0</v>
      </c>
      <c r="F203" s="308">
        <f t="shared" si="104"/>
        <v>696425.07017045445</v>
      </c>
      <c r="G203" s="308">
        <f t="shared" si="104"/>
        <v>696425.07017045445</v>
      </c>
      <c r="H203" s="308">
        <f t="shared" si="104"/>
        <v>696425.07017045445</v>
      </c>
      <c r="I203" s="308">
        <f t="shared" si="104"/>
        <v>696425.07017045445</v>
      </c>
      <c r="J203" s="308">
        <f t="shared" si="104"/>
        <v>696425.07017045445</v>
      </c>
      <c r="K203" s="308">
        <f t="shared" si="104"/>
        <v>696425.07017045445</v>
      </c>
      <c r="L203" s="308">
        <f t="shared" si="104"/>
        <v>696425.07017045445</v>
      </c>
    </row>
    <row r="204" spans="2:12" ht="11.5" hidden="1" customHeight="1" x14ac:dyDescent="0.15">
      <c r="B204" s="306" t="s">
        <v>83</v>
      </c>
      <c r="C204" s="307"/>
      <c r="D204" s="308">
        <f t="shared" ref="D204:L204" si="105">D47</f>
        <v>49341.924746575147</v>
      </c>
      <c r="E204" s="308">
        <f t="shared" si="105"/>
        <v>61902.121022268773</v>
      </c>
      <c r="F204" s="308">
        <f t="shared" si="105"/>
        <v>88417.681106746502</v>
      </c>
      <c r="G204" s="308">
        <f t="shared" si="105"/>
        <v>111141.21047500633</v>
      </c>
      <c r="H204" s="308">
        <f t="shared" si="105"/>
        <v>135630.84334543222</v>
      </c>
      <c r="I204" s="308">
        <f t="shared" si="105"/>
        <v>155934.09304084317</v>
      </c>
      <c r="J204" s="308">
        <f t="shared" si="105"/>
        <v>154009.89388257271</v>
      </c>
      <c r="K204" s="308">
        <f t="shared" si="105"/>
        <v>155499.80305015272</v>
      </c>
      <c r="L204" s="308">
        <f t="shared" si="105"/>
        <v>156489.68559553401</v>
      </c>
    </row>
    <row r="205" spans="2:12" ht="11.5" hidden="1" customHeight="1" x14ac:dyDescent="0.15">
      <c r="B205" s="309" t="s">
        <v>164</v>
      </c>
      <c r="C205" s="307"/>
      <c r="D205" s="310" t="e">
        <f>SUM(D199:D204)</f>
        <v>#REF!</v>
      </c>
      <c r="E205" s="310" t="e">
        <f t="shared" ref="E205:L205" si="106">SUM(E199:E204)</f>
        <v>#REF!</v>
      </c>
      <c r="F205" s="310">
        <f t="shared" si="106"/>
        <v>2149547.9368880005</v>
      </c>
      <c r="G205" s="310">
        <f t="shared" si="106"/>
        <v>2233325.4954597536</v>
      </c>
      <c r="H205" s="310">
        <f t="shared" si="106"/>
        <v>2240021.6382285343</v>
      </c>
      <c r="I205" s="310">
        <f t="shared" si="106"/>
        <v>2242932.5587051655</v>
      </c>
      <c r="J205" s="310">
        <f t="shared" si="106"/>
        <v>2301989.9427567655</v>
      </c>
      <c r="K205" s="310">
        <f t="shared" si="106"/>
        <v>2285455.370390648</v>
      </c>
      <c r="L205" s="310">
        <f t="shared" si="106"/>
        <v>2268934.6585380463</v>
      </c>
    </row>
    <row r="206" spans="2:12" ht="11.5" hidden="1" customHeight="1" x14ac:dyDescent="0.15">
      <c r="B206" s="306"/>
      <c r="C206" s="307"/>
      <c r="D206" s="307"/>
      <c r="E206" s="307"/>
      <c r="F206" s="307"/>
      <c r="G206" s="307"/>
      <c r="H206" s="307"/>
      <c r="I206" s="307"/>
      <c r="J206" s="307"/>
      <c r="K206" s="307"/>
      <c r="L206" s="307"/>
    </row>
    <row r="207" spans="2:12" ht="11.5" hidden="1" customHeight="1" x14ac:dyDescent="0.15">
      <c r="B207" s="306" t="s">
        <v>445</v>
      </c>
      <c r="C207" s="307"/>
      <c r="D207" s="307">
        <f>D173</f>
        <v>0</v>
      </c>
      <c r="E207" s="307">
        <f t="shared" ref="E207:L207" si="107">E173</f>
        <v>0</v>
      </c>
      <c r="F207" s="307">
        <f t="shared" si="107"/>
        <v>0</v>
      </c>
      <c r="G207" s="307">
        <f t="shared" si="107"/>
        <v>0</v>
      </c>
      <c r="H207" s="307">
        <f t="shared" si="107"/>
        <v>0</v>
      </c>
      <c r="I207" s="307">
        <f t="shared" si="107"/>
        <v>0</v>
      </c>
      <c r="J207" s="307">
        <f t="shared" si="107"/>
        <v>0</v>
      </c>
      <c r="K207" s="307">
        <f t="shared" si="107"/>
        <v>0</v>
      </c>
      <c r="L207" s="307">
        <f t="shared" si="107"/>
        <v>0</v>
      </c>
    </row>
    <row r="208" spans="2:12" ht="11.5" hidden="1" customHeight="1" x14ac:dyDescent="0.15">
      <c r="B208" s="306"/>
      <c r="C208" s="307"/>
      <c r="D208" s="307"/>
      <c r="E208" s="307"/>
      <c r="F208" s="307"/>
      <c r="G208" s="307"/>
      <c r="H208" s="307"/>
      <c r="I208" s="307"/>
      <c r="J208" s="307"/>
      <c r="K208" s="307"/>
      <c r="L208" s="307"/>
    </row>
    <row r="209" spans="2:13" ht="11.5" hidden="1" customHeight="1" x14ac:dyDescent="0.15">
      <c r="B209" s="311" t="s">
        <v>446</v>
      </c>
      <c r="C209" s="312"/>
      <c r="D209" s="313" t="e">
        <f>D205*100000/(D207)</f>
        <v>#REF!</v>
      </c>
      <c r="E209" s="313" t="e">
        <f t="shared" ref="E209:L209" si="108">E205*100000/(E207*1000)</f>
        <v>#REF!</v>
      </c>
      <c r="F209" s="313" t="e">
        <f t="shared" si="108"/>
        <v>#DIV/0!</v>
      </c>
      <c r="G209" s="313" t="e">
        <f t="shared" si="108"/>
        <v>#DIV/0!</v>
      </c>
      <c r="H209" s="313" t="e">
        <f t="shared" si="108"/>
        <v>#DIV/0!</v>
      </c>
      <c r="I209" s="313" t="e">
        <f t="shared" si="108"/>
        <v>#DIV/0!</v>
      </c>
      <c r="J209" s="313" t="e">
        <f t="shared" si="108"/>
        <v>#DIV/0!</v>
      </c>
      <c r="K209" s="313" t="e">
        <f t="shared" si="108"/>
        <v>#DIV/0!</v>
      </c>
      <c r="L209" s="313" t="e">
        <f t="shared" si="108"/>
        <v>#DIV/0!</v>
      </c>
    </row>
    <row r="210" spans="2:13" ht="11.5" hidden="1" customHeight="1" x14ac:dyDescent="0.15"/>
    <row r="211" spans="2:13" ht="11.5" hidden="1" customHeight="1" x14ac:dyDescent="0.15"/>
    <row r="212" spans="2:13" ht="11.5" hidden="1" customHeight="1" x14ac:dyDescent="0.15"/>
    <row r="213" spans="2:13" ht="11.5" hidden="1" customHeight="1" x14ac:dyDescent="0.15">
      <c r="B213" s="304" t="s">
        <v>159</v>
      </c>
      <c r="C213" s="305"/>
      <c r="D213" s="305">
        <v>1</v>
      </c>
      <c r="E213" s="305">
        <v>2</v>
      </c>
      <c r="F213" s="305">
        <v>3</v>
      </c>
      <c r="G213" s="305">
        <v>4</v>
      </c>
      <c r="H213" s="305">
        <v>5</v>
      </c>
      <c r="I213" s="305">
        <v>6</v>
      </c>
      <c r="J213" s="305">
        <v>7</v>
      </c>
      <c r="K213" s="305">
        <v>8</v>
      </c>
      <c r="L213" s="305">
        <v>9</v>
      </c>
    </row>
    <row r="214" spans="2:13" ht="11.5" hidden="1" customHeight="1" x14ac:dyDescent="0.15">
      <c r="B214" s="306" t="s">
        <v>160</v>
      </c>
      <c r="C214" s="307"/>
      <c r="D214" s="308" t="e">
        <f>SUM(#REF!)</f>
        <v>#REF!</v>
      </c>
      <c r="E214" s="308" t="e">
        <f>SUM(#REF!)</f>
        <v>#REF!</v>
      </c>
      <c r="F214" s="308">
        <f t="shared" ref="F214:L214" si="109">SUM(F33:F36)</f>
        <v>549784.88806273439</v>
      </c>
      <c r="G214" s="308">
        <f t="shared" si="109"/>
        <v>650219.99742150598</v>
      </c>
      <c r="H214" s="308">
        <f t="shared" si="109"/>
        <v>671954.17052418913</v>
      </c>
      <c r="I214" s="308">
        <f t="shared" si="109"/>
        <v>694459.4788489698</v>
      </c>
      <c r="J214" s="308">
        <f t="shared" si="109"/>
        <v>797226.56626906758</v>
      </c>
      <c r="K214" s="308">
        <f t="shared" si="109"/>
        <v>820987.58894559671</v>
      </c>
      <c r="L214" s="308">
        <f t="shared" si="109"/>
        <v>845262.49875784176</v>
      </c>
    </row>
    <row r="215" spans="2:13" ht="11.5" hidden="1" customHeight="1" x14ac:dyDescent="0.15">
      <c r="B215" s="306" t="s">
        <v>161</v>
      </c>
      <c r="C215" s="307"/>
      <c r="D215" s="308">
        <f>D200</f>
        <v>334284.03368181811</v>
      </c>
      <c r="E215" s="308">
        <f t="shared" ref="E215:L215" si="110">E200</f>
        <v>334284.03368181811</v>
      </c>
      <c r="F215" s="308">
        <f t="shared" si="110"/>
        <v>318614.46960298286</v>
      </c>
      <c r="G215" s="308">
        <f t="shared" si="110"/>
        <v>276828.96539275558</v>
      </c>
      <c r="H215" s="308">
        <f t="shared" si="110"/>
        <v>235043.46118252832</v>
      </c>
      <c r="I215" s="308">
        <f t="shared" si="110"/>
        <v>193257.95697230104</v>
      </c>
      <c r="J215" s="308">
        <f t="shared" si="110"/>
        <v>151472.45276207375</v>
      </c>
      <c r="K215" s="308">
        <f t="shared" si="110"/>
        <v>109686.94855184649</v>
      </c>
      <c r="L215" s="308">
        <f t="shared" si="110"/>
        <v>67901.444341619208</v>
      </c>
    </row>
    <row r="216" spans="2:13" ht="11.5" hidden="1" customHeight="1" x14ac:dyDescent="0.15">
      <c r="B216" s="306" t="s">
        <v>162</v>
      </c>
      <c r="C216" s="307"/>
      <c r="D216" s="308">
        <f t="shared" ref="D216:L216" si="111">D201</f>
        <v>10001.312323232323</v>
      </c>
      <c r="E216" s="308">
        <f t="shared" si="111"/>
        <v>22416.443474747477</v>
      </c>
      <c r="F216" s="308">
        <f t="shared" si="111"/>
        <v>24835.998125252529</v>
      </c>
      <c r="G216" s="308">
        <f t="shared" si="111"/>
        <v>27240.422180202015</v>
      </c>
      <c r="H216" s="308">
        <f t="shared" si="111"/>
        <v>29498.263186101005</v>
      </c>
      <c r="I216" s="308">
        <f t="shared" si="111"/>
        <v>31386.129852767677</v>
      </c>
      <c r="J216" s="308">
        <f t="shared" si="111"/>
        <v>31386.129852767677</v>
      </c>
      <c r="K216" s="308">
        <f t="shared" si="111"/>
        <v>31386.129852767677</v>
      </c>
      <c r="L216" s="308">
        <f t="shared" si="111"/>
        <v>31386.129852767677</v>
      </c>
    </row>
    <row r="217" spans="2:13" ht="11.5" hidden="1" customHeight="1" x14ac:dyDescent="0.15">
      <c r="B217" s="306" t="s">
        <v>83</v>
      </c>
      <c r="C217" s="307"/>
      <c r="D217" s="308">
        <f t="shared" ref="D217:L217" si="112">D47</f>
        <v>49341.924746575147</v>
      </c>
      <c r="E217" s="308">
        <f t="shared" si="112"/>
        <v>61902.121022268773</v>
      </c>
      <c r="F217" s="308">
        <f t="shared" si="112"/>
        <v>88417.681106746502</v>
      </c>
      <c r="G217" s="308">
        <f t="shared" si="112"/>
        <v>111141.21047500633</v>
      </c>
      <c r="H217" s="308">
        <f t="shared" si="112"/>
        <v>135630.84334543222</v>
      </c>
      <c r="I217" s="308">
        <f t="shared" si="112"/>
        <v>155934.09304084317</v>
      </c>
      <c r="J217" s="308">
        <f t="shared" si="112"/>
        <v>154009.89388257271</v>
      </c>
      <c r="K217" s="308">
        <f t="shared" si="112"/>
        <v>155499.80305015272</v>
      </c>
      <c r="L217" s="308">
        <f t="shared" si="112"/>
        <v>156489.68559553401</v>
      </c>
    </row>
    <row r="218" spans="2:13" ht="11.5" hidden="1" customHeight="1" x14ac:dyDescent="0.15">
      <c r="B218" s="309" t="s">
        <v>164</v>
      </c>
      <c r="C218" s="307"/>
      <c r="D218" s="310" t="e">
        <f t="shared" ref="D218:L218" si="113">SUM(D214:D217)</f>
        <v>#REF!</v>
      </c>
      <c r="E218" s="310" t="e">
        <f t="shared" si="113"/>
        <v>#REF!</v>
      </c>
      <c r="F218" s="310">
        <f t="shared" si="113"/>
        <v>981653.03689771635</v>
      </c>
      <c r="G218" s="310">
        <f t="shared" si="113"/>
        <v>1065430.5954694699</v>
      </c>
      <c r="H218" s="310">
        <f t="shared" si="113"/>
        <v>1072126.7382382506</v>
      </c>
      <c r="I218" s="310">
        <f t="shared" si="113"/>
        <v>1075037.6587148816</v>
      </c>
      <c r="J218" s="310">
        <f t="shared" si="113"/>
        <v>1134095.0427664816</v>
      </c>
      <c r="K218" s="310">
        <f t="shared" si="113"/>
        <v>1117560.4704003637</v>
      </c>
      <c r="L218" s="310">
        <f t="shared" si="113"/>
        <v>1101039.7585477626</v>
      </c>
    </row>
    <row r="219" spans="2:13" ht="11.5" hidden="1" customHeight="1" x14ac:dyDescent="0.15">
      <c r="B219" s="306"/>
      <c r="C219" s="307"/>
      <c r="D219" s="307"/>
      <c r="E219" s="307"/>
      <c r="F219" s="307"/>
      <c r="G219" s="307"/>
      <c r="H219" s="307"/>
      <c r="I219" s="307"/>
      <c r="J219" s="307"/>
      <c r="K219" s="307"/>
      <c r="L219" s="307"/>
    </row>
    <row r="220" spans="2:13" ht="11.5" hidden="1" customHeight="1" x14ac:dyDescent="0.15">
      <c r="B220" s="306" t="s">
        <v>445</v>
      </c>
      <c r="C220" s="307"/>
      <c r="D220" s="314">
        <f>D207</f>
        <v>0</v>
      </c>
      <c r="E220" s="314">
        <f t="shared" ref="E220:L220" si="114">E207</f>
        <v>0</v>
      </c>
      <c r="F220" s="314">
        <f t="shared" si="114"/>
        <v>0</v>
      </c>
      <c r="G220" s="314">
        <f t="shared" si="114"/>
        <v>0</v>
      </c>
      <c r="H220" s="314">
        <f t="shared" si="114"/>
        <v>0</v>
      </c>
      <c r="I220" s="314">
        <f t="shared" si="114"/>
        <v>0</v>
      </c>
      <c r="J220" s="314">
        <f t="shared" si="114"/>
        <v>0</v>
      </c>
      <c r="K220" s="314">
        <f t="shared" si="114"/>
        <v>0</v>
      </c>
      <c r="L220" s="314">
        <f t="shared" si="114"/>
        <v>0</v>
      </c>
      <c r="M220" s="202"/>
    </row>
    <row r="221" spans="2:13" ht="11.5" hidden="1" customHeight="1" x14ac:dyDescent="0.15">
      <c r="B221" s="306"/>
      <c r="C221" s="307"/>
      <c r="D221" s="307"/>
      <c r="E221" s="307"/>
      <c r="F221" s="307"/>
      <c r="G221" s="307"/>
      <c r="H221" s="307"/>
      <c r="I221" s="307"/>
      <c r="J221" s="307"/>
      <c r="K221" s="307"/>
      <c r="L221" s="307"/>
    </row>
    <row r="222" spans="2:13" ht="11.5" hidden="1" customHeight="1" x14ac:dyDescent="0.15">
      <c r="B222" s="311" t="s">
        <v>447</v>
      </c>
      <c r="C222" s="312"/>
      <c r="D222" s="313" t="e">
        <f>D218*100000/(D220)</f>
        <v>#REF!</v>
      </c>
      <c r="E222" s="313" t="e">
        <f t="shared" ref="E222:L222" si="115">E218*100000/(E220)</f>
        <v>#REF!</v>
      </c>
      <c r="F222" s="313" t="e">
        <f t="shared" si="115"/>
        <v>#DIV/0!</v>
      </c>
      <c r="G222" s="313" t="e">
        <f t="shared" si="115"/>
        <v>#DIV/0!</v>
      </c>
      <c r="H222" s="313" t="e">
        <f t="shared" si="115"/>
        <v>#DIV/0!</v>
      </c>
      <c r="I222" s="313" t="e">
        <f t="shared" si="115"/>
        <v>#DIV/0!</v>
      </c>
      <c r="J222" s="313" t="e">
        <f t="shared" si="115"/>
        <v>#DIV/0!</v>
      </c>
      <c r="K222" s="313" t="e">
        <f t="shared" si="115"/>
        <v>#DIV/0!</v>
      </c>
      <c r="L222" s="313" t="e">
        <f t="shared" si="115"/>
        <v>#DIV/0!</v>
      </c>
    </row>
    <row r="223" spans="2:13" ht="11.5" hidden="1" customHeight="1" x14ac:dyDescent="0.15"/>
    <row r="224" spans="2:13" ht="11.5" hidden="1" customHeight="1" x14ac:dyDescent="0.15"/>
    <row r="225" spans="1:12" ht="11.5" customHeight="1" thickBot="1" x14ac:dyDescent="0.2"/>
    <row r="226" spans="1:12" ht="11.5" customHeight="1" thickBot="1" x14ac:dyDescent="0.2">
      <c r="B226" s="315" t="s">
        <v>165</v>
      </c>
      <c r="C226" s="316"/>
      <c r="D226" s="316"/>
      <c r="E226" s="316"/>
      <c r="F226" s="316"/>
      <c r="G226" s="316"/>
      <c r="H226" s="316"/>
      <c r="I226" s="316"/>
      <c r="J226" s="316"/>
      <c r="K226" s="316"/>
      <c r="L226" s="316"/>
    </row>
    <row r="227" spans="1:12" ht="11.5" customHeight="1" thickBot="1" x14ac:dyDescent="0.2">
      <c r="B227" s="316" t="s">
        <v>51</v>
      </c>
      <c r="C227" s="316">
        <v>0</v>
      </c>
      <c r="D227" s="316">
        <v>1</v>
      </c>
      <c r="E227" s="316">
        <v>2</v>
      </c>
      <c r="F227" s="316">
        <v>3</v>
      </c>
      <c r="G227" s="316">
        <v>4</v>
      </c>
      <c r="H227" s="316">
        <v>5</v>
      </c>
      <c r="I227" s="316">
        <v>6</v>
      </c>
      <c r="J227" s="316">
        <v>7</v>
      </c>
      <c r="K227" s="316">
        <v>8</v>
      </c>
      <c r="L227" s="316">
        <v>9</v>
      </c>
    </row>
    <row r="228" spans="1:12" ht="11.5" customHeight="1" thickBot="1" x14ac:dyDescent="0.2">
      <c r="B228" s="316" t="s">
        <v>166</v>
      </c>
      <c r="C228" s="317">
        <f>+C78</f>
        <v>7959143.6590909082</v>
      </c>
      <c r="D228" s="316"/>
      <c r="E228" s="316"/>
      <c r="F228" s="316"/>
      <c r="G228" s="316"/>
      <c r="H228" s="316"/>
      <c r="I228" s="316"/>
      <c r="J228" s="316"/>
      <c r="K228" s="316"/>
      <c r="L228" s="316"/>
    </row>
    <row r="229" spans="1:12" ht="11.5" customHeight="1" thickBot="1" x14ac:dyDescent="0.2">
      <c r="B229" s="316" t="s">
        <v>167</v>
      </c>
      <c r="C229" s="316"/>
      <c r="D229" s="318">
        <f>D154</f>
        <v>2169012.7743212911</v>
      </c>
      <c r="E229" s="318">
        <f t="shared" ref="E229:L229" si="116">E154</f>
        <v>2274071.700874811</v>
      </c>
      <c r="F229" s="318">
        <f t="shared" si="116"/>
        <v>2648600.6732355696</v>
      </c>
      <c r="G229" s="318">
        <f t="shared" si="116"/>
        <v>2941957.1876316192</v>
      </c>
      <c r="H229" s="318">
        <f t="shared" si="116"/>
        <v>3283315.2994774217</v>
      </c>
      <c r="I229" s="318">
        <f t="shared" si="116"/>
        <v>3557413.1735202507</v>
      </c>
      <c r="J229" s="318">
        <f t="shared" si="116"/>
        <v>3419630.5489245951</v>
      </c>
      <c r="K229" s="318">
        <f t="shared" si="116"/>
        <v>3355592.8939299672</v>
      </c>
      <c r="L229" s="318">
        <f t="shared" si="116"/>
        <v>3289602.0422642948</v>
      </c>
    </row>
    <row r="230" spans="1:12" ht="11.5" customHeight="1" thickBot="1" x14ac:dyDescent="0.2">
      <c r="B230" s="316" t="s">
        <v>168</v>
      </c>
      <c r="C230" s="316"/>
      <c r="D230" s="318">
        <f>SUM($D$229:D229)</f>
        <v>2169012.7743212911</v>
      </c>
      <c r="E230" s="318">
        <f>SUM($D$229:E229)</f>
        <v>4443084.4751961026</v>
      </c>
      <c r="F230" s="318">
        <f>SUM($D$229:F229)</f>
        <v>7091685.1484316718</v>
      </c>
      <c r="G230" s="318">
        <f>SUM($D$229:G229)</f>
        <v>10033642.336063292</v>
      </c>
      <c r="H230" s="318">
        <f>SUM($D$229:H229)</f>
        <v>13316957.635540713</v>
      </c>
      <c r="I230" s="318">
        <f>SUM($D$229:I229)</f>
        <v>16874370.809060965</v>
      </c>
      <c r="J230" s="318">
        <f>SUM($D$229:J229)</f>
        <v>20294001.35798556</v>
      </c>
      <c r="K230" s="318">
        <f>SUM($D$229:K229)</f>
        <v>23649594.251915526</v>
      </c>
      <c r="L230" s="318">
        <f>SUM($D$229:L229)</f>
        <v>26939196.29417982</v>
      </c>
    </row>
    <row r="231" spans="1:12" ht="11.5" customHeight="1" thickBot="1" x14ac:dyDescent="0.2">
      <c r="B231" s="316" t="s">
        <v>169</v>
      </c>
      <c r="C231" s="316"/>
      <c r="D231" s="316" t="str">
        <f t="shared" ref="D231:L231" si="117">IF(D230&gt;=$C$228,"Yes","No")</f>
        <v>No</v>
      </c>
      <c r="E231" s="316" t="str">
        <f t="shared" si="117"/>
        <v>No</v>
      </c>
      <c r="F231" s="316" t="str">
        <f t="shared" si="117"/>
        <v>No</v>
      </c>
      <c r="G231" s="316" t="str">
        <f t="shared" si="117"/>
        <v>Yes</v>
      </c>
      <c r="H231" s="316" t="str">
        <f t="shared" si="117"/>
        <v>Yes</v>
      </c>
      <c r="I231" s="316" t="str">
        <f t="shared" si="117"/>
        <v>Yes</v>
      </c>
      <c r="J231" s="316" t="str">
        <f t="shared" si="117"/>
        <v>Yes</v>
      </c>
      <c r="K231" s="316" t="str">
        <f t="shared" si="117"/>
        <v>Yes</v>
      </c>
      <c r="L231" s="316" t="str">
        <f t="shared" si="117"/>
        <v>Yes</v>
      </c>
    </row>
    <row r="232" spans="1:12" ht="11.5" customHeight="1" thickBot="1" x14ac:dyDescent="0.2">
      <c r="B232" s="319" t="s">
        <v>165</v>
      </c>
      <c r="C232" s="316"/>
      <c r="D232" s="320">
        <f t="shared" ref="D232:K232" si="118">IF(D230&gt;=$C$228,IF(C230&lt;=$C$228,(C227+$C$228/D230),0),0)</f>
        <v>0</v>
      </c>
      <c r="E232" s="320">
        <f t="shared" si="118"/>
        <v>0</v>
      </c>
      <c r="F232" s="320">
        <f t="shared" si="118"/>
        <v>0</v>
      </c>
      <c r="G232" s="320">
        <f t="shared" si="118"/>
        <v>3.793245702060144</v>
      </c>
      <c r="H232" s="320">
        <f t="shared" si="118"/>
        <v>0</v>
      </c>
      <c r="I232" s="320">
        <f t="shared" si="118"/>
        <v>0</v>
      </c>
      <c r="J232" s="320">
        <f t="shared" si="118"/>
        <v>0</v>
      </c>
      <c r="K232" s="320">
        <f t="shared" si="118"/>
        <v>0</v>
      </c>
      <c r="L232" s="320">
        <f>IF(L230&gt;=$C$228,IF(K230&lt;=$C$228,(K227+$C$228/L230),0),0)</f>
        <v>0</v>
      </c>
    </row>
    <row r="234" spans="1:12" ht="11.5" customHeight="1" thickBot="1" x14ac:dyDescent="0.2"/>
    <row r="235" spans="1:12" ht="11.5" customHeight="1" thickBot="1" x14ac:dyDescent="0.2">
      <c r="A235" s="236" t="s">
        <v>71</v>
      </c>
      <c r="B235" s="321">
        <v>-0.1</v>
      </c>
      <c r="C235" s="236"/>
      <c r="D235" s="236"/>
      <c r="E235" s="236"/>
      <c r="F235" s="236"/>
      <c r="G235" s="236"/>
      <c r="H235" s="322" t="s">
        <v>328</v>
      </c>
      <c r="I235" s="323"/>
      <c r="J235" s="324"/>
      <c r="K235" s="324"/>
    </row>
    <row r="236" spans="1:12" ht="11.5" customHeight="1" thickBot="1" x14ac:dyDescent="0.2">
      <c r="A236" s="236" t="s">
        <v>327</v>
      </c>
      <c r="B236" s="321">
        <v>0.15</v>
      </c>
      <c r="C236" s="236"/>
      <c r="D236" s="325" t="s">
        <v>71</v>
      </c>
      <c r="E236" s="325"/>
      <c r="F236" s="326" t="s">
        <v>327</v>
      </c>
      <c r="G236" s="326"/>
      <c r="H236" s="323" t="s">
        <v>71</v>
      </c>
      <c r="I236" s="323" t="s">
        <v>327</v>
      </c>
      <c r="J236" s="324" t="s">
        <v>71</v>
      </c>
      <c r="K236" s="324" t="s">
        <v>327</v>
      </c>
    </row>
    <row r="237" spans="1:12" ht="11.5" customHeight="1" thickBot="1" x14ac:dyDescent="0.2">
      <c r="A237" s="236"/>
      <c r="B237" s="236"/>
      <c r="C237" s="236"/>
      <c r="D237" s="327">
        <v>0.2</v>
      </c>
      <c r="E237" s="327">
        <v>0.1</v>
      </c>
      <c r="F237" s="328">
        <v>0.2</v>
      </c>
      <c r="G237" s="328">
        <v>0.1</v>
      </c>
      <c r="H237" s="329">
        <v>-0.1</v>
      </c>
      <c r="I237" s="329">
        <v>0.1</v>
      </c>
      <c r="J237" s="330">
        <v>-0.1</v>
      </c>
      <c r="K237" s="330">
        <v>0.15</v>
      </c>
    </row>
    <row r="238" spans="1:12" ht="11.5" customHeight="1" thickBot="1" x14ac:dyDescent="0.2">
      <c r="A238" s="236"/>
      <c r="B238" s="331" t="s">
        <v>324</v>
      </c>
      <c r="C238" s="236" t="s">
        <v>326</v>
      </c>
      <c r="D238" s="325"/>
      <c r="E238" s="325"/>
      <c r="F238" s="326"/>
      <c r="G238" s="326"/>
      <c r="H238" s="323"/>
      <c r="I238" s="323"/>
      <c r="J238" s="324"/>
      <c r="K238" s="324"/>
    </row>
    <row r="239" spans="1:12" ht="11.5" customHeight="1" thickBot="1" x14ac:dyDescent="0.2">
      <c r="A239" s="236"/>
      <c r="B239" s="236" t="s">
        <v>128</v>
      </c>
      <c r="C239" s="247">
        <f>+D137</f>
        <v>3.8115128735133359</v>
      </c>
      <c r="D239" s="325">
        <v>9.5399999999999991</v>
      </c>
      <c r="E239" s="325">
        <v>7.7</v>
      </c>
      <c r="F239" s="326">
        <v>3.23</v>
      </c>
      <c r="G239" s="326">
        <v>4.53</v>
      </c>
      <c r="H239" s="323">
        <v>2.66</v>
      </c>
      <c r="I239" s="323"/>
      <c r="J239" s="324">
        <v>2.0099999999999998</v>
      </c>
      <c r="K239" s="324"/>
    </row>
    <row r="240" spans="1:12" ht="11.5" customHeight="1" thickBot="1" x14ac:dyDescent="0.2">
      <c r="A240" s="236"/>
      <c r="B240" s="236" t="s">
        <v>151</v>
      </c>
      <c r="C240" s="332">
        <f>+C155</f>
        <v>0.3169003201662024</v>
      </c>
      <c r="D240" s="333">
        <v>0.44569999999999999</v>
      </c>
      <c r="E240" s="333">
        <v>0.35320000000000001</v>
      </c>
      <c r="F240" s="334">
        <v>0.10390000000000001</v>
      </c>
      <c r="G240" s="334">
        <v>0.183</v>
      </c>
      <c r="H240" s="335">
        <v>6.5699999999999995E-2</v>
      </c>
      <c r="I240" s="323"/>
      <c r="J240" s="336">
        <v>1.8200000000000001E-2</v>
      </c>
      <c r="K240" s="324"/>
    </row>
    <row r="241" spans="1:11" ht="11.5" customHeight="1" thickBot="1" x14ac:dyDescent="0.2">
      <c r="A241" s="236"/>
      <c r="B241" s="236" t="s">
        <v>325</v>
      </c>
      <c r="C241" s="337">
        <f>+H232</f>
        <v>0</v>
      </c>
      <c r="D241" s="325">
        <v>2.78</v>
      </c>
      <c r="E241" s="325">
        <v>3.69</v>
      </c>
      <c r="F241" s="326">
        <v>6.94</v>
      </c>
      <c r="G241" s="326">
        <v>4.96</v>
      </c>
      <c r="H241" s="323">
        <v>8.8699999999999992</v>
      </c>
      <c r="I241" s="323"/>
      <c r="J241" s="324">
        <v>9.98</v>
      </c>
      <c r="K241" s="324"/>
    </row>
  </sheetData>
  <phoneticPr fontId="19" type="noConversion"/>
  <conditionalFormatting sqref="D232:L232">
    <cfRule type="cellIs" dxfId="2" priority="2" stopIfTrue="1" operator="greaterThan">
      <formula>1.88</formula>
    </cfRule>
    <cfRule type="cellIs" dxfId="1" priority="3" stopIfTrue="1" operator="greaterThan">
      <formula>0</formula>
    </cfRule>
  </conditionalFormatting>
  <conditionalFormatting sqref="D145:L145">
    <cfRule type="cellIs" dxfId="0" priority="1" stopIfTrue="1" operator="less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Q71"/>
  <sheetViews>
    <sheetView workbookViewId="0">
      <selection activeCell="O12" sqref="O12:Q31"/>
    </sheetView>
  </sheetViews>
  <sheetFormatPr baseColWidth="10" defaultColWidth="8.83203125" defaultRowHeight="13" x14ac:dyDescent="0.15"/>
  <cols>
    <col min="1" max="1" width="2.5" style="202" customWidth="1"/>
    <col min="2" max="2" width="15.5" style="202" customWidth="1"/>
    <col min="3" max="3" width="12.6640625" style="207" bestFit="1" customWidth="1"/>
    <col min="4" max="4" width="12.83203125" style="202" bestFit="1" customWidth="1"/>
    <col min="5" max="6" width="12.6640625" style="202" bestFit="1" customWidth="1"/>
    <col min="7" max="7" width="12.83203125" style="202" bestFit="1" customWidth="1"/>
    <col min="8" max="9" width="12.6640625" style="202" bestFit="1" customWidth="1"/>
    <col min="10" max="10" width="13.6640625" style="202" bestFit="1" customWidth="1"/>
    <col min="11" max="11" width="12.6640625" style="202" bestFit="1" customWidth="1"/>
    <col min="12" max="12" width="11.33203125" style="202" bestFit="1" customWidth="1"/>
    <col min="13" max="13" width="12.83203125" style="202" bestFit="1" customWidth="1"/>
    <col min="14" max="14" width="8.83203125" style="202" bestFit="1" customWidth="1"/>
    <col min="15" max="15" width="12.6640625" style="202" bestFit="1" customWidth="1"/>
    <col min="16" max="17" width="11.1640625" style="202" bestFit="1" customWidth="1"/>
    <col min="18" max="16384" width="8.83203125" style="202"/>
  </cols>
  <sheetData>
    <row r="1" spans="3:17" ht="14" thickBot="1" x14ac:dyDescent="0.2">
      <c r="J1" s="202" t="s">
        <v>42</v>
      </c>
      <c r="K1" s="202">
        <f>-PMT('Fin Assumptions'!B8/4,'Fin Assumptions'!B6,'Fin Assumptions'!B36,0,0)</f>
        <v>220499.86027942071</v>
      </c>
    </row>
    <row r="2" spans="3:17" ht="14" thickBot="1" x14ac:dyDescent="0.2">
      <c r="C2" s="467" t="s">
        <v>43</v>
      </c>
      <c r="D2" s="467"/>
      <c r="E2" s="467"/>
      <c r="F2" s="467"/>
      <c r="G2" s="467"/>
      <c r="J2" s="467" t="s">
        <v>44</v>
      </c>
      <c r="K2" s="467"/>
      <c r="L2" s="467"/>
      <c r="M2" s="467"/>
    </row>
    <row r="3" spans="3:17" ht="14" thickBot="1" x14ac:dyDescent="0.2">
      <c r="C3" s="371" t="s">
        <v>45</v>
      </c>
      <c r="D3" s="247" t="s">
        <v>46</v>
      </c>
      <c r="E3" s="247" t="s">
        <v>47</v>
      </c>
      <c r="F3" s="247" t="s">
        <v>48</v>
      </c>
      <c r="G3" s="247" t="s">
        <v>49</v>
      </c>
      <c r="J3" s="247" t="s">
        <v>46</v>
      </c>
      <c r="K3" s="247" t="s">
        <v>47</v>
      </c>
      <c r="L3" s="247" t="s">
        <v>48</v>
      </c>
      <c r="M3" s="247" t="s">
        <v>49</v>
      </c>
    </row>
    <row r="4" spans="3:17" ht="14" thickBot="1" x14ac:dyDescent="0.2">
      <c r="C4" s="372">
        <v>1</v>
      </c>
      <c r="D4" s="412">
        <f>'Fin Assumptions'!B36</f>
        <v>5571400.5613636356</v>
      </c>
      <c r="E4" s="412">
        <f>D4*'Fin Assumptions'!$B$8/4</f>
        <v>83571.008420454527</v>
      </c>
      <c r="F4" s="421">
        <f>IF(AND(C4&gt;'Fin Assumptions'!$B$4,C4&lt;=('Fin Assumptions'!$B$4+'Fin Assumptions'!$B$6)),'Fin Assumptions'!$B$10,0)</f>
        <v>0</v>
      </c>
      <c r="G4" s="412">
        <f>D4-F4</f>
        <v>5571400.5613636356</v>
      </c>
      <c r="J4" s="412">
        <f>$D$4</f>
        <v>5571400.5613636356</v>
      </c>
      <c r="K4" s="412">
        <f>J4*'Fin Assumptions'!$B$8/4</f>
        <v>83571.008420454527</v>
      </c>
      <c r="L4" s="412">
        <f>IF(AND(C4&gt;'Fin Assumptions'!$B$4,C4&lt;=('Fin Assumptions'!$B$4+'Fin Assumptions'!$B$6)),(Debt!$K$1-Debt!K4),0)</f>
        <v>0</v>
      </c>
      <c r="M4" s="412">
        <f>J4-L4</f>
        <v>5571400.5613636356</v>
      </c>
    </row>
    <row r="5" spans="3:17" ht="14" thickBot="1" x14ac:dyDescent="0.2">
      <c r="C5" s="372">
        <v>2</v>
      </c>
      <c r="D5" s="412">
        <f>G4</f>
        <v>5571400.5613636356</v>
      </c>
      <c r="E5" s="412">
        <f>D5*'Fin Assumptions'!$B$8/4</f>
        <v>83571.008420454527</v>
      </c>
      <c r="F5" s="421">
        <f>IF(AND(C5&gt;'Fin Assumptions'!$B$4,C5&lt;=('Fin Assumptions'!$B$4+'Fin Assumptions'!$B$6)),'Fin Assumptions'!$B$10,0)</f>
        <v>0</v>
      </c>
      <c r="G5" s="412">
        <f t="shared" ref="G5:G43" si="0">D5-F5</f>
        <v>5571400.5613636356</v>
      </c>
      <c r="J5" s="412">
        <f>M4</f>
        <v>5571400.5613636356</v>
      </c>
      <c r="K5" s="412">
        <f>J5*'Fin Assumptions'!$B$8/4</f>
        <v>83571.008420454527</v>
      </c>
      <c r="L5" s="412">
        <f>IF(AND(C5&gt;'Fin Assumptions'!$B$4,C5&lt;=('Fin Assumptions'!$B$4+'Fin Assumptions'!$B$6)),(Debt!$K$1-Debt!K5),0)</f>
        <v>0</v>
      </c>
      <c r="M5" s="412">
        <f t="shared" ref="M5:M43" si="1">J5-L5</f>
        <v>5571400.5613636356</v>
      </c>
    </row>
    <row r="6" spans="3:17" ht="14" thickBot="1" x14ac:dyDescent="0.2">
      <c r="C6" s="372">
        <v>3</v>
      </c>
      <c r="D6" s="412">
        <f t="shared" ref="D6:D43" si="2">G5</f>
        <v>5571400.5613636356</v>
      </c>
      <c r="E6" s="412">
        <f>D6*'Fin Assumptions'!$B$8/4</f>
        <v>83571.008420454527</v>
      </c>
      <c r="F6" s="421">
        <f>IF(AND(C6&gt;'Fin Assumptions'!$B$4,C6&lt;=('Fin Assumptions'!$B$4+'Fin Assumptions'!$B$6)),'Fin Assumptions'!$B$10,0)</f>
        <v>0</v>
      </c>
      <c r="G6" s="412">
        <f t="shared" si="0"/>
        <v>5571400.5613636356</v>
      </c>
      <c r="J6" s="412">
        <f t="shared" ref="J6:J43" si="3">M5</f>
        <v>5571400.5613636356</v>
      </c>
      <c r="K6" s="412">
        <f>J6*'Fin Assumptions'!$B$8/4</f>
        <v>83571.008420454527</v>
      </c>
      <c r="L6" s="412">
        <f>IF(AND(C6&gt;'Fin Assumptions'!$B$4,C6&lt;=('Fin Assumptions'!$B$4+'Fin Assumptions'!$B$6)),(Debt!$K$1-Debt!K6),0)</f>
        <v>0</v>
      </c>
      <c r="M6" s="412">
        <f t="shared" si="1"/>
        <v>5571400.5613636356</v>
      </c>
    </row>
    <row r="7" spans="3:17" ht="14" thickBot="1" x14ac:dyDescent="0.2">
      <c r="C7" s="372">
        <v>4</v>
      </c>
      <c r="D7" s="412">
        <f t="shared" si="2"/>
        <v>5571400.5613636356</v>
      </c>
      <c r="E7" s="412">
        <f>D7*'Fin Assumptions'!$B$8/4</f>
        <v>83571.008420454527</v>
      </c>
      <c r="F7" s="421">
        <f>IF(AND(C7&gt;'Fin Assumptions'!$B$4,C7&lt;=('Fin Assumptions'!$B$4+'Fin Assumptions'!$B$6)),'Fin Assumptions'!$B$10,0)</f>
        <v>0</v>
      </c>
      <c r="G7" s="412">
        <f t="shared" si="0"/>
        <v>5571400.5613636356</v>
      </c>
      <c r="J7" s="412">
        <f t="shared" si="3"/>
        <v>5571400.5613636356</v>
      </c>
      <c r="K7" s="412">
        <f>J7*'Fin Assumptions'!$B$8/4</f>
        <v>83571.008420454527</v>
      </c>
      <c r="L7" s="412">
        <f>IF(AND(C7&gt;'Fin Assumptions'!$B$4,C7&lt;=('Fin Assumptions'!$B$4+'Fin Assumptions'!$B$6)),(Debt!$K$1-Debt!K7),0)</f>
        <v>0</v>
      </c>
      <c r="M7" s="412">
        <f t="shared" si="1"/>
        <v>5571400.5613636356</v>
      </c>
      <c r="O7" s="247" t="s">
        <v>42</v>
      </c>
      <c r="P7" s="247" t="s">
        <v>438</v>
      </c>
      <c r="Q7" s="247" t="s">
        <v>439</v>
      </c>
    </row>
    <row r="8" spans="3:17" ht="14" thickBot="1" x14ac:dyDescent="0.2">
      <c r="C8" s="371">
        <v>5</v>
      </c>
      <c r="D8" s="412">
        <f t="shared" si="2"/>
        <v>5571400.5613636356</v>
      </c>
      <c r="E8" s="412">
        <f>D8*'Fin Assumptions'!$B$8/4</f>
        <v>83571.008420454527</v>
      </c>
      <c r="F8" s="421">
        <f>IF(AND(C8&gt;'Fin Assumptions'!$B$4,C8&lt;=('Fin Assumptions'!$B$4+'Fin Assumptions'!$B$6)),'Fin Assumptions'!$B$10,0)</f>
        <v>0</v>
      </c>
      <c r="G8" s="412">
        <f t="shared" si="0"/>
        <v>5571400.5613636356</v>
      </c>
      <c r="J8" s="412">
        <f t="shared" si="3"/>
        <v>5571400.5613636356</v>
      </c>
      <c r="K8" s="412">
        <f>J8*'Fin Assumptions'!$B$8/4</f>
        <v>83571.008420454527</v>
      </c>
      <c r="L8" s="412">
        <f>IF(AND(C8&gt;'Fin Assumptions'!$B$4,C8&lt;=('Fin Assumptions'!$B$4+'Fin Assumptions'!$B$6)),(Debt!$K$1-Debt!K8),0)</f>
        <v>0</v>
      </c>
      <c r="M8" s="412">
        <f t="shared" si="1"/>
        <v>5571400.5613636356</v>
      </c>
      <c r="O8" s="247"/>
      <c r="P8" s="247"/>
      <c r="Q8" s="247"/>
    </row>
    <row r="9" spans="3:17" ht="14" thickBot="1" x14ac:dyDescent="0.2">
      <c r="C9" s="371">
        <v>6</v>
      </c>
      <c r="D9" s="412">
        <f t="shared" si="2"/>
        <v>5571400.5613636356</v>
      </c>
      <c r="E9" s="412">
        <f>D9*'Fin Assumptions'!$B$8/4</f>
        <v>83571.008420454527</v>
      </c>
      <c r="F9" s="421">
        <f>IF(AND(C9&gt;'Fin Assumptions'!$B$4,C9&lt;=('Fin Assumptions'!$B$4+'Fin Assumptions'!$B$6)),'Fin Assumptions'!$B$10,0)</f>
        <v>0</v>
      </c>
      <c r="G9" s="412">
        <f t="shared" si="0"/>
        <v>5571400.5613636356</v>
      </c>
      <c r="J9" s="412">
        <f t="shared" si="3"/>
        <v>5571400.5613636356</v>
      </c>
      <c r="K9" s="412">
        <f>J9*'Fin Assumptions'!$B$8/4</f>
        <v>83571.008420454527</v>
      </c>
      <c r="L9" s="412">
        <f>IF(AND(C9&gt;'Fin Assumptions'!$B$4,C9&lt;=('Fin Assumptions'!$B$4+'Fin Assumptions'!$B$6)),(Debt!$K$1-Debt!K9),0)</f>
        <v>0</v>
      </c>
      <c r="M9" s="412">
        <f t="shared" si="1"/>
        <v>5571400.5613636356</v>
      </c>
      <c r="O9" s="247"/>
      <c r="P9" s="247"/>
      <c r="Q9" s="247"/>
    </row>
    <row r="10" spans="3:17" ht="14" thickBot="1" x14ac:dyDescent="0.2">
      <c r="C10" s="371">
        <v>7</v>
      </c>
      <c r="D10" s="412">
        <f t="shared" si="2"/>
        <v>5571400.5613636356</v>
      </c>
      <c r="E10" s="412">
        <f>D10*'Fin Assumptions'!$B$8/4</f>
        <v>83571.008420454527</v>
      </c>
      <c r="F10" s="421">
        <f>IF(AND(C10&gt;'Fin Assumptions'!$B$4,C10&lt;=('Fin Assumptions'!$B$4+'Fin Assumptions'!$B$6)),'Fin Assumptions'!$B$10,0)</f>
        <v>0</v>
      </c>
      <c r="G10" s="412">
        <f t="shared" si="0"/>
        <v>5571400.5613636356</v>
      </c>
      <c r="J10" s="412">
        <f t="shared" si="3"/>
        <v>5571400.5613636356</v>
      </c>
      <c r="K10" s="412">
        <f>J10*'Fin Assumptions'!$B$8/4</f>
        <v>83571.008420454527</v>
      </c>
      <c r="L10" s="412">
        <f>IF(AND(C10&gt;'Fin Assumptions'!$B$4,C10&lt;=('Fin Assumptions'!$B$4+'Fin Assumptions'!$B$6)),(Debt!$K$1-Debt!K10),0)</f>
        <v>0</v>
      </c>
      <c r="M10" s="412">
        <f t="shared" si="1"/>
        <v>5571400.5613636356</v>
      </c>
      <c r="O10" s="247"/>
      <c r="P10" s="247"/>
      <c r="Q10" s="247"/>
    </row>
    <row r="11" spans="3:17" ht="14" thickBot="1" x14ac:dyDescent="0.2">
      <c r="C11" s="371">
        <v>8</v>
      </c>
      <c r="D11" s="412">
        <f t="shared" si="2"/>
        <v>5571400.5613636356</v>
      </c>
      <c r="E11" s="412">
        <f>D11*'Fin Assumptions'!$B$8/4</f>
        <v>83571.008420454527</v>
      </c>
      <c r="F11" s="421">
        <f>IF(AND(C11&gt;'Fin Assumptions'!$B$4,C11&lt;=('Fin Assumptions'!$B$4+'Fin Assumptions'!$B$6)),'Fin Assumptions'!$B$10,0)</f>
        <v>0</v>
      </c>
      <c r="G11" s="412">
        <f t="shared" si="0"/>
        <v>5571400.5613636356</v>
      </c>
      <c r="J11" s="412">
        <f t="shared" si="3"/>
        <v>5571400.5613636356</v>
      </c>
      <c r="K11" s="412">
        <f>J11*'Fin Assumptions'!$B$8/4</f>
        <v>83571.008420454527</v>
      </c>
      <c r="L11" s="412">
        <f>IF(AND(C11&gt;'Fin Assumptions'!$B$4,C11&lt;=('Fin Assumptions'!$B$4+'Fin Assumptions'!$B$6)),(Debt!$K$1-Debt!K11),0)</f>
        <v>0</v>
      </c>
      <c r="M11" s="412">
        <f t="shared" si="1"/>
        <v>5571400.5613636356</v>
      </c>
      <c r="O11" s="247"/>
      <c r="P11" s="247"/>
      <c r="Q11" s="247"/>
    </row>
    <row r="12" spans="3:17" ht="14" thickBot="1" x14ac:dyDescent="0.2">
      <c r="C12" s="372">
        <v>9</v>
      </c>
      <c r="D12" s="412">
        <f t="shared" si="2"/>
        <v>5571400.5613636356</v>
      </c>
      <c r="E12" s="412">
        <f>D12*'Fin Assumptions'!$B$8/4</f>
        <v>83571.008420454527</v>
      </c>
      <c r="F12" s="421">
        <f>IF(AND(C12&gt;'Fin Assumptions'!$B$4,C12&lt;=('Fin Assumptions'!$B$4+'Fin Assumptions'!$B$6)),'Fin Assumptions'!$B$10,0)</f>
        <v>174106.26754261361</v>
      </c>
      <c r="G12" s="412">
        <f t="shared" si="0"/>
        <v>5397294.2938210219</v>
      </c>
      <c r="J12" s="412">
        <f t="shared" si="3"/>
        <v>5571400.5613636356</v>
      </c>
      <c r="K12" s="412">
        <f>J12*'Fin Assumptions'!$B$8/4</f>
        <v>83571.008420454527</v>
      </c>
      <c r="L12" s="412">
        <f>IF(AND(C12&gt;'Fin Assumptions'!$B$4,C12&lt;=('Fin Assumptions'!$B$4+'Fin Assumptions'!$B$6)),(Debt!$K$1-Debt!K12),0)</f>
        <v>136928.85185896617</v>
      </c>
      <c r="M12" s="412">
        <f t="shared" si="1"/>
        <v>5434471.7095046695</v>
      </c>
      <c r="N12" s="202">
        <v>1</v>
      </c>
      <c r="O12" s="412">
        <f>-PMT(12%/4,20,$D$4,0,0)</f>
        <v>374485.63103759493</v>
      </c>
      <c r="P12" s="412">
        <f>-IPMT(12%/4,N12,20,$D$4,0)</f>
        <v>167142.01684090905</v>
      </c>
      <c r="Q12" s="412">
        <f>-PPMT(12%/4,N12,20,$D$4,0)</f>
        <v>207343.6141966859</v>
      </c>
    </row>
    <row r="13" spans="3:17" ht="14" thickBot="1" x14ac:dyDescent="0.2">
      <c r="C13" s="372">
        <v>10</v>
      </c>
      <c r="D13" s="412">
        <f t="shared" si="2"/>
        <v>5397294.2938210219</v>
      </c>
      <c r="E13" s="412">
        <f>D13*'Fin Assumptions'!$B$8/4</f>
        <v>80959.414407315329</v>
      </c>
      <c r="F13" s="421">
        <f>IF(AND(C13&gt;'Fin Assumptions'!$B$4,C13&lt;=('Fin Assumptions'!$B$4+'Fin Assumptions'!$B$6)),'Fin Assumptions'!$B$10,0)</f>
        <v>174106.26754261361</v>
      </c>
      <c r="G13" s="412">
        <f t="shared" si="0"/>
        <v>5223188.0262784082</v>
      </c>
      <c r="J13" s="412">
        <f t="shared" si="3"/>
        <v>5434471.7095046695</v>
      </c>
      <c r="K13" s="412">
        <f>J13*'Fin Assumptions'!$B$8/4</f>
        <v>81517.075642570038</v>
      </c>
      <c r="L13" s="412">
        <f>IF(AND(C13&gt;'Fin Assumptions'!$B$4,C13&lt;=('Fin Assumptions'!$B$4+'Fin Assumptions'!$B$6)),(Debt!$K$1-Debt!K13),0)</f>
        <v>138982.78463685067</v>
      </c>
      <c r="M13" s="412">
        <f t="shared" si="1"/>
        <v>5295488.9248678191</v>
      </c>
      <c r="N13" s="202">
        <v>2</v>
      </c>
      <c r="O13" s="412">
        <f t="shared" ref="O13:O31" si="4">-PMT(12%/4,20,$D$4,0,0)</f>
        <v>374485.63103759493</v>
      </c>
      <c r="P13" s="412">
        <f t="shared" ref="P13:P31" si="5">-IPMT(12%/4,N13,20,$D$4,0)</f>
        <v>160921.70841500844</v>
      </c>
      <c r="Q13" s="412">
        <f t="shared" ref="Q13:Q31" si="6">-PPMT(12%/4,N13,20,$D$4,0)</f>
        <v>213563.92262258645</v>
      </c>
    </row>
    <row r="14" spans="3:17" ht="14" thickBot="1" x14ac:dyDescent="0.2">
      <c r="C14" s="372">
        <v>11</v>
      </c>
      <c r="D14" s="412">
        <f t="shared" si="2"/>
        <v>5223188.0262784082</v>
      </c>
      <c r="E14" s="412">
        <f>D14*'Fin Assumptions'!$B$8/4</f>
        <v>78347.820394176117</v>
      </c>
      <c r="F14" s="421">
        <f>IF(AND(C14&gt;'Fin Assumptions'!$B$4,C14&lt;=('Fin Assumptions'!$B$4+'Fin Assumptions'!$B$6)),'Fin Assumptions'!$B$10,0)</f>
        <v>174106.26754261361</v>
      </c>
      <c r="G14" s="412">
        <f t="shared" si="0"/>
        <v>5049081.7587357946</v>
      </c>
      <c r="J14" s="412">
        <f t="shared" si="3"/>
        <v>5295488.9248678191</v>
      </c>
      <c r="K14" s="412">
        <f>J14*'Fin Assumptions'!$B$8/4</f>
        <v>79432.333873017284</v>
      </c>
      <c r="L14" s="412">
        <f>IF(AND(C14&gt;'Fin Assumptions'!$B$4,C14&lt;=('Fin Assumptions'!$B$4+'Fin Assumptions'!$B$6)),(Debt!$K$1-Debt!K14),0)</f>
        <v>141067.52640640343</v>
      </c>
      <c r="M14" s="412">
        <f t="shared" si="1"/>
        <v>5154421.3984614154</v>
      </c>
      <c r="N14" s="202">
        <v>3</v>
      </c>
      <c r="O14" s="412">
        <f t="shared" si="4"/>
        <v>374485.63103759493</v>
      </c>
      <c r="P14" s="412">
        <f t="shared" si="5"/>
        <v>154514.79073633085</v>
      </c>
      <c r="Q14" s="412">
        <f t="shared" si="6"/>
        <v>219970.84030126405</v>
      </c>
    </row>
    <row r="15" spans="3:17" ht="14" thickBot="1" x14ac:dyDescent="0.2">
      <c r="C15" s="372">
        <v>12</v>
      </c>
      <c r="D15" s="412">
        <f t="shared" si="2"/>
        <v>5049081.7587357946</v>
      </c>
      <c r="E15" s="412">
        <f>D15*'Fin Assumptions'!$B$8/4</f>
        <v>75736.226381036919</v>
      </c>
      <c r="F15" s="421">
        <f>IF(AND(C15&gt;'Fin Assumptions'!$B$4,C15&lt;=('Fin Assumptions'!$B$4+'Fin Assumptions'!$B$6)),'Fin Assumptions'!$B$10,0)</f>
        <v>174106.26754261361</v>
      </c>
      <c r="G15" s="412">
        <f t="shared" si="0"/>
        <v>4874975.4911931809</v>
      </c>
      <c r="J15" s="412">
        <f t="shared" si="3"/>
        <v>5154421.3984614154</v>
      </c>
      <c r="K15" s="412">
        <f>J15*'Fin Assumptions'!$B$8/4</f>
        <v>77316.320976921226</v>
      </c>
      <c r="L15" s="412">
        <f>IF(AND(C15&gt;'Fin Assumptions'!$B$4,C15&lt;=('Fin Assumptions'!$B$4+'Fin Assumptions'!$B$6)),(Debt!$K$1-Debt!K15),0)</f>
        <v>143183.5393024995</v>
      </c>
      <c r="M15" s="412">
        <f t="shared" si="1"/>
        <v>5011237.8591589164</v>
      </c>
      <c r="N15" s="202">
        <v>4</v>
      </c>
      <c r="O15" s="412">
        <f t="shared" si="4"/>
        <v>374485.63103759493</v>
      </c>
      <c r="P15" s="412">
        <f t="shared" si="5"/>
        <v>147915.66552729299</v>
      </c>
      <c r="Q15" s="412">
        <f t="shared" si="6"/>
        <v>226569.96551030196</v>
      </c>
    </row>
    <row r="16" spans="3:17" ht="14" thickBot="1" x14ac:dyDescent="0.2">
      <c r="C16" s="371">
        <v>13</v>
      </c>
      <c r="D16" s="412">
        <f t="shared" si="2"/>
        <v>4874975.4911931809</v>
      </c>
      <c r="E16" s="412">
        <f>D16*'Fin Assumptions'!$B$8/4</f>
        <v>73124.632367897706</v>
      </c>
      <c r="F16" s="421">
        <f>IF(AND(C16&gt;'Fin Assumptions'!$B$4,C16&lt;=('Fin Assumptions'!$B$4+'Fin Assumptions'!$B$6)),'Fin Assumptions'!$B$10,0)</f>
        <v>174106.26754261361</v>
      </c>
      <c r="G16" s="412">
        <f t="shared" si="0"/>
        <v>4700869.2236505672</v>
      </c>
      <c r="J16" s="412">
        <f t="shared" si="3"/>
        <v>5011237.8591589164</v>
      </c>
      <c r="K16" s="412">
        <f>J16*'Fin Assumptions'!$B$8/4</f>
        <v>75168.567887383746</v>
      </c>
      <c r="L16" s="412">
        <f>IF(AND(C16&gt;'Fin Assumptions'!$B$4,C16&lt;=('Fin Assumptions'!$B$4+'Fin Assumptions'!$B$6)),(Debt!$K$1-Debt!K16),0)</f>
        <v>145331.29239203696</v>
      </c>
      <c r="M16" s="412">
        <f t="shared" si="1"/>
        <v>4865906.5667668795</v>
      </c>
      <c r="N16" s="202">
        <v>5</v>
      </c>
      <c r="O16" s="412">
        <f t="shared" si="4"/>
        <v>374485.63103759493</v>
      </c>
      <c r="P16" s="412">
        <f t="shared" si="5"/>
        <v>141118.5665619839</v>
      </c>
      <c r="Q16" s="412">
        <f t="shared" si="6"/>
        <v>233367.064475611</v>
      </c>
    </row>
    <row r="17" spans="3:17" ht="14" thickBot="1" x14ac:dyDescent="0.2">
      <c r="C17" s="371">
        <v>14</v>
      </c>
      <c r="D17" s="412">
        <f t="shared" si="2"/>
        <v>4700869.2236505672</v>
      </c>
      <c r="E17" s="412">
        <f>D17*'Fin Assumptions'!$B$8/4</f>
        <v>70513.038354758508</v>
      </c>
      <c r="F17" s="421">
        <f>IF(AND(C17&gt;'Fin Assumptions'!$B$4,C17&lt;=('Fin Assumptions'!$B$4+'Fin Assumptions'!$B$6)),'Fin Assumptions'!$B$10,0)</f>
        <v>174106.26754261361</v>
      </c>
      <c r="G17" s="412">
        <f t="shared" si="0"/>
        <v>4526762.9561079536</v>
      </c>
      <c r="J17" s="412">
        <f t="shared" si="3"/>
        <v>4865906.5667668795</v>
      </c>
      <c r="K17" s="412">
        <f>J17*'Fin Assumptions'!$B$8/4</f>
        <v>72988.598501503191</v>
      </c>
      <c r="L17" s="412">
        <f>IF(AND(C17&gt;'Fin Assumptions'!$B$4,C17&lt;=('Fin Assumptions'!$B$4+'Fin Assumptions'!$B$6)),(Debt!$K$1-Debt!K17),0)</f>
        <v>147511.26177791751</v>
      </c>
      <c r="M17" s="412">
        <f t="shared" si="1"/>
        <v>4718395.3049889617</v>
      </c>
      <c r="N17" s="202">
        <v>6</v>
      </c>
      <c r="O17" s="412">
        <f t="shared" si="4"/>
        <v>374485.63103759493</v>
      </c>
      <c r="P17" s="412">
        <f t="shared" si="5"/>
        <v>134117.55462771558</v>
      </c>
      <c r="Q17" s="412">
        <f t="shared" si="6"/>
        <v>240368.07640987937</v>
      </c>
    </row>
    <row r="18" spans="3:17" ht="14" thickBot="1" x14ac:dyDescent="0.2">
      <c r="C18" s="371">
        <v>15</v>
      </c>
      <c r="D18" s="412">
        <f t="shared" si="2"/>
        <v>4526762.9561079536</v>
      </c>
      <c r="E18" s="412">
        <f>D18*'Fin Assumptions'!$B$8/4</f>
        <v>67901.444341619295</v>
      </c>
      <c r="F18" s="421">
        <f>IF(AND(C18&gt;'Fin Assumptions'!$B$4,C18&lt;=('Fin Assumptions'!$B$4+'Fin Assumptions'!$B$6)),'Fin Assumptions'!$B$10,0)</f>
        <v>174106.26754261361</v>
      </c>
      <c r="G18" s="412">
        <f t="shared" si="0"/>
        <v>4352656.6885653399</v>
      </c>
      <c r="J18" s="412">
        <f t="shared" si="3"/>
        <v>4718395.3049889617</v>
      </c>
      <c r="K18" s="412">
        <f>J18*'Fin Assumptions'!$B$8/4</f>
        <v>70775.929574834416</v>
      </c>
      <c r="L18" s="412">
        <f>IF(AND(C18&gt;'Fin Assumptions'!$B$4,C18&lt;=('Fin Assumptions'!$B$4+'Fin Assumptions'!$B$6)),(Debt!$K$1-Debt!K18),0)</f>
        <v>149723.9307045863</v>
      </c>
      <c r="M18" s="412">
        <f t="shared" si="1"/>
        <v>4568671.3742843755</v>
      </c>
      <c r="N18" s="202">
        <v>7</v>
      </c>
      <c r="O18" s="412">
        <f t="shared" si="4"/>
        <v>374485.63103759493</v>
      </c>
      <c r="P18" s="412">
        <f t="shared" si="5"/>
        <v>126906.51233541919</v>
      </c>
      <c r="Q18" s="412">
        <f t="shared" si="6"/>
        <v>247579.11870217571</v>
      </c>
    </row>
    <row r="19" spans="3:17" ht="14" thickBot="1" x14ac:dyDescent="0.2">
      <c r="C19" s="371">
        <v>16</v>
      </c>
      <c r="D19" s="412">
        <f t="shared" si="2"/>
        <v>4352656.6885653399</v>
      </c>
      <c r="E19" s="412">
        <f>D19*'Fin Assumptions'!$B$8/4</f>
        <v>65289.850328480097</v>
      </c>
      <c r="F19" s="421">
        <f>IF(AND(C19&gt;'Fin Assumptions'!$B$4,C19&lt;=('Fin Assumptions'!$B$4+'Fin Assumptions'!$B$6)),'Fin Assumptions'!$B$10,0)</f>
        <v>174106.26754261361</v>
      </c>
      <c r="G19" s="412">
        <f t="shared" si="0"/>
        <v>4178550.4210227262</v>
      </c>
      <c r="J19" s="412">
        <f t="shared" si="3"/>
        <v>4568671.3742843755</v>
      </c>
      <c r="K19" s="412">
        <f>J19*'Fin Assumptions'!$B$8/4</f>
        <v>68530.070614265627</v>
      </c>
      <c r="L19" s="412">
        <f>IF(AND(C19&gt;'Fin Assumptions'!$B$4,C19&lt;=('Fin Assumptions'!$B$4+'Fin Assumptions'!$B$6)),(Debt!$K$1-Debt!K19),0)</f>
        <v>151969.78966515508</v>
      </c>
      <c r="M19" s="412">
        <f t="shared" si="1"/>
        <v>4416701.5846192203</v>
      </c>
      <c r="N19" s="202">
        <v>8</v>
      </c>
      <c r="O19" s="412">
        <f t="shared" si="4"/>
        <v>374485.63103759493</v>
      </c>
      <c r="P19" s="412">
        <f t="shared" si="5"/>
        <v>119479.13877435389</v>
      </c>
      <c r="Q19" s="412">
        <f t="shared" si="6"/>
        <v>255006.492263241</v>
      </c>
    </row>
    <row r="20" spans="3:17" ht="14" thickBot="1" x14ac:dyDescent="0.2">
      <c r="C20" s="372">
        <v>17</v>
      </c>
      <c r="D20" s="412">
        <f t="shared" si="2"/>
        <v>4178550.4210227262</v>
      </c>
      <c r="E20" s="412">
        <f>D20*'Fin Assumptions'!$B$8/4</f>
        <v>62678.256315340892</v>
      </c>
      <c r="F20" s="421">
        <f>IF(AND(C20&gt;'Fin Assumptions'!$B$4,C20&lt;=('Fin Assumptions'!$B$4+'Fin Assumptions'!$B$6)),'Fin Assumptions'!$B$10,0)</f>
        <v>174106.26754261361</v>
      </c>
      <c r="G20" s="412">
        <f t="shared" si="0"/>
        <v>4004444.1534801126</v>
      </c>
      <c r="J20" s="412">
        <f t="shared" si="3"/>
        <v>4416701.5846192203</v>
      </c>
      <c r="K20" s="412">
        <f>J20*'Fin Assumptions'!$B$8/4</f>
        <v>66250.523769288309</v>
      </c>
      <c r="L20" s="412">
        <f>IF(AND(C20&gt;'Fin Assumptions'!$B$4,C20&lt;=('Fin Assumptions'!$B$4+'Fin Assumptions'!$B$6)),(Debt!$K$1-Debt!K20),0)</f>
        <v>154249.33651013242</v>
      </c>
      <c r="M20" s="412">
        <f t="shared" si="1"/>
        <v>4262452.2481090883</v>
      </c>
      <c r="N20" s="202">
        <v>9</v>
      </c>
      <c r="O20" s="412">
        <f t="shared" si="4"/>
        <v>374485.63103759493</v>
      </c>
      <c r="P20" s="412">
        <f t="shared" si="5"/>
        <v>111828.94400645669</v>
      </c>
      <c r="Q20" s="412">
        <f t="shared" si="6"/>
        <v>262656.68703113822</v>
      </c>
    </row>
    <row r="21" spans="3:17" ht="14" thickBot="1" x14ac:dyDescent="0.2">
      <c r="C21" s="372">
        <v>18</v>
      </c>
      <c r="D21" s="412">
        <f t="shared" si="2"/>
        <v>4004444.1534801126</v>
      </c>
      <c r="E21" s="412">
        <f>D21*'Fin Assumptions'!$B$8/4</f>
        <v>60066.662302201687</v>
      </c>
      <c r="F21" s="421">
        <f>IF(AND(C21&gt;'Fin Assumptions'!$B$4,C21&lt;=('Fin Assumptions'!$B$4+'Fin Assumptions'!$B$6)),'Fin Assumptions'!$B$10,0)</f>
        <v>174106.26754261361</v>
      </c>
      <c r="G21" s="412">
        <f t="shared" si="0"/>
        <v>3830337.8859374989</v>
      </c>
      <c r="J21" s="412">
        <f t="shared" si="3"/>
        <v>4262452.2481090883</v>
      </c>
      <c r="K21" s="412">
        <f>J21*'Fin Assumptions'!$B$8/4</f>
        <v>63936.783721636319</v>
      </c>
      <c r="L21" s="412">
        <f>IF(AND(C21&gt;'Fin Assumptions'!$B$4,C21&lt;=('Fin Assumptions'!$B$4+'Fin Assumptions'!$B$6)),(Debt!$K$1-Debt!K21),0)</f>
        <v>156563.0765577844</v>
      </c>
      <c r="M21" s="412">
        <f t="shared" si="1"/>
        <v>4105889.1715513039</v>
      </c>
      <c r="N21" s="202">
        <v>10</v>
      </c>
      <c r="O21" s="412">
        <f t="shared" si="4"/>
        <v>374485.63103759493</v>
      </c>
      <c r="P21" s="412">
        <f t="shared" si="5"/>
        <v>103949.24339552254</v>
      </c>
      <c r="Q21" s="412">
        <f t="shared" si="6"/>
        <v>270536.3876420724</v>
      </c>
    </row>
    <row r="22" spans="3:17" ht="14" thickBot="1" x14ac:dyDescent="0.2">
      <c r="C22" s="372">
        <v>19</v>
      </c>
      <c r="D22" s="412">
        <f t="shared" si="2"/>
        <v>3830337.8859374989</v>
      </c>
      <c r="E22" s="412">
        <f>D22*'Fin Assumptions'!$B$8/4</f>
        <v>57455.068289062481</v>
      </c>
      <c r="F22" s="421">
        <f>IF(AND(C22&gt;'Fin Assumptions'!$B$4,C22&lt;=('Fin Assumptions'!$B$4+'Fin Assumptions'!$B$6)),'Fin Assumptions'!$B$10,0)</f>
        <v>174106.26754261361</v>
      </c>
      <c r="G22" s="412">
        <f t="shared" si="0"/>
        <v>3656231.6183948852</v>
      </c>
      <c r="J22" s="412">
        <f t="shared" si="3"/>
        <v>4105889.1715513039</v>
      </c>
      <c r="K22" s="412">
        <f>J22*'Fin Assumptions'!$B$8/4</f>
        <v>61588.337573269557</v>
      </c>
      <c r="L22" s="412">
        <f>IF(AND(C22&gt;'Fin Assumptions'!$B$4,C22&lt;=('Fin Assumptions'!$B$4+'Fin Assumptions'!$B$6)),(Debt!$K$1-Debt!K22),0)</f>
        <v>158911.52270615115</v>
      </c>
      <c r="M22" s="412">
        <f t="shared" si="1"/>
        <v>3946977.6488451529</v>
      </c>
      <c r="N22" s="202">
        <v>11</v>
      </c>
      <c r="O22" s="412">
        <f t="shared" si="4"/>
        <v>374485.63103759493</v>
      </c>
      <c r="P22" s="412">
        <f t="shared" si="5"/>
        <v>95833.151766260373</v>
      </c>
      <c r="Q22" s="412">
        <f t="shared" si="6"/>
        <v>278652.47927133454</v>
      </c>
    </row>
    <row r="23" spans="3:17" ht="14" thickBot="1" x14ac:dyDescent="0.2">
      <c r="C23" s="372">
        <v>20</v>
      </c>
      <c r="D23" s="412">
        <f t="shared" si="2"/>
        <v>3656231.6183948852</v>
      </c>
      <c r="E23" s="412">
        <f>D23*'Fin Assumptions'!$B$8/4</f>
        <v>54843.474275923276</v>
      </c>
      <c r="F23" s="421">
        <f>IF(AND(C23&gt;'Fin Assumptions'!$B$4,C23&lt;=('Fin Assumptions'!$B$4+'Fin Assumptions'!$B$6)),'Fin Assumptions'!$B$10,0)</f>
        <v>174106.26754261361</v>
      </c>
      <c r="G23" s="412">
        <f t="shared" si="0"/>
        <v>3482125.3508522715</v>
      </c>
      <c r="J23" s="412">
        <f t="shared" si="3"/>
        <v>3946977.6488451529</v>
      </c>
      <c r="K23" s="412">
        <f>J23*'Fin Assumptions'!$B$8/4</f>
        <v>59204.664732677295</v>
      </c>
      <c r="L23" s="412">
        <f>IF(AND(C23&gt;'Fin Assumptions'!$B$4,C23&lt;=('Fin Assumptions'!$B$4+'Fin Assumptions'!$B$6)),(Debt!$K$1-Debt!K23),0)</f>
        <v>161295.1955467434</v>
      </c>
      <c r="M23" s="412">
        <f t="shared" si="1"/>
        <v>3785682.4532984095</v>
      </c>
      <c r="N23" s="202">
        <v>12</v>
      </c>
      <c r="O23" s="412">
        <f t="shared" si="4"/>
        <v>374485.63103759493</v>
      </c>
      <c r="P23" s="412">
        <f t="shared" si="5"/>
        <v>87473.57738812032</v>
      </c>
      <c r="Q23" s="412">
        <f t="shared" si="6"/>
        <v>287012.05364947458</v>
      </c>
    </row>
    <row r="24" spans="3:17" ht="14" thickBot="1" x14ac:dyDescent="0.2">
      <c r="C24" s="371">
        <v>21</v>
      </c>
      <c r="D24" s="412">
        <f t="shared" si="2"/>
        <v>3482125.3508522715</v>
      </c>
      <c r="E24" s="412">
        <f>D24*'Fin Assumptions'!$B$8/4</f>
        <v>52231.880262784071</v>
      </c>
      <c r="F24" s="421">
        <f>IF(AND(C24&gt;'Fin Assumptions'!$B$4,C24&lt;=('Fin Assumptions'!$B$4+'Fin Assumptions'!$B$6)),'Fin Assumptions'!$B$10,0)</f>
        <v>174106.26754261361</v>
      </c>
      <c r="G24" s="412">
        <f t="shared" si="0"/>
        <v>3308019.0833096579</v>
      </c>
      <c r="J24" s="412">
        <f t="shared" si="3"/>
        <v>3785682.4532984095</v>
      </c>
      <c r="K24" s="412">
        <f>J24*'Fin Assumptions'!$B$8/4</f>
        <v>56785.236799476137</v>
      </c>
      <c r="L24" s="412">
        <f>IF(AND(C24&gt;'Fin Assumptions'!$B$4,C24&lt;=('Fin Assumptions'!$B$4+'Fin Assumptions'!$B$6)),(Debt!$K$1-Debt!K24),0)</f>
        <v>163714.62347994457</v>
      </c>
      <c r="M24" s="412">
        <f t="shared" si="1"/>
        <v>3621967.8298184648</v>
      </c>
      <c r="N24" s="202">
        <v>13</v>
      </c>
      <c r="O24" s="412">
        <f t="shared" si="4"/>
        <v>374485.63103759493</v>
      </c>
      <c r="P24" s="412">
        <f t="shared" si="5"/>
        <v>78863.215778636091</v>
      </c>
      <c r="Q24" s="412">
        <f t="shared" si="6"/>
        <v>295622.41525895876</v>
      </c>
    </row>
    <row r="25" spans="3:17" ht="14" thickBot="1" x14ac:dyDescent="0.2">
      <c r="C25" s="371">
        <v>22</v>
      </c>
      <c r="D25" s="412">
        <f t="shared" si="2"/>
        <v>3308019.0833096579</v>
      </c>
      <c r="E25" s="412">
        <f>D25*'Fin Assumptions'!$B$8/4</f>
        <v>49620.286249644865</v>
      </c>
      <c r="F25" s="421">
        <f>IF(AND(C25&gt;'Fin Assumptions'!$B$4,C25&lt;=('Fin Assumptions'!$B$4+'Fin Assumptions'!$B$6)),'Fin Assumptions'!$B$10,0)</f>
        <v>174106.26754261361</v>
      </c>
      <c r="G25" s="412">
        <f t="shared" si="0"/>
        <v>3133912.8157670442</v>
      </c>
      <c r="J25" s="412">
        <f t="shared" si="3"/>
        <v>3621967.8298184648</v>
      </c>
      <c r="K25" s="412">
        <f>J25*'Fin Assumptions'!$B$8/4</f>
        <v>54329.517447276972</v>
      </c>
      <c r="L25" s="412">
        <f>IF(AND(C25&gt;'Fin Assumptions'!$B$4,C25&lt;=('Fin Assumptions'!$B$4+'Fin Assumptions'!$B$6)),(Debt!$K$1-Debt!K25),0)</f>
        <v>166170.34283214374</v>
      </c>
      <c r="M25" s="412">
        <f t="shared" si="1"/>
        <v>3455797.4869863209</v>
      </c>
      <c r="N25" s="202">
        <v>14</v>
      </c>
      <c r="O25" s="412">
        <f t="shared" si="4"/>
        <v>374485.63103759493</v>
      </c>
      <c r="P25" s="412">
        <f t="shared" si="5"/>
        <v>69994.543320867349</v>
      </c>
      <c r="Q25" s="412">
        <f t="shared" si="6"/>
        <v>304491.08771672752</v>
      </c>
    </row>
    <row r="26" spans="3:17" ht="14" thickBot="1" x14ac:dyDescent="0.2">
      <c r="C26" s="371">
        <v>23</v>
      </c>
      <c r="D26" s="412">
        <f t="shared" si="2"/>
        <v>3133912.8157670442</v>
      </c>
      <c r="E26" s="412">
        <f>D26*'Fin Assumptions'!$B$8/4</f>
        <v>47008.69223650566</v>
      </c>
      <c r="F26" s="421">
        <f>IF(AND(C26&gt;'Fin Assumptions'!$B$4,C26&lt;=('Fin Assumptions'!$B$4+'Fin Assumptions'!$B$6)),'Fin Assumptions'!$B$10,0)</f>
        <v>174106.26754261361</v>
      </c>
      <c r="G26" s="412">
        <f t="shared" si="0"/>
        <v>2959806.5482244305</v>
      </c>
      <c r="J26" s="412">
        <f t="shared" si="3"/>
        <v>3455797.4869863209</v>
      </c>
      <c r="K26" s="412">
        <f>J26*'Fin Assumptions'!$B$8/4</f>
        <v>51836.962304794812</v>
      </c>
      <c r="L26" s="412">
        <f>IF(AND(C26&gt;'Fin Assumptions'!$B$4,C26&lt;=('Fin Assumptions'!$B$4+'Fin Assumptions'!$B$6)),(Debt!$K$1-Debt!K26),0)</f>
        <v>168662.8979746259</v>
      </c>
      <c r="M26" s="412">
        <f t="shared" si="1"/>
        <v>3287134.5890116952</v>
      </c>
      <c r="N26" s="202">
        <v>15</v>
      </c>
      <c r="O26" s="412">
        <f t="shared" si="4"/>
        <v>374485.63103759493</v>
      </c>
      <c r="P26" s="412">
        <f t="shared" si="5"/>
        <v>60859.810689365499</v>
      </c>
      <c r="Q26" s="412">
        <f t="shared" si="6"/>
        <v>313625.82034822938</v>
      </c>
    </row>
    <row r="27" spans="3:17" ht="14" thickBot="1" x14ac:dyDescent="0.2">
      <c r="C27" s="371">
        <v>24</v>
      </c>
      <c r="D27" s="412">
        <f t="shared" si="2"/>
        <v>2959806.5482244305</v>
      </c>
      <c r="E27" s="412">
        <f>D27*'Fin Assumptions'!$B$8/4</f>
        <v>44397.098223366454</v>
      </c>
      <c r="F27" s="421">
        <f>IF(AND(C27&gt;'Fin Assumptions'!$B$4,C27&lt;=('Fin Assumptions'!$B$4+'Fin Assumptions'!$B$6)),'Fin Assumptions'!$B$10,0)</f>
        <v>174106.26754261361</v>
      </c>
      <c r="G27" s="412">
        <f t="shared" si="0"/>
        <v>2785700.2806818169</v>
      </c>
      <c r="J27" s="412">
        <f t="shared" si="3"/>
        <v>3287134.5890116952</v>
      </c>
      <c r="K27" s="412">
        <f>J27*'Fin Assumptions'!$B$8/4</f>
        <v>49307.018835175426</v>
      </c>
      <c r="L27" s="412">
        <f>IF(AND(C27&gt;'Fin Assumptions'!$B$4,C27&lt;=('Fin Assumptions'!$B$4+'Fin Assumptions'!$B$6)),(Debt!$K$1-Debt!K27),0)</f>
        <v>171192.84144424528</v>
      </c>
      <c r="M27" s="412">
        <f t="shared" si="1"/>
        <v>3115941.7475674502</v>
      </c>
      <c r="N27" s="202">
        <v>16</v>
      </c>
      <c r="O27" s="412">
        <f t="shared" si="4"/>
        <v>374485.63103759493</v>
      </c>
      <c r="P27" s="412">
        <f t="shared" si="5"/>
        <v>51451.036078918609</v>
      </c>
      <c r="Q27" s="412">
        <f t="shared" si="6"/>
        <v>323034.59495867626</v>
      </c>
    </row>
    <row r="28" spans="3:17" ht="14" thickBot="1" x14ac:dyDescent="0.2">
      <c r="C28" s="372">
        <v>25</v>
      </c>
      <c r="D28" s="412">
        <f t="shared" si="2"/>
        <v>2785700.2806818169</v>
      </c>
      <c r="E28" s="412">
        <f>D28*'Fin Assumptions'!$B$8/4</f>
        <v>41785.504210227249</v>
      </c>
      <c r="F28" s="421">
        <f>IF(AND(C28&gt;'Fin Assumptions'!$B$4,C28&lt;=('Fin Assumptions'!$B$4+'Fin Assumptions'!$B$6)),'Fin Assumptions'!$B$10,0)</f>
        <v>174106.26754261361</v>
      </c>
      <c r="G28" s="412">
        <f t="shared" si="0"/>
        <v>2611594.0131392032</v>
      </c>
      <c r="J28" s="412">
        <f t="shared" si="3"/>
        <v>3115941.7475674502</v>
      </c>
      <c r="K28" s="412">
        <f>J28*'Fin Assumptions'!$B$8/4</f>
        <v>46739.12621351175</v>
      </c>
      <c r="L28" s="412">
        <f>IF(AND(C28&gt;'Fin Assumptions'!$B$4,C28&lt;=('Fin Assumptions'!$B$4+'Fin Assumptions'!$B$6)),(Debt!$K$1-Debt!K28),0)</f>
        <v>173760.73406590897</v>
      </c>
      <c r="M28" s="412">
        <f t="shared" si="1"/>
        <v>2942181.0135015412</v>
      </c>
      <c r="N28" s="202">
        <v>17</v>
      </c>
      <c r="O28" s="412">
        <f t="shared" si="4"/>
        <v>374485.63103759493</v>
      </c>
      <c r="P28" s="412">
        <f t="shared" si="5"/>
        <v>41759.99823015833</v>
      </c>
      <c r="Q28" s="412">
        <f t="shared" si="6"/>
        <v>332725.63280743657</v>
      </c>
    </row>
    <row r="29" spans="3:17" ht="14" thickBot="1" x14ac:dyDescent="0.2">
      <c r="C29" s="372">
        <v>26</v>
      </c>
      <c r="D29" s="412">
        <f t="shared" si="2"/>
        <v>2611594.0131392032</v>
      </c>
      <c r="E29" s="412">
        <f>D29*'Fin Assumptions'!$B$8/4</f>
        <v>39173.910197088044</v>
      </c>
      <c r="F29" s="421">
        <f>IF(AND(C29&gt;'Fin Assumptions'!$B$4,C29&lt;=('Fin Assumptions'!$B$4+'Fin Assumptions'!$B$6)),'Fin Assumptions'!$B$10,0)</f>
        <v>174106.26754261361</v>
      </c>
      <c r="G29" s="412">
        <f t="shared" si="0"/>
        <v>2437487.7455965895</v>
      </c>
      <c r="J29" s="412">
        <f t="shared" si="3"/>
        <v>2942181.0135015412</v>
      </c>
      <c r="K29" s="412">
        <f>J29*'Fin Assumptions'!$B$8/4</f>
        <v>44132.715202523119</v>
      </c>
      <c r="L29" s="412">
        <f>IF(AND(C29&gt;'Fin Assumptions'!$B$4,C29&lt;=('Fin Assumptions'!$B$4+'Fin Assumptions'!$B$6)),(Debt!$K$1-Debt!K29),0)</f>
        <v>176367.14507689758</v>
      </c>
      <c r="M29" s="412">
        <f t="shared" si="1"/>
        <v>2765813.8684246438</v>
      </c>
      <c r="N29" s="202">
        <v>18</v>
      </c>
      <c r="O29" s="412">
        <f t="shared" si="4"/>
        <v>374485.63103759493</v>
      </c>
      <c r="P29" s="412">
        <f t="shared" si="5"/>
        <v>31778.229245935232</v>
      </c>
      <c r="Q29" s="412">
        <f t="shared" si="6"/>
        <v>342707.40179165965</v>
      </c>
    </row>
    <row r="30" spans="3:17" ht="14" thickBot="1" x14ac:dyDescent="0.2">
      <c r="C30" s="372">
        <v>27</v>
      </c>
      <c r="D30" s="412">
        <f t="shared" si="2"/>
        <v>2437487.7455965895</v>
      </c>
      <c r="E30" s="412">
        <f>D30*'Fin Assumptions'!$B$8/4</f>
        <v>36562.316183948838</v>
      </c>
      <c r="F30" s="421">
        <f>IF(AND(C30&gt;'Fin Assumptions'!$B$4,C30&lt;=('Fin Assumptions'!$B$4+'Fin Assumptions'!$B$6)),'Fin Assumptions'!$B$10,0)</f>
        <v>174106.26754261361</v>
      </c>
      <c r="G30" s="412">
        <f t="shared" si="0"/>
        <v>2263381.4780539759</v>
      </c>
      <c r="J30" s="412">
        <f t="shared" si="3"/>
        <v>2765813.8684246438</v>
      </c>
      <c r="K30" s="412">
        <f>J30*'Fin Assumptions'!$B$8/4</f>
        <v>41487.208026369655</v>
      </c>
      <c r="L30" s="412">
        <f>IF(AND(C30&gt;'Fin Assumptions'!$B$4,C30&lt;=('Fin Assumptions'!$B$4+'Fin Assumptions'!$B$6)),(Debt!$K$1-Debt!K30),0)</f>
        <v>179012.65225305106</v>
      </c>
      <c r="M30" s="412">
        <f t="shared" si="1"/>
        <v>2586801.2161715925</v>
      </c>
      <c r="N30" s="202">
        <v>19</v>
      </c>
      <c r="O30" s="412">
        <f t="shared" si="4"/>
        <v>374485.63103759493</v>
      </c>
      <c r="P30" s="412">
        <f t="shared" si="5"/>
        <v>21497.007192185436</v>
      </c>
      <c r="Q30" s="412">
        <f t="shared" si="6"/>
        <v>352988.62384540949</v>
      </c>
    </row>
    <row r="31" spans="3:17" ht="14" thickBot="1" x14ac:dyDescent="0.2">
      <c r="C31" s="372">
        <v>28</v>
      </c>
      <c r="D31" s="412">
        <f t="shared" si="2"/>
        <v>2263381.4780539759</v>
      </c>
      <c r="E31" s="412">
        <f>D31*'Fin Assumptions'!$B$8/4</f>
        <v>33950.722170809633</v>
      </c>
      <c r="F31" s="421">
        <f>IF(AND(C31&gt;'Fin Assumptions'!$B$4,C31&lt;=('Fin Assumptions'!$B$4+'Fin Assumptions'!$B$6)),'Fin Assumptions'!$B$10,0)</f>
        <v>174106.26754261361</v>
      </c>
      <c r="G31" s="412">
        <f t="shared" si="0"/>
        <v>2089275.2105113622</v>
      </c>
      <c r="J31" s="412">
        <f t="shared" si="3"/>
        <v>2586801.2161715925</v>
      </c>
      <c r="K31" s="412">
        <f>J31*'Fin Assumptions'!$B$8/4</f>
        <v>38802.018242573882</v>
      </c>
      <c r="L31" s="412">
        <f>IF(AND(C31&gt;'Fin Assumptions'!$B$4,C31&lt;=('Fin Assumptions'!$B$4+'Fin Assumptions'!$B$6)),(Debt!$K$1-Debt!K31),0)</f>
        <v>181697.84203684682</v>
      </c>
      <c r="M31" s="412">
        <f t="shared" si="1"/>
        <v>2405103.3741347454</v>
      </c>
      <c r="N31" s="202">
        <v>20</v>
      </c>
      <c r="O31" s="412">
        <f t="shared" si="4"/>
        <v>374485.63103759493</v>
      </c>
      <c r="P31" s="412">
        <f t="shared" si="5"/>
        <v>10907.348476823154</v>
      </c>
      <c r="Q31" s="412">
        <f t="shared" si="6"/>
        <v>363578.28256077174</v>
      </c>
    </row>
    <row r="32" spans="3:17" ht="14" thickBot="1" x14ac:dyDescent="0.2">
      <c r="C32" s="371">
        <v>29</v>
      </c>
      <c r="D32" s="412">
        <f t="shared" si="2"/>
        <v>2089275.2105113622</v>
      </c>
      <c r="E32" s="412">
        <f>D32*'Fin Assumptions'!$B$8/4</f>
        <v>31339.128157670431</v>
      </c>
      <c r="F32" s="421">
        <f>IF(AND(C32&gt;'Fin Assumptions'!$B$4,C32&lt;=('Fin Assumptions'!$B$4+'Fin Assumptions'!$B$6)),'Fin Assumptions'!$B$10,0)</f>
        <v>174106.26754261361</v>
      </c>
      <c r="G32" s="412">
        <f t="shared" si="0"/>
        <v>1915168.9429687485</v>
      </c>
      <c r="J32" s="412">
        <f t="shared" si="3"/>
        <v>2405103.3741347454</v>
      </c>
      <c r="K32" s="412">
        <f>J32*'Fin Assumptions'!$B$8/4</f>
        <v>36076.550612021179</v>
      </c>
      <c r="L32" s="412">
        <f>IF(AND(C32&gt;'Fin Assumptions'!$B$4,C32&lt;=('Fin Assumptions'!$B$4+'Fin Assumptions'!$B$6)),(Debt!$K$1-Debt!K32),0)</f>
        <v>184423.30966739953</v>
      </c>
      <c r="M32" s="412">
        <f t="shared" si="1"/>
        <v>2220680.0644673458</v>
      </c>
      <c r="N32" s="202">
        <v>21</v>
      </c>
    </row>
    <row r="33" spans="2:14" ht="14" thickBot="1" x14ac:dyDescent="0.2">
      <c r="C33" s="371">
        <v>30</v>
      </c>
      <c r="D33" s="412">
        <f t="shared" si="2"/>
        <v>1915168.9429687485</v>
      </c>
      <c r="E33" s="412">
        <f>D33*'Fin Assumptions'!$B$8/4</f>
        <v>28727.534144531226</v>
      </c>
      <c r="F33" s="421">
        <f>IF(AND(C33&gt;'Fin Assumptions'!$B$4,C33&lt;=('Fin Assumptions'!$B$4+'Fin Assumptions'!$B$6)),'Fin Assumptions'!$B$10,0)</f>
        <v>174106.26754261361</v>
      </c>
      <c r="G33" s="412">
        <f t="shared" si="0"/>
        <v>1741062.6754261348</v>
      </c>
      <c r="J33" s="412">
        <f t="shared" si="3"/>
        <v>2220680.0644673458</v>
      </c>
      <c r="K33" s="412">
        <f>J33*'Fin Assumptions'!$B$8/4</f>
        <v>33310.200967010183</v>
      </c>
      <c r="L33" s="412">
        <f>IF(AND(C33&gt;'Fin Assumptions'!$B$4,C33&lt;=('Fin Assumptions'!$B$4+'Fin Assumptions'!$B$6)),(Debt!$K$1-Debt!K33),0)</f>
        <v>187189.65931241051</v>
      </c>
      <c r="M33" s="412">
        <f t="shared" si="1"/>
        <v>2033490.4051549353</v>
      </c>
      <c r="N33" s="202">
        <v>22</v>
      </c>
    </row>
    <row r="34" spans="2:14" ht="14" thickBot="1" x14ac:dyDescent="0.2">
      <c r="C34" s="371">
        <v>31</v>
      </c>
      <c r="D34" s="412">
        <f t="shared" si="2"/>
        <v>1741062.6754261348</v>
      </c>
      <c r="E34" s="412">
        <f>D34*'Fin Assumptions'!$B$8/4</f>
        <v>26115.940131392021</v>
      </c>
      <c r="F34" s="421">
        <f>IF(AND(C34&gt;'Fin Assumptions'!$B$4,C34&lt;=('Fin Assumptions'!$B$4+'Fin Assumptions'!$B$6)),'Fin Assumptions'!$B$10,0)</f>
        <v>174106.26754261361</v>
      </c>
      <c r="G34" s="412">
        <f t="shared" si="0"/>
        <v>1566956.4078835212</v>
      </c>
      <c r="J34" s="412">
        <f t="shared" si="3"/>
        <v>2033490.4051549353</v>
      </c>
      <c r="K34" s="412">
        <f>J34*'Fin Assumptions'!$B$8/4</f>
        <v>30502.356077324028</v>
      </c>
      <c r="L34" s="412">
        <f>IF(AND(C34&gt;'Fin Assumptions'!$B$4,C34&lt;=('Fin Assumptions'!$B$4+'Fin Assumptions'!$B$6)),(Debt!$K$1-Debt!K34),0)</f>
        <v>189997.50420209669</v>
      </c>
      <c r="M34" s="412">
        <f t="shared" si="1"/>
        <v>1843492.9009528386</v>
      </c>
      <c r="N34" s="202">
        <v>23</v>
      </c>
    </row>
    <row r="35" spans="2:14" ht="14" thickBot="1" x14ac:dyDescent="0.2">
      <c r="C35" s="371">
        <v>32</v>
      </c>
      <c r="D35" s="412">
        <f t="shared" si="2"/>
        <v>1566956.4078835212</v>
      </c>
      <c r="E35" s="412">
        <f>D35*'Fin Assumptions'!$B$8/4</f>
        <v>23504.346118252815</v>
      </c>
      <c r="F35" s="421">
        <f>IF(AND(C35&gt;'Fin Assumptions'!$B$4,C35&lt;=('Fin Assumptions'!$B$4+'Fin Assumptions'!$B$6)),'Fin Assumptions'!$B$10,0)</f>
        <v>174106.26754261361</v>
      </c>
      <c r="G35" s="412">
        <f t="shared" si="0"/>
        <v>1392850.1403409075</v>
      </c>
      <c r="J35" s="412">
        <f t="shared" si="3"/>
        <v>1843492.9009528386</v>
      </c>
      <c r="K35" s="412">
        <f>J35*'Fin Assumptions'!$B$8/4</f>
        <v>27652.393514292577</v>
      </c>
      <c r="L35" s="412">
        <f>IF(AND(C35&gt;'Fin Assumptions'!$B$4,C35&lt;=('Fin Assumptions'!$B$4+'Fin Assumptions'!$B$6)),(Debt!$K$1-Debt!K35),0)</f>
        <v>192847.46676512813</v>
      </c>
      <c r="M35" s="412">
        <f t="shared" si="1"/>
        <v>1650645.4341877105</v>
      </c>
      <c r="N35" s="202">
        <v>24</v>
      </c>
    </row>
    <row r="36" spans="2:14" ht="14" thickBot="1" x14ac:dyDescent="0.2">
      <c r="C36" s="372">
        <v>33</v>
      </c>
      <c r="D36" s="412">
        <f t="shared" si="2"/>
        <v>1392850.1403409075</v>
      </c>
      <c r="E36" s="412">
        <f>D36*'Fin Assumptions'!$B$8/4</f>
        <v>20892.75210511361</v>
      </c>
      <c r="F36" s="421">
        <f>IF(AND(C36&gt;'Fin Assumptions'!$B$4,C36&lt;=('Fin Assumptions'!$B$4+'Fin Assumptions'!$B$6)),'Fin Assumptions'!$B$10,0)</f>
        <v>174106.26754261361</v>
      </c>
      <c r="G36" s="412">
        <f t="shared" si="0"/>
        <v>1218743.8727982938</v>
      </c>
      <c r="J36" s="412">
        <f t="shared" si="3"/>
        <v>1650645.4341877105</v>
      </c>
      <c r="K36" s="412">
        <f>J36*'Fin Assumptions'!$B$8/4</f>
        <v>24759.681512815656</v>
      </c>
      <c r="L36" s="412">
        <f>IF(AND(C36&gt;'Fin Assumptions'!$B$4,C36&lt;=('Fin Assumptions'!$B$4+'Fin Assumptions'!$B$6)),(Debt!$K$1-Debt!K36),0)</f>
        <v>195740.17876660507</v>
      </c>
      <c r="M36" s="412">
        <f t="shared" si="1"/>
        <v>1454905.2554211055</v>
      </c>
    </row>
    <row r="37" spans="2:14" ht="14" thickBot="1" x14ac:dyDescent="0.2">
      <c r="C37" s="372">
        <v>34</v>
      </c>
      <c r="D37" s="412">
        <f t="shared" si="2"/>
        <v>1218743.8727982938</v>
      </c>
      <c r="E37" s="412">
        <f>D37*'Fin Assumptions'!$B$8/4</f>
        <v>18281.158091974408</v>
      </c>
      <c r="F37" s="421">
        <f>IF(AND(C37&gt;'Fin Assumptions'!$B$4,C37&lt;=('Fin Assumptions'!$B$4+'Fin Assumptions'!$B$6)),'Fin Assumptions'!$B$10,0)</f>
        <v>174106.26754261361</v>
      </c>
      <c r="G37" s="412">
        <f t="shared" si="0"/>
        <v>1044637.6052556802</v>
      </c>
      <c r="J37" s="412">
        <f t="shared" si="3"/>
        <v>1454905.2554211055</v>
      </c>
      <c r="K37" s="412">
        <f>J37*'Fin Assumptions'!$B$8/4</f>
        <v>21823.578831316583</v>
      </c>
      <c r="L37" s="412">
        <f>IF(AND(C37&gt;'Fin Assumptions'!$B$4,C37&lt;=('Fin Assumptions'!$B$4+'Fin Assumptions'!$B$6)),(Debt!$K$1-Debt!K37),0)</f>
        <v>198676.28144810413</v>
      </c>
      <c r="M37" s="412">
        <f t="shared" si="1"/>
        <v>1256228.9739730014</v>
      </c>
    </row>
    <row r="38" spans="2:14" ht="14" thickBot="1" x14ac:dyDescent="0.2">
      <c r="C38" s="372">
        <v>35</v>
      </c>
      <c r="D38" s="412">
        <f t="shared" si="2"/>
        <v>1044637.6052556802</v>
      </c>
      <c r="E38" s="412">
        <f>D38*'Fin Assumptions'!$B$8/4</f>
        <v>15669.564078835201</v>
      </c>
      <c r="F38" s="421">
        <f>IF(AND(C38&gt;'Fin Assumptions'!$B$4,C38&lt;=('Fin Assumptions'!$B$4+'Fin Assumptions'!$B$6)),'Fin Assumptions'!$B$10,0)</f>
        <v>174106.26754261361</v>
      </c>
      <c r="G38" s="412">
        <f t="shared" si="0"/>
        <v>870531.33771306649</v>
      </c>
      <c r="J38" s="412">
        <f t="shared" si="3"/>
        <v>1256228.9739730014</v>
      </c>
      <c r="K38" s="412">
        <f>J38*'Fin Assumptions'!$B$8/4</f>
        <v>18843.43460959502</v>
      </c>
      <c r="L38" s="412">
        <f>IF(AND(C38&gt;'Fin Assumptions'!$B$4,C38&lt;=('Fin Assumptions'!$B$4+'Fin Assumptions'!$B$6)),(Debt!$K$1-Debt!K38),0)</f>
        <v>201656.42566982569</v>
      </c>
      <c r="M38" s="412">
        <f t="shared" si="1"/>
        <v>1054572.5483031757</v>
      </c>
    </row>
    <row r="39" spans="2:14" ht="14" thickBot="1" x14ac:dyDescent="0.2">
      <c r="C39" s="372">
        <v>36</v>
      </c>
      <c r="D39" s="412">
        <f t="shared" si="2"/>
        <v>870531.33771306649</v>
      </c>
      <c r="E39" s="412">
        <f>D39*'Fin Assumptions'!$B$8/4</f>
        <v>13057.970065695998</v>
      </c>
      <c r="F39" s="421">
        <f>IF(AND(C39&gt;'Fin Assumptions'!$B$4,C39&lt;=('Fin Assumptions'!$B$4+'Fin Assumptions'!$B$6)),'Fin Assumptions'!$B$10,0)</f>
        <v>174106.26754261361</v>
      </c>
      <c r="G39" s="412">
        <f t="shared" si="0"/>
        <v>696425.07017045282</v>
      </c>
      <c r="J39" s="412">
        <f t="shared" si="3"/>
        <v>1054572.5483031757</v>
      </c>
      <c r="K39" s="412">
        <f>J39*'Fin Assumptions'!$B$8/4</f>
        <v>15818.588224547635</v>
      </c>
      <c r="L39" s="412">
        <f>IF(AND(C39&gt;'Fin Assumptions'!$B$4,C39&lt;=('Fin Assumptions'!$B$4+'Fin Assumptions'!$B$6)),(Debt!$K$1-Debt!K39),0)</f>
        <v>204681.27205487309</v>
      </c>
      <c r="M39" s="412">
        <f t="shared" si="1"/>
        <v>849891.27624830266</v>
      </c>
    </row>
    <row r="40" spans="2:14" ht="14" thickBot="1" x14ac:dyDescent="0.2">
      <c r="C40" s="371">
        <v>37</v>
      </c>
      <c r="D40" s="412">
        <f t="shared" si="2"/>
        <v>696425.07017045282</v>
      </c>
      <c r="E40" s="412">
        <f>D40*'Fin Assumptions'!$B$8/4</f>
        <v>10446.376052556792</v>
      </c>
      <c r="F40" s="421">
        <f>IF(AND(C40&gt;'Fin Assumptions'!$B$4,C40&lt;=('Fin Assumptions'!$B$4+'Fin Assumptions'!$B$6)),'Fin Assumptions'!$B$10,0)</f>
        <v>174106.26754261361</v>
      </c>
      <c r="G40" s="412">
        <f t="shared" si="0"/>
        <v>522318.80262783921</v>
      </c>
      <c r="J40" s="412">
        <f t="shared" si="3"/>
        <v>849891.27624830266</v>
      </c>
      <c r="K40" s="412">
        <f>J40*'Fin Assumptions'!$B$8/4</f>
        <v>12748.36914372454</v>
      </c>
      <c r="L40" s="412">
        <f>IF(AND(C40&gt;'Fin Assumptions'!$B$4,C40&lt;=('Fin Assumptions'!$B$4+'Fin Assumptions'!$B$6)),(Debt!$K$1-Debt!K40),0)</f>
        <v>207751.49113569618</v>
      </c>
      <c r="M40" s="412">
        <f t="shared" si="1"/>
        <v>642139.78511260648</v>
      </c>
    </row>
    <row r="41" spans="2:14" ht="14" thickBot="1" x14ac:dyDescent="0.2">
      <c r="C41" s="371">
        <v>38</v>
      </c>
      <c r="D41" s="412">
        <f t="shared" si="2"/>
        <v>522318.80262783921</v>
      </c>
      <c r="E41" s="412">
        <f>D41*'Fin Assumptions'!$B$8/4</f>
        <v>7834.7820394175878</v>
      </c>
      <c r="F41" s="421">
        <f>IF(AND(C41&gt;'Fin Assumptions'!$B$4,C41&lt;=('Fin Assumptions'!$B$4+'Fin Assumptions'!$B$6)),'Fin Assumptions'!$B$10,0)</f>
        <v>174106.26754261361</v>
      </c>
      <c r="G41" s="412">
        <f t="shared" si="0"/>
        <v>348212.53508522559</v>
      </c>
      <c r="J41" s="412">
        <f t="shared" si="3"/>
        <v>642139.78511260648</v>
      </c>
      <c r="K41" s="412">
        <f>J41*'Fin Assumptions'!$B$8/4</f>
        <v>9632.0967766890972</v>
      </c>
      <c r="L41" s="412">
        <f>IF(AND(C41&gt;'Fin Assumptions'!$B$4,C41&lt;=('Fin Assumptions'!$B$4+'Fin Assumptions'!$B$6)),(Debt!$K$1-Debt!K41),0)</f>
        <v>210867.76350273163</v>
      </c>
      <c r="M41" s="412">
        <f t="shared" si="1"/>
        <v>431272.02160987485</v>
      </c>
    </row>
    <row r="42" spans="2:14" ht="14" thickBot="1" x14ac:dyDescent="0.2">
      <c r="C42" s="371">
        <v>39</v>
      </c>
      <c r="D42" s="412">
        <f t="shared" si="2"/>
        <v>348212.53508522559</v>
      </c>
      <c r="E42" s="412">
        <f>D42*'Fin Assumptions'!$B$8/4</f>
        <v>5223.1880262783834</v>
      </c>
      <c r="F42" s="421">
        <f>IF(AND(C42&gt;'Fin Assumptions'!$B$4,C42&lt;=('Fin Assumptions'!$B$4+'Fin Assumptions'!$B$6)),'Fin Assumptions'!$B$10,0)</f>
        <v>174106.26754261361</v>
      </c>
      <c r="G42" s="412">
        <f t="shared" si="0"/>
        <v>174106.26754261198</v>
      </c>
      <c r="J42" s="412">
        <f t="shared" si="3"/>
        <v>431272.02160987485</v>
      </c>
      <c r="K42" s="412">
        <f>J42*'Fin Assumptions'!$B$8/4</f>
        <v>6469.0803241481226</v>
      </c>
      <c r="L42" s="412">
        <f>IF(AND(C42&gt;'Fin Assumptions'!$B$4,C42&lt;=('Fin Assumptions'!$B$4+'Fin Assumptions'!$B$6)),(Debt!$K$1-Debt!K42),0)</f>
        <v>214030.77995527259</v>
      </c>
      <c r="M42" s="412">
        <f t="shared" si="1"/>
        <v>217241.24165460226</v>
      </c>
    </row>
    <row r="43" spans="2:14" ht="14" thickBot="1" x14ac:dyDescent="0.2">
      <c r="C43" s="371">
        <v>40</v>
      </c>
      <c r="D43" s="412">
        <f t="shared" si="2"/>
        <v>174106.26754261198</v>
      </c>
      <c r="E43" s="412">
        <f>D43*'Fin Assumptions'!$B$8/4</f>
        <v>2611.5940131391794</v>
      </c>
      <c r="F43" s="421">
        <f>IF(AND(C43&gt;'Fin Assumptions'!$B$4,C43&lt;=('Fin Assumptions'!$B$4+'Fin Assumptions'!$B$6)),'Fin Assumptions'!$B$10,0)</f>
        <v>174106.26754261361</v>
      </c>
      <c r="G43" s="422">
        <f t="shared" si="0"/>
        <v>-1.6298145055770874E-9</v>
      </c>
      <c r="J43" s="412">
        <f t="shared" si="3"/>
        <v>217241.24165460226</v>
      </c>
      <c r="K43" s="412">
        <f>J43*'Fin Assumptions'!$B$8/4</f>
        <v>3258.6186248190338</v>
      </c>
      <c r="L43" s="412">
        <f>IF(AND(C43&gt;'Fin Assumptions'!$B$4,C43&lt;=('Fin Assumptions'!$B$4+'Fin Assumptions'!$B$6)),(Debt!$K$1-Debt!K43),0)</f>
        <v>217241.24165460168</v>
      </c>
      <c r="M43" s="423">
        <f t="shared" si="1"/>
        <v>5.8207660913467407E-10</v>
      </c>
    </row>
    <row r="46" spans="2:14" ht="14" thickBot="1" x14ac:dyDescent="0.2"/>
    <row r="47" spans="2:14" ht="14" thickBot="1" x14ac:dyDescent="0.2">
      <c r="B47" s="373" t="s">
        <v>50</v>
      </c>
      <c r="C47" s="373"/>
      <c r="D47" s="372"/>
      <c r="E47" s="373"/>
      <c r="F47" s="373"/>
      <c r="G47" s="373"/>
      <c r="H47" s="373"/>
      <c r="I47" s="373"/>
      <c r="J47" s="373"/>
      <c r="K47" s="373"/>
      <c r="L47" s="373"/>
      <c r="M47" s="373"/>
    </row>
    <row r="48" spans="2:14" ht="14" thickBot="1" x14ac:dyDescent="0.2">
      <c r="B48" s="373" t="s">
        <v>51</v>
      </c>
      <c r="C48" s="373"/>
      <c r="D48" s="372">
        <v>1</v>
      </c>
      <c r="E48" s="372">
        <v>2</v>
      </c>
      <c r="F48" s="372">
        <v>3</v>
      </c>
      <c r="G48" s="372">
        <v>4</v>
      </c>
      <c r="H48" s="372">
        <v>5</v>
      </c>
      <c r="I48" s="372">
        <v>6</v>
      </c>
      <c r="J48" s="372">
        <v>7</v>
      </c>
      <c r="K48" s="372">
        <v>8</v>
      </c>
      <c r="L48" s="372">
        <v>9</v>
      </c>
      <c r="M48" s="372">
        <v>10</v>
      </c>
    </row>
    <row r="49" spans="2:13" ht="14" thickBot="1" x14ac:dyDescent="0.2">
      <c r="B49" s="374" t="s">
        <v>52</v>
      </c>
      <c r="C49" s="424"/>
      <c r="D49" s="424">
        <f>SUM(E4:E7)</f>
        <v>334284.03368181811</v>
      </c>
      <c r="E49" s="424">
        <f>SUM(E8:E11)</f>
        <v>334284.03368181811</v>
      </c>
      <c r="F49" s="424">
        <f>SUM(E12:E15)</f>
        <v>318614.46960298286</v>
      </c>
      <c r="G49" s="424">
        <f>SUM(E16:E19)</f>
        <v>276828.96539275558</v>
      </c>
      <c r="H49" s="424">
        <f>SUM(E20:E23)</f>
        <v>235043.46118252832</v>
      </c>
      <c r="I49" s="424">
        <f>SUM(E24:E27)</f>
        <v>193257.95697230104</v>
      </c>
      <c r="J49" s="424">
        <f>SUM(E28:E31)</f>
        <v>151472.45276207375</v>
      </c>
      <c r="K49" s="424">
        <f>SUM(E32:E35)</f>
        <v>109686.94855184649</v>
      </c>
      <c r="L49" s="424">
        <f>SUM(E36:E39)</f>
        <v>67901.444341619208</v>
      </c>
      <c r="M49" s="424">
        <f>SUM(E40:E43)</f>
        <v>26115.940131391941</v>
      </c>
    </row>
    <row r="50" spans="2:13" ht="14" thickBot="1" x14ac:dyDescent="0.2">
      <c r="B50" s="375" t="s">
        <v>53</v>
      </c>
      <c r="C50" s="424"/>
      <c r="D50" s="424">
        <f>SUM(F4:F7)</f>
        <v>0</v>
      </c>
      <c r="E50" s="424">
        <f>SUM(F8:F11)</f>
        <v>0</v>
      </c>
      <c r="F50" s="424">
        <f>SUM(F12:F15)</f>
        <v>696425.07017045445</v>
      </c>
      <c r="G50" s="424">
        <f>SUM(F16:F19)</f>
        <v>696425.07017045445</v>
      </c>
      <c r="H50" s="424">
        <f>SUM(F20:F23)</f>
        <v>696425.07017045445</v>
      </c>
      <c r="I50" s="424">
        <f>SUM(F24:F27)</f>
        <v>696425.07017045445</v>
      </c>
      <c r="J50" s="424">
        <f>SUM(F28:F31)</f>
        <v>696425.07017045445</v>
      </c>
      <c r="K50" s="424">
        <f>SUM(F32:F35)</f>
        <v>696425.07017045445</v>
      </c>
      <c r="L50" s="424">
        <f>SUM(F36:F39)</f>
        <v>696425.07017045445</v>
      </c>
      <c r="M50" s="424">
        <f>SUM(F40:F43)</f>
        <v>696425.07017045445</v>
      </c>
    </row>
    <row r="51" spans="2:13" ht="14" thickBot="1" x14ac:dyDescent="0.2">
      <c r="B51" s="375" t="s">
        <v>54</v>
      </c>
      <c r="C51" s="424"/>
      <c r="D51" s="425">
        <f>SUM(D49:D50)</f>
        <v>334284.03368181811</v>
      </c>
      <c r="E51" s="425">
        <f t="shared" ref="E51:M51" si="7">SUM(E49:E50)</f>
        <v>334284.03368181811</v>
      </c>
      <c r="F51" s="425">
        <f t="shared" si="7"/>
        <v>1015039.5397734373</v>
      </c>
      <c r="G51" s="425">
        <f t="shared" si="7"/>
        <v>973254.03556321003</v>
      </c>
      <c r="H51" s="425">
        <f t="shared" si="7"/>
        <v>931468.53135298274</v>
      </c>
      <c r="I51" s="425">
        <f t="shared" si="7"/>
        <v>889683.02714275545</v>
      </c>
      <c r="J51" s="425">
        <f t="shared" si="7"/>
        <v>847897.52293252817</v>
      </c>
      <c r="K51" s="425">
        <f>SUM(K49:K50)</f>
        <v>806112.01872230088</v>
      </c>
      <c r="L51" s="425">
        <f t="shared" si="7"/>
        <v>764326.51451207371</v>
      </c>
      <c r="M51" s="425">
        <f t="shared" si="7"/>
        <v>722541.01030184643</v>
      </c>
    </row>
    <row r="52" spans="2:13" ht="14" thickBot="1" x14ac:dyDescent="0.2">
      <c r="B52" s="373"/>
      <c r="C52" s="424"/>
      <c r="D52" s="424"/>
      <c r="E52" s="424"/>
      <c r="F52" s="424"/>
      <c r="G52" s="424"/>
      <c r="H52" s="424"/>
      <c r="I52" s="424"/>
      <c r="J52" s="424"/>
      <c r="K52" s="424"/>
      <c r="L52" s="424"/>
      <c r="M52" s="424"/>
    </row>
    <row r="53" spans="2:13" ht="14" thickBot="1" x14ac:dyDescent="0.2">
      <c r="B53" s="375" t="s">
        <v>55</v>
      </c>
      <c r="C53" s="424">
        <f>D4</f>
        <v>5571400.5613636356</v>
      </c>
      <c r="D53" s="424">
        <f>C53-D50</f>
        <v>5571400.5613636356</v>
      </c>
      <c r="E53" s="424">
        <f t="shared" ref="E53:K53" si="8">D53-E50</f>
        <v>5571400.5613636356</v>
      </c>
      <c r="F53" s="424">
        <f t="shared" si="8"/>
        <v>4874975.4911931809</v>
      </c>
      <c r="G53" s="424">
        <f t="shared" si="8"/>
        <v>4178550.4210227262</v>
      </c>
      <c r="H53" s="424">
        <f t="shared" si="8"/>
        <v>3482125.3508522715</v>
      </c>
      <c r="I53" s="424">
        <f t="shared" si="8"/>
        <v>2785700.2806818169</v>
      </c>
      <c r="J53" s="424">
        <f t="shared" si="8"/>
        <v>2089275.2105113624</v>
      </c>
      <c r="K53" s="424">
        <f t="shared" si="8"/>
        <v>1392850.140340908</v>
      </c>
      <c r="L53" s="424">
        <f t="shared" ref="L53:M53" si="9">K53-L50</f>
        <v>696425.07017045352</v>
      </c>
      <c r="M53" s="424">
        <f t="shared" si="9"/>
        <v>-9.3132257461547852E-10</v>
      </c>
    </row>
    <row r="56" spans="2:13" ht="14" thickBot="1" x14ac:dyDescent="0.2"/>
    <row r="57" spans="2:13" ht="14" thickBot="1" x14ac:dyDescent="0.2">
      <c r="B57" s="338" t="s">
        <v>56</v>
      </c>
      <c r="C57" s="339"/>
      <c r="D57" s="339"/>
      <c r="E57" s="340"/>
      <c r="F57" s="340"/>
      <c r="G57" s="340"/>
      <c r="H57" s="340"/>
      <c r="I57" s="340"/>
      <c r="J57" s="340"/>
      <c r="K57" s="340"/>
      <c r="L57" s="340"/>
      <c r="M57" s="340"/>
    </row>
    <row r="58" spans="2:13" ht="14" thickBot="1" x14ac:dyDescent="0.2">
      <c r="B58" s="339" t="s">
        <v>57</v>
      </c>
      <c r="C58" s="341">
        <v>0.75</v>
      </c>
      <c r="D58" s="339"/>
      <c r="E58" s="340"/>
      <c r="F58" s="340"/>
      <c r="G58" s="340"/>
      <c r="H58" s="340"/>
      <c r="I58" s="340"/>
      <c r="J58" s="340"/>
      <c r="K58" s="340"/>
      <c r="L58" s="340"/>
      <c r="M58" s="340"/>
    </row>
    <row r="59" spans="2:13" ht="14" thickBot="1" x14ac:dyDescent="0.2">
      <c r="B59" s="339" t="s">
        <v>58</v>
      </c>
      <c r="C59" s="342">
        <v>0.12</v>
      </c>
      <c r="D59" s="339"/>
      <c r="E59" s="340"/>
      <c r="F59" s="340"/>
      <c r="G59" s="340"/>
      <c r="H59" s="340"/>
      <c r="I59" s="340"/>
      <c r="J59" s="340"/>
      <c r="K59" s="340"/>
      <c r="L59" s="340"/>
      <c r="M59" s="340"/>
    </row>
    <row r="60" spans="2:13" ht="14" thickBot="1" x14ac:dyDescent="0.2">
      <c r="B60" s="339" t="s">
        <v>59</v>
      </c>
      <c r="C60" s="339"/>
      <c r="D60" s="339"/>
      <c r="E60" s="340"/>
      <c r="F60" s="340"/>
      <c r="G60" s="340"/>
      <c r="H60" s="340"/>
      <c r="I60" s="340"/>
      <c r="J60" s="340"/>
      <c r="K60" s="340"/>
      <c r="L60" s="340"/>
      <c r="M60" s="340"/>
    </row>
    <row r="61" spans="2:13" ht="14" thickBot="1" x14ac:dyDescent="0.2">
      <c r="B61" s="343" t="s">
        <v>60</v>
      </c>
      <c r="C61" s="344"/>
      <c r="D61" s="339" t="s">
        <v>61</v>
      </c>
      <c r="E61" s="340"/>
      <c r="F61" s="340"/>
      <c r="G61" s="340"/>
      <c r="H61" s="340"/>
      <c r="I61" s="340"/>
      <c r="J61" s="340"/>
      <c r="K61" s="340"/>
      <c r="L61" s="340"/>
      <c r="M61" s="340"/>
    </row>
    <row r="62" spans="2:13" ht="14" thickBot="1" x14ac:dyDescent="0.2">
      <c r="B62" s="343" t="s">
        <v>173</v>
      </c>
      <c r="C62" s="344">
        <v>0</v>
      </c>
      <c r="D62" s="339" t="s">
        <v>61</v>
      </c>
      <c r="E62" s="340"/>
      <c r="F62" s="340"/>
      <c r="G62" s="340"/>
      <c r="H62" s="340"/>
      <c r="I62" s="340"/>
      <c r="J62" s="340"/>
      <c r="K62" s="340"/>
      <c r="L62" s="340"/>
      <c r="M62" s="340"/>
    </row>
    <row r="63" spans="2:13" ht="14" thickBot="1" x14ac:dyDescent="0.2">
      <c r="B63" s="343" t="s">
        <v>460</v>
      </c>
      <c r="C63" s="344" t="s">
        <v>61</v>
      </c>
      <c r="D63" s="345">
        <v>10</v>
      </c>
      <c r="E63" s="345">
        <v>20</v>
      </c>
      <c r="F63" s="345">
        <f>E63</f>
        <v>20</v>
      </c>
      <c r="G63" s="345">
        <f t="shared" ref="G63:M63" si="10">F63</f>
        <v>20</v>
      </c>
      <c r="H63" s="345">
        <f t="shared" si="10"/>
        <v>20</v>
      </c>
      <c r="I63" s="345">
        <f t="shared" si="10"/>
        <v>20</v>
      </c>
      <c r="J63" s="345">
        <f t="shared" si="10"/>
        <v>20</v>
      </c>
      <c r="K63" s="345">
        <f t="shared" si="10"/>
        <v>20</v>
      </c>
      <c r="L63" s="345">
        <f t="shared" si="10"/>
        <v>20</v>
      </c>
      <c r="M63" s="345">
        <f t="shared" si="10"/>
        <v>20</v>
      </c>
    </row>
    <row r="64" spans="2:13" ht="14" thickBot="1" x14ac:dyDescent="0.2">
      <c r="B64" s="340" t="s">
        <v>51</v>
      </c>
      <c r="C64" s="346"/>
      <c r="D64" s="346">
        <v>1</v>
      </c>
      <c r="E64" s="346">
        <v>2</v>
      </c>
      <c r="F64" s="346">
        <v>3</v>
      </c>
      <c r="G64" s="346">
        <v>4</v>
      </c>
      <c r="H64" s="346">
        <v>5</v>
      </c>
      <c r="I64" s="346">
        <v>6</v>
      </c>
      <c r="J64" s="346">
        <v>7</v>
      </c>
      <c r="K64" s="346">
        <v>8</v>
      </c>
      <c r="L64" s="346">
        <v>9</v>
      </c>
      <c r="M64" s="346">
        <v>10</v>
      </c>
    </row>
    <row r="65" spans="2:13" ht="14" thickBot="1" x14ac:dyDescent="0.2">
      <c r="B65" s="347" t="s">
        <v>63</v>
      </c>
      <c r="C65" s="346"/>
      <c r="D65" s="346"/>
      <c r="E65" s="346"/>
      <c r="F65" s="346"/>
      <c r="G65" s="346"/>
      <c r="H65" s="346"/>
      <c r="I65" s="346"/>
      <c r="J65" s="346"/>
      <c r="K65" s="346"/>
      <c r="L65" s="346"/>
      <c r="M65" s="346"/>
    </row>
    <row r="66" spans="2:13" ht="12.75" customHeight="1" thickBot="1" x14ac:dyDescent="0.2">
      <c r="B66" s="340" t="s">
        <v>14</v>
      </c>
      <c r="C66" s="346"/>
      <c r="D66" s="346">
        <v>0</v>
      </c>
      <c r="E66" s="346">
        <v>0</v>
      </c>
      <c r="F66" s="346">
        <v>0</v>
      </c>
      <c r="G66" s="346">
        <v>0</v>
      </c>
      <c r="H66" s="346">
        <v>0</v>
      </c>
      <c r="I66" s="346">
        <v>0</v>
      </c>
      <c r="J66" s="346">
        <v>0</v>
      </c>
      <c r="K66" s="346">
        <v>0</v>
      </c>
      <c r="L66" s="346">
        <v>0</v>
      </c>
      <c r="M66" s="346">
        <v>0</v>
      </c>
    </row>
    <row r="67" spans="2:13" ht="14" thickBot="1" x14ac:dyDescent="0.2">
      <c r="B67" s="340" t="s">
        <v>460</v>
      </c>
      <c r="C67" s="346"/>
      <c r="D67" s="426">
        <f>+D63*'P&amp;L'!D16/360</f>
        <v>104180.3367003367</v>
      </c>
      <c r="E67" s="426">
        <f>+E63*'P&amp;L'!E16/360</f>
        <v>233504.61952861954</v>
      </c>
      <c r="F67" s="426">
        <f>+F63*'P&amp;L'!F16/360</f>
        <v>258708.31380471381</v>
      </c>
      <c r="G67" s="426">
        <f>+G63*'P&amp;L'!G16/360</f>
        <v>283754.39771043765</v>
      </c>
      <c r="H67" s="426">
        <f>+H63*'P&amp;L'!H16/360</f>
        <v>307273.57485521882</v>
      </c>
      <c r="I67" s="426">
        <f>+I63*'P&amp;L'!I16/360</f>
        <v>326938.85263299663</v>
      </c>
      <c r="J67" s="426">
        <f>+J63*'P&amp;L'!J16/360</f>
        <v>326938.85263299663</v>
      </c>
      <c r="K67" s="426">
        <f>+K63*'P&amp;L'!K16/360</f>
        <v>326938.85263299663</v>
      </c>
      <c r="L67" s="426">
        <f>+L63*'P&amp;L'!L16/360</f>
        <v>326938.85263299663</v>
      </c>
      <c r="M67" s="426">
        <f>+M63*'P&amp;L'!M16/360</f>
        <v>326938.85263299663</v>
      </c>
    </row>
    <row r="68" spans="2:13" ht="14" thickBot="1" x14ac:dyDescent="0.2">
      <c r="B68" s="347" t="s">
        <v>64</v>
      </c>
      <c r="C68" s="346"/>
      <c r="D68" s="427">
        <f t="shared" ref="D68:M68" si="11">SUM(D66:D67)</f>
        <v>104180.3367003367</v>
      </c>
      <c r="E68" s="427">
        <f t="shared" si="11"/>
        <v>233504.61952861954</v>
      </c>
      <c r="F68" s="427">
        <f t="shared" si="11"/>
        <v>258708.31380471381</v>
      </c>
      <c r="G68" s="427">
        <f t="shared" si="11"/>
        <v>283754.39771043765</v>
      </c>
      <c r="H68" s="427">
        <f t="shared" si="11"/>
        <v>307273.57485521882</v>
      </c>
      <c r="I68" s="427">
        <f t="shared" si="11"/>
        <v>326938.85263299663</v>
      </c>
      <c r="J68" s="427">
        <f t="shared" si="11"/>
        <v>326938.85263299663</v>
      </c>
      <c r="K68" s="427">
        <f t="shared" si="11"/>
        <v>326938.85263299663</v>
      </c>
      <c r="L68" s="427">
        <f t="shared" si="11"/>
        <v>326938.85263299663</v>
      </c>
      <c r="M68" s="427">
        <f t="shared" si="11"/>
        <v>326938.85263299663</v>
      </c>
    </row>
    <row r="69" spans="2:13" ht="14" thickBot="1" x14ac:dyDescent="0.2">
      <c r="B69" s="340" t="s">
        <v>65</v>
      </c>
      <c r="C69" s="346"/>
      <c r="D69" s="426"/>
      <c r="E69" s="426"/>
      <c r="F69" s="426"/>
      <c r="G69" s="426"/>
      <c r="H69" s="426"/>
      <c r="I69" s="426"/>
      <c r="J69" s="426"/>
      <c r="K69" s="426"/>
      <c r="L69" s="426"/>
      <c r="M69" s="426"/>
    </row>
    <row r="70" spans="2:13" ht="14" thickBot="1" x14ac:dyDescent="0.2">
      <c r="B70" s="340" t="s">
        <v>66</v>
      </c>
      <c r="C70" s="346"/>
      <c r="D70" s="426">
        <f>D67*0.8</f>
        <v>83344.269360269362</v>
      </c>
      <c r="E70" s="426">
        <f>E68*0.8</f>
        <v>186803.69562289564</v>
      </c>
      <c r="F70" s="426">
        <f t="shared" ref="F70:M70" si="12">F68*0.8</f>
        <v>206966.65104377107</v>
      </c>
      <c r="G70" s="426">
        <f t="shared" si="12"/>
        <v>227003.51816835013</v>
      </c>
      <c r="H70" s="426">
        <f t="shared" si="12"/>
        <v>245818.85988417506</v>
      </c>
      <c r="I70" s="426">
        <f t="shared" si="12"/>
        <v>261551.08210639731</v>
      </c>
      <c r="J70" s="426">
        <f t="shared" si="12"/>
        <v>261551.08210639731</v>
      </c>
      <c r="K70" s="426">
        <f t="shared" si="12"/>
        <v>261551.08210639731</v>
      </c>
      <c r="L70" s="426">
        <f t="shared" si="12"/>
        <v>261551.08210639731</v>
      </c>
      <c r="M70" s="426">
        <f t="shared" si="12"/>
        <v>261551.08210639731</v>
      </c>
    </row>
    <row r="71" spans="2:13" ht="14" thickBot="1" x14ac:dyDescent="0.2">
      <c r="B71" s="340" t="s">
        <v>67</v>
      </c>
      <c r="C71" s="346"/>
      <c r="D71" s="426">
        <f>D70*$C$59</f>
        <v>10001.312323232323</v>
      </c>
      <c r="E71" s="426">
        <f t="shared" ref="E71:I71" si="13">E70*$C$59</f>
        <v>22416.443474747477</v>
      </c>
      <c r="F71" s="426">
        <f t="shared" si="13"/>
        <v>24835.998125252529</v>
      </c>
      <c r="G71" s="426">
        <f t="shared" si="13"/>
        <v>27240.422180202015</v>
      </c>
      <c r="H71" s="426">
        <f t="shared" si="13"/>
        <v>29498.263186101005</v>
      </c>
      <c r="I71" s="426">
        <f t="shared" si="13"/>
        <v>31386.129852767677</v>
      </c>
      <c r="J71" s="426">
        <f>J70*$C$59</f>
        <v>31386.129852767677</v>
      </c>
      <c r="K71" s="426">
        <f>K70*$C$59</f>
        <v>31386.129852767677</v>
      </c>
      <c r="L71" s="426">
        <f>L70*$C$59</f>
        <v>31386.129852767677</v>
      </c>
      <c r="M71" s="426">
        <f>M70*$C$59</f>
        <v>31386.129852767677</v>
      </c>
    </row>
  </sheetData>
  <mergeCells count="2">
    <mergeCell ref="C2:G2"/>
    <mergeCell ref="J2:M2"/>
  </mergeCells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42"/>
  <sheetViews>
    <sheetView workbookViewId="0">
      <selection activeCell="C30" sqref="C30"/>
    </sheetView>
  </sheetViews>
  <sheetFormatPr baseColWidth="10" defaultColWidth="8.83203125" defaultRowHeight="13" x14ac:dyDescent="0.15"/>
  <cols>
    <col min="1" max="1" width="22.1640625" style="190" bestFit="1" customWidth="1"/>
    <col min="2" max="2" width="13.83203125" style="190" bestFit="1" customWidth="1"/>
    <col min="3" max="12" width="12.83203125" style="190" bestFit="1" customWidth="1"/>
    <col min="13" max="16384" width="8.83203125" style="190"/>
  </cols>
  <sheetData>
    <row r="1" spans="1:12" ht="14" thickBot="1" x14ac:dyDescent="0.2"/>
    <row r="2" spans="1:12" ht="14" thickBot="1" x14ac:dyDescent="0.2">
      <c r="A2" s="430" t="s">
        <v>30</v>
      </c>
      <c r="B2" s="430" t="s">
        <v>31</v>
      </c>
      <c r="C2" s="431" t="s">
        <v>32</v>
      </c>
    </row>
    <row r="3" spans="1:12" ht="14" thickBot="1" x14ac:dyDescent="0.2">
      <c r="A3" s="344" t="str">
        <f>'Fin Assumptions'!A25</f>
        <v>Plant &amp; Machinery</v>
      </c>
      <c r="B3" s="356">
        <f>'Fin Assumptions'!B25</f>
        <v>0.10340000000000001</v>
      </c>
      <c r="C3" s="356">
        <f>'Fin Assumptions'!C25</f>
        <v>0.15</v>
      </c>
    </row>
    <row r="4" spans="1:12" ht="14" thickBot="1" x14ac:dyDescent="0.2">
      <c r="A4" s="344" t="str">
        <f>'Fin Assumptions'!A27</f>
        <v>Miscellaneous Fixed Assets</v>
      </c>
      <c r="B4" s="356">
        <f>'Fin Assumptions'!B27</f>
        <v>0.10340000000000001</v>
      </c>
      <c r="C4" s="356">
        <f>'Fin Assumptions'!C27</f>
        <v>0.15</v>
      </c>
    </row>
    <row r="5" spans="1:12" ht="14" thickBot="1" x14ac:dyDescent="0.2">
      <c r="A5" s="344" t="str">
        <f>'Fin Assumptions'!A28</f>
        <v>Buildings-Plant (technical)</v>
      </c>
      <c r="B5" s="356">
        <f>'Fin Assumptions'!B28</f>
        <v>3.3399999999999999E-2</v>
      </c>
      <c r="C5" s="356">
        <f>'Fin Assumptions'!C28</f>
        <v>0.05</v>
      </c>
    </row>
    <row r="6" spans="1:12" ht="14" thickBot="1" x14ac:dyDescent="0.2">
      <c r="A6" s="344" t="str">
        <f>'Fin Assumptions'!A29</f>
        <v>Buildings-Non technical</v>
      </c>
      <c r="B6" s="356">
        <f>'Fin Assumptions'!B29</f>
        <v>1.6299999999999999E-2</v>
      </c>
      <c r="C6" s="356">
        <f>'Fin Assumptions'!C29</f>
        <v>0.05</v>
      </c>
    </row>
    <row r="8" spans="1:12" ht="14" thickBot="1" x14ac:dyDescent="0.2"/>
    <row r="9" spans="1:12" ht="14" thickBot="1" x14ac:dyDescent="0.2">
      <c r="A9" s="349" t="s">
        <v>35</v>
      </c>
      <c r="B9" s="350"/>
      <c r="C9" s="350"/>
      <c r="D9" s="350"/>
      <c r="E9" s="350"/>
      <c r="F9" s="350"/>
      <c r="G9" s="350"/>
      <c r="H9" s="350"/>
      <c r="I9" s="350"/>
      <c r="J9" s="350"/>
      <c r="K9" s="350"/>
      <c r="L9" s="350"/>
    </row>
    <row r="10" spans="1:12" ht="14" thickBot="1" x14ac:dyDescent="0.2">
      <c r="A10" s="350"/>
      <c r="B10" s="350"/>
      <c r="C10" s="350" t="s">
        <v>36</v>
      </c>
      <c r="D10" s="350"/>
      <c r="E10" s="350"/>
      <c r="F10" s="350"/>
      <c r="G10" s="350"/>
      <c r="H10" s="350"/>
      <c r="I10" s="350"/>
      <c r="J10" s="350"/>
      <c r="K10" s="350"/>
      <c r="L10" s="350"/>
    </row>
    <row r="11" spans="1:12" ht="14" thickBot="1" x14ac:dyDescent="0.2">
      <c r="A11" s="344" t="s">
        <v>37</v>
      </c>
      <c r="B11" s="350" t="s">
        <v>38</v>
      </c>
      <c r="C11" s="350">
        <v>1</v>
      </c>
      <c r="D11" s="350">
        <v>2</v>
      </c>
      <c r="E11" s="350">
        <v>3</v>
      </c>
      <c r="F11" s="350">
        <v>4</v>
      </c>
      <c r="G11" s="350">
        <v>5</v>
      </c>
      <c r="H11" s="350">
        <v>6</v>
      </c>
      <c r="I11" s="350">
        <v>7</v>
      </c>
      <c r="J11" s="350">
        <v>8</v>
      </c>
      <c r="K11" s="350">
        <v>9</v>
      </c>
      <c r="L11" s="350">
        <v>10</v>
      </c>
    </row>
    <row r="12" spans="1:12" ht="14" thickBot="1" x14ac:dyDescent="0.2">
      <c r="A12" s="344" t="s">
        <v>464</v>
      </c>
      <c r="B12" s="350"/>
      <c r="C12" s="350"/>
      <c r="D12" s="351"/>
      <c r="E12" s="350"/>
      <c r="F12" s="350"/>
      <c r="G12" s="350"/>
      <c r="H12" s="350"/>
      <c r="I12" s="350"/>
      <c r="J12" s="350"/>
      <c r="K12" s="350"/>
      <c r="L12" s="350"/>
    </row>
    <row r="13" spans="1:12" ht="14" thickBot="1" x14ac:dyDescent="0.2">
      <c r="A13" s="344" t="s">
        <v>465</v>
      </c>
      <c r="B13" s="350"/>
      <c r="C13" s="350"/>
      <c r="D13" s="351"/>
      <c r="E13" s="350"/>
      <c r="F13" s="350"/>
      <c r="G13" s="350"/>
      <c r="H13" s="350"/>
      <c r="I13" s="350"/>
      <c r="J13" s="350"/>
      <c r="K13" s="350"/>
      <c r="L13" s="350"/>
    </row>
    <row r="14" spans="1:12" ht="14" thickBot="1" x14ac:dyDescent="0.2">
      <c r="A14" s="344" t="s">
        <v>466</v>
      </c>
      <c r="B14" s="350"/>
      <c r="C14" s="350"/>
      <c r="D14" s="351"/>
      <c r="E14" s="350"/>
      <c r="F14" s="350"/>
      <c r="G14" s="350"/>
      <c r="H14" s="350"/>
      <c r="I14" s="350"/>
      <c r="J14" s="350"/>
      <c r="K14" s="350"/>
      <c r="L14" s="350"/>
    </row>
    <row r="15" spans="1:12" ht="14" thickBot="1" x14ac:dyDescent="0.2">
      <c r="A15" s="344" t="str">
        <f>A3</f>
        <v>Plant &amp; Machinery</v>
      </c>
      <c r="B15" s="428">
        <f>'Project Cost'!D13</f>
        <v>3913039.772727272</v>
      </c>
      <c r="C15" s="428">
        <f>$B15*$B3</f>
        <v>404608.31249999994</v>
      </c>
      <c r="D15" s="428">
        <f>($B15+$D12)*$B3</f>
        <v>404608.31249999994</v>
      </c>
      <c r="E15" s="428">
        <f t="shared" ref="E15:L15" si="0">($B15+$D12)*$B3</f>
        <v>404608.31249999994</v>
      </c>
      <c r="F15" s="428">
        <f t="shared" si="0"/>
        <v>404608.31249999994</v>
      </c>
      <c r="G15" s="428">
        <f t="shared" si="0"/>
        <v>404608.31249999994</v>
      </c>
      <c r="H15" s="428">
        <f t="shared" si="0"/>
        <v>404608.31249999994</v>
      </c>
      <c r="I15" s="428">
        <f t="shared" si="0"/>
        <v>404608.31249999994</v>
      </c>
      <c r="J15" s="428">
        <f t="shared" si="0"/>
        <v>404608.31249999994</v>
      </c>
      <c r="K15" s="428">
        <f t="shared" si="0"/>
        <v>404608.31249999994</v>
      </c>
      <c r="L15" s="428">
        <f t="shared" si="0"/>
        <v>404608.31249999994</v>
      </c>
    </row>
    <row r="16" spans="1:12" ht="14" thickBot="1" x14ac:dyDescent="0.2">
      <c r="A16" s="343" t="s">
        <v>459</v>
      </c>
      <c r="B16" s="352"/>
      <c r="C16" s="351"/>
      <c r="D16" s="351"/>
      <c r="E16" s="351"/>
      <c r="F16" s="351"/>
      <c r="G16" s="351"/>
      <c r="H16" s="351"/>
      <c r="I16" s="351"/>
      <c r="J16" s="351"/>
      <c r="K16" s="351"/>
      <c r="L16" s="351"/>
    </row>
    <row r="17" spans="1:12" ht="14" thickBot="1" x14ac:dyDescent="0.2">
      <c r="A17" s="344" t="str">
        <f>A4</f>
        <v>Miscellaneous Fixed Assets</v>
      </c>
      <c r="B17" s="352">
        <f>'Other Equipment'!I10/100000</f>
        <v>0.15255681818181815</v>
      </c>
      <c r="C17" s="351">
        <f t="shared" ref="C17" si="1">$B17*$B4</f>
        <v>1.5774374999999997E-2</v>
      </c>
      <c r="D17" s="351">
        <f>($B17+$D14)*$B4</f>
        <v>1.5774374999999997E-2</v>
      </c>
      <c r="E17" s="351">
        <f t="shared" ref="E17:L17" si="2">($B17+$D14)*$B4</f>
        <v>1.5774374999999997E-2</v>
      </c>
      <c r="F17" s="351">
        <f t="shared" si="2"/>
        <v>1.5774374999999997E-2</v>
      </c>
      <c r="G17" s="351">
        <f t="shared" si="2"/>
        <v>1.5774374999999997E-2</v>
      </c>
      <c r="H17" s="351">
        <f t="shared" si="2"/>
        <v>1.5774374999999997E-2</v>
      </c>
      <c r="I17" s="351">
        <f t="shared" si="2"/>
        <v>1.5774374999999997E-2</v>
      </c>
      <c r="J17" s="351">
        <f t="shared" si="2"/>
        <v>1.5774374999999997E-2</v>
      </c>
      <c r="K17" s="351">
        <f t="shared" si="2"/>
        <v>1.5774374999999997E-2</v>
      </c>
      <c r="L17" s="351">
        <f t="shared" si="2"/>
        <v>1.5774374999999997E-2</v>
      </c>
    </row>
    <row r="18" spans="1:12" ht="14" thickBot="1" x14ac:dyDescent="0.2">
      <c r="A18" s="344" t="str">
        <f>A5</f>
        <v>Buildings-Plant (technical)</v>
      </c>
      <c r="B18" s="428">
        <f>'Project Cost'!D8</f>
        <v>2001841.3636363633</v>
      </c>
      <c r="C18" s="428">
        <f t="shared" ref="C18" si="3">$B18*$B5</f>
        <v>66861.501545454536</v>
      </c>
      <c r="D18" s="428">
        <f>($B18+$D13)*$B5</f>
        <v>66861.501545454536</v>
      </c>
      <c r="E18" s="428">
        <f t="shared" ref="E18:L18" si="4">($B18+$D13)*$B5</f>
        <v>66861.501545454536</v>
      </c>
      <c r="F18" s="428">
        <f t="shared" si="4"/>
        <v>66861.501545454536</v>
      </c>
      <c r="G18" s="428">
        <f t="shared" si="4"/>
        <v>66861.501545454536</v>
      </c>
      <c r="H18" s="428">
        <f t="shared" si="4"/>
        <v>66861.501545454536</v>
      </c>
      <c r="I18" s="428">
        <f t="shared" si="4"/>
        <v>66861.501545454536</v>
      </c>
      <c r="J18" s="428">
        <f t="shared" si="4"/>
        <v>66861.501545454536</v>
      </c>
      <c r="K18" s="428">
        <f t="shared" si="4"/>
        <v>66861.501545454536</v>
      </c>
      <c r="L18" s="428">
        <f t="shared" si="4"/>
        <v>66861.501545454536</v>
      </c>
    </row>
    <row r="19" spans="1:12" ht="14" thickBot="1" x14ac:dyDescent="0.2">
      <c r="A19" s="344" t="str">
        <f>A6</f>
        <v>Buildings-Non technical</v>
      </c>
      <c r="B19" s="352">
        <v>0</v>
      </c>
      <c r="C19" s="351">
        <f t="shared" ref="C19:K19" si="5">$B19*$B6</f>
        <v>0</v>
      </c>
      <c r="D19" s="351">
        <f t="shared" si="5"/>
        <v>0</v>
      </c>
      <c r="E19" s="351">
        <f t="shared" si="5"/>
        <v>0</v>
      </c>
      <c r="F19" s="351">
        <f t="shared" si="5"/>
        <v>0</v>
      </c>
      <c r="G19" s="351">
        <f t="shared" si="5"/>
        <v>0</v>
      </c>
      <c r="H19" s="351">
        <f t="shared" si="5"/>
        <v>0</v>
      </c>
      <c r="I19" s="351">
        <f t="shared" si="5"/>
        <v>0</v>
      </c>
      <c r="J19" s="351">
        <f t="shared" si="5"/>
        <v>0</v>
      </c>
      <c r="K19" s="351">
        <f t="shared" si="5"/>
        <v>0</v>
      </c>
      <c r="L19" s="351">
        <f>$B19*$B6</f>
        <v>0</v>
      </c>
    </row>
    <row r="20" spans="1:12" ht="14" thickBot="1" x14ac:dyDescent="0.2">
      <c r="A20" s="350" t="s">
        <v>39</v>
      </c>
      <c r="B20" s="350"/>
      <c r="C20" s="428">
        <f>SUM(C15:C19)</f>
        <v>471469.82981982949</v>
      </c>
      <c r="D20" s="428">
        <f t="shared" ref="D20:K20" si="6">SUM(D15:D19)</f>
        <v>471469.82981982949</v>
      </c>
      <c r="E20" s="428">
        <f t="shared" si="6"/>
        <v>471469.82981982949</v>
      </c>
      <c r="F20" s="428">
        <f t="shared" si="6"/>
        <v>471469.82981982949</v>
      </c>
      <c r="G20" s="428">
        <f t="shared" si="6"/>
        <v>471469.82981982949</v>
      </c>
      <c r="H20" s="428">
        <f t="shared" si="6"/>
        <v>471469.82981982949</v>
      </c>
      <c r="I20" s="428">
        <f t="shared" si="6"/>
        <v>471469.82981982949</v>
      </c>
      <c r="J20" s="428">
        <f t="shared" si="6"/>
        <v>471469.82981982949</v>
      </c>
      <c r="K20" s="428">
        <f t="shared" si="6"/>
        <v>471469.82981982949</v>
      </c>
      <c r="L20" s="428">
        <f>SUM(L15:L19)</f>
        <v>471469.82981982949</v>
      </c>
    </row>
    <row r="21" spans="1:12" ht="14" thickBot="1" x14ac:dyDescent="0.2">
      <c r="A21" s="355" t="s">
        <v>40</v>
      </c>
      <c r="B21" s="350"/>
      <c r="C21" s="350"/>
      <c r="D21" s="350"/>
      <c r="E21" s="350"/>
      <c r="F21" s="350"/>
      <c r="G21" s="350"/>
      <c r="H21" s="350"/>
      <c r="I21" s="350"/>
      <c r="J21" s="350"/>
      <c r="K21" s="350"/>
      <c r="L21" s="350"/>
    </row>
    <row r="22" spans="1:12" ht="14" thickBot="1" x14ac:dyDescent="0.2">
      <c r="A22" s="344" t="str">
        <f>A15</f>
        <v>Plant &amp; Machinery</v>
      </c>
      <c r="B22" s="428">
        <f>B15</f>
        <v>3913039.772727272</v>
      </c>
      <c r="C22" s="428">
        <f t="shared" ref="C22:L22" si="7">B22-C15</f>
        <v>3508431.460227272</v>
      </c>
      <c r="D22" s="428">
        <f t="shared" si="7"/>
        <v>3103823.147727272</v>
      </c>
      <c r="E22" s="428">
        <f t="shared" si="7"/>
        <v>2699214.835227272</v>
      </c>
      <c r="F22" s="428">
        <f>E22-F15+F16</f>
        <v>2294606.522727272</v>
      </c>
      <c r="G22" s="428">
        <f t="shared" ref="G22:K22" si="8">F22-G15+G16</f>
        <v>1889998.210227272</v>
      </c>
      <c r="H22" s="428">
        <f t="shared" si="8"/>
        <v>1485389.897727272</v>
      </c>
      <c r="I22" s="428">
        <f t="shared" si="8"/>
        <v>1080781.585227272</v>
      </c>
      <c r="J22" s="428">
        <f t="shared" si="8"/>
        <v>676173.27272727201</v>
      </c>
      <c r="K22" s="428">
        <f t="shared" si="8"/>
        <v>271564.96022727207</v>
      </c>
      <c r="L22" s="428">
        <f t="shared" si="7"/>
        <v>-133043.35227272788</v>
      </c>
    </row>
    <row r="23" spans="1:12" ht="14" thickBot="1" x14ac:dyDescent="0.2">
      <c r="A23" s="344" t="str">
        <f t="shared" ref="A23:B25" si="9">A17</f>
        <v>Miscellaneous Fixed Assets</v>
      </c>
      <c r="B23" s="352">
        <f t="shared" si="9"/>
        <v>0.15255681818181815</v>
      </c>
      <c r="C23" s="352">
        <f>B23-C17</f>
        <v>0.13678244318181815</v>
      </c>
      <c r="D23" s="352">
        <f t="shared" ref="D23:L23" si="10">C23-D17</f>
        <v>0.12100806818181815</v>
      </c>
      <c r="E23" s="352">
        <f t="shared" si="10"/>
        <v>0.10523369318181816</v>
      </c>
      <c r="F23" s="352">
        <f t="shared" si="10"/>
        <v>8.9459318181818168E-2</v>
      </c>
      <c r="G23" s="352">
        <f t="shared" si="10"/>
        <v>7.3684943181818174E-2</v>
      </c>
      <c r="H23" s="352">
        <f t="shared" si="10"/>
        <v>5.7910568181818181E-2</v>
      </c>
      <c r="I23" s="352">
        <f t="shared" si="10"/>
        <v>4.2136193181818188E-2</v>
      </c>
      <c r="J23" s="352">
        <f t="shared" si="10"/>
        <v>2.6361818181818191E-2</v>
      </c>
      <c r="K23" s="352">
        <f t="shared" si="10"/>
        <v>1.0587443181818194E-2</v>
      </c>
      <c r="L23" s="352">
        <f t="shared" si="10"/>
        <v>-5.1869318181818024E-3</v>
      </c>
    </row>
    <row r="24" spans="1:12" ht="14" thickBot="1" x14ac:dyDescent="0.2">
      <c r="A24" s="344" t="str">
        <f t="shared" si="9"/>
        <v>Buildings-Plant (technical)</v>
      </c>
      <c r="B24" s="428">
        <f t="shared" si="9"/>
        <v>2001841.3636363633</v>
      </c>
      <c r="C24" s="428">
        <f t="shared" ref="C24:L25" si="11">B24-C18</f>
        <v>1934979.8620909087</v>
      </c>
      <c r="D24" s="428">
        <f t="shared" si="11"/>
        <v>1868118.3605454541</v>
      </c>
      <c r="E24" s="428">
        <f t="shared" si="11"/>
        <v>1801256.8589999995</v>
      </c>
      <c r="F24" s="428">
        <f t="shared" si="11"/>
        <v>1734395.3574545449</v>
      </c>
      <c r="G24" s="428">
        <f t="shared" si="11"/>
        <v>1667533.8559090903</v>
      </c>
      <c r="H24" s="428">
        <f t="shared" si="11"/>
        <v>1600672.3543636356</v>
      </c>
      <c r="I24" s="428">
        <f t="shared" si="11"/>
        <v>1533810.852818181</v>
      </c>
      <c r="J24" s="428">
        <f t="shared" si="11"/>
        <v>1466949.3512727264</v>
      </c>
      <c r="K24" s="428">
        <f t="shared" si="11"/>
        <v>1400087.8497272718</v>
      </c>
      <c r="L24" s="428">
        <f t="shared" si="11"/>
        <v>1333226.3481818172</v>
      </c>
    </row>
    <row r="25" spans="1:12" ht="14" thickBot="1" x14ac:dyDescent="0.2">
      <c r="A25" s="344" t="str">
        <f t="shared" si="9"/>
        <v>Buildings-Non technical</v>
      </c>
      <c r="B25" s="352">
        <f t="shared" si="9"/>
        <v>0</v>
      </c>
      <c r="C25" s="352">
        <f t="shared" si="11"/>
        <v>0</v>
      </c>
      <c r="D25" s="352">
        <f t="shared" si="11"/>
        <v>0</v>
      </c>
      <c r="E25" s="352">
        <f t="shared" si="11"/>
        <v>0</v>
      </c>
      <c r="F25" s="352">
        <f t="shared" si="11"/>
        <v>0</v>
      </c>
      <c r="G25" s="352">
        <f t="shared" si="11"/>
        <v>0</v>
      </c>
      <c r="H25" s="352">
        <f t="shared" si="11"/>
        <v>0</v>
      </c>
      <c r="I25" s="352">
        <f t="shared" si="11"/>
        <v>0</v>
      </c>
      <c r="J25" s="352">
        <f t="shared" si="11"/>
        <v>0</v>
      </c>
      <c r="K25" s="352">
        <f t="shared" si="11"/>
        <v>0</v>
      </c>
      <c r="L25" s="352">
        <f t="shared" si="11"/>
        <v>0</v>
      </c>
    </row>
    <row r="27" spans="1:12" ht="14" thickBot="1" x14ac:dyDescent="0.2"/>
    <row r="28" spans="1:12" ht="14" thickBot="1" x14ac:dyDescent="0.2">
      <c r="A28" s="349" t="s">
        <v>41</v>
      </c>
      <c r="B28" s="350"/>
      <c r="C28" s="432" t="s">
        <v>36</v>
      </c>
      <c r="D28" s="350"/>
      <c r="E28" s="350"/>
      <c r="F28" s="350"/>
      <c r="G28" s="350"/>
      <c r="H28" s="350"/>
      <c r="I28" s="350"/>
      <c r="J28" s="350"/>
      <c r="K28" s="350"/>
      <c r="L28" s="350"/>
    </row>
    <row r="29" spans="1:12" ht="14" thickBot="1" x14ac:dyDescent="0.2">
      <c r="A29" s="344" t="s">
        <v>37</v>
      </c>
      <c r="B29" s="350" t="s">
        <v>38</v>
      </c>
      <c r="C29" s="350">
        <v>1</v>
      </c>
      <c r="D29" s="350">
        <v>2</v>
      </c>
      <c r="E29" s="350">
        <v>3</v>
      </c>
      <c r="F29" s="350">
        <v>4</v>
      </c>
      <c r="G29" s="350">
        <v>5</v>
      </c>
      <c r="H29" s="350">
        <v>6</v>
      </c>
      <c r="I29" s="350">
        <v>7</v>
      </c>
      <c r="J29" s="350">
        <v>8</v>
      </c>
      <c r="K29" s="350">
        <v>9</v>
      </c>
      <c r="L29" s="350">
        <v>10</v>
      </c>
    </row>
    <row r="30" spans="1:12" ht="14" thickBot="1" x14ac:dyDescent="0.2">
      <c r="A30" s="344" t="str">
        <f>A22</f>
        <v>Plant &amp; Machinery</v>
      </c>
      <c r="B30" s="428">
        <f>B15</f>
        <v>3913039.772727272</v>
      </c>
      <c r="C30" s="428">
        <f>$B30*$C3</f>
        <v>586955.96590909082</v>
      </c>
      <c r="D30" s="428">
        <f t="shared" ref="D30:L30" si="12">C37*$C3</f>
        <v>498912.57102272718</v>
      </c>
      <c r="E30" s="428">
        <f t="shared" si="12"/>
        <v>424075.68536931812</v>
      </c>
      <c r="F30" s="428">
        <f t="shared" si="12"/>
        <v>360464.33256392035</v>
      </c>
      <c r="G30" s="428">
        <f t="shared" si="12"/>
        <v>306394.68267933227</v>
      </c>
      <c r="H30" s="428">
        <f t="shared" si="12"/>
        <v>260435.48027743245</v>
      </c>
      <c r="I30" s="428">
        <f t="shared" si="12"/>
        <v>221370.15823581759</v>
      </c>
      <c r="J30" s="428">
        <f t="shared" si="12"/>
        <v>188164.63450044495</v>
      </c>
      <c r="K30" s="428">
        <f t="shared" si="12"/>
        <v>159939.93932537822</v>
      </c>
      <c r="L30" s="428">
        <f t="shared" si="12"/>
        <v>135948.94842657147</v>
      </c>
    </row>
    <row r="31" spans="1:12" ht="14" thickBot="1" x14ac:dyDescent="0.2">
      <c r="A31" s="344" t="str">
        <f>A23</f>
        <v>Miscellaneous Fixed Assets</v>
      </c>
      <c r="B31" s="352">
        <v>0</v>
      </c>
      <c r="C31" s="351">
        <f>$B31*$C4</f>
        <v>0</v>
      </c>
      <c r="D31" s="351">
        <f t="shared" ref="D31:L31" si="13">C38*$C4</f>
        <v>2.2883522727272721E-2</v>
      </c>
      <c r="E31" s="351">
        <f t="shared" si="13"/>
        <v>1.9450994318181813E-2</v>
      </c>
      <c r="F31" s="351">
        <f t="shared" si="13"/>
        <v>1.6533345170454541E-2</v>
      </c>
      <c r="G31" s="351">
        <f t="shared" si="13"/>
        <v>1.4053343394886359E-2</v>
      </c>
      <c r="H31" s="351">
        <f t="shared" si="13"/>
        <v>1.1945341885653406E-2</v>
      </c>
      <c r="I31" s="351">
        <f t="shared" si="13"/>
        <v>1.0153540602805395E-2</v>
      </c>
      <c r="J31" s="351">
        <f t="shared" si="13"/>
        <v>8.6305095123845859E-3</v>
      </c>
      <c r="K31" s="351">
        <f t="shared" si="13"/>
        <v>7.3359330855268974E-3</v>
      </c>
      <c r="L31" s="351">
        <f t="shared" si="13"/>
        <v>6.2355431226978637E-3</v>
      </c>
    </row>
    <row r="32" spans="1:12" ht="14" thickBot="1" x14ac:dyDescent="0.2">
      <c r="A32" s="344" t="str">
        <f>A24</f>
        <v>Buildings-Plant (technical)</v>
      </c>
      <c r="B32" s="428">
        <f>'Project Cost'!D8</f>
        <v>2001841.3636363633</v>
      </c>
      <c r="C32" s="428">
        <f>$B32*$C4</f>
        <v>300276.20454545447</v>
      </c>
      <c r="D32" s="428">
        <f t="shared" ref="D32:L32" si="14">C39*$C4</f>
        <v>255234.77386363631</v>
      </c>
      <c r="E32" s="428">
        <f t="shared" si="14"/>
        <v>216949.55778409084</v>
      </c>
      <c r="F32" s="428">
        <f t="shared" si="14"/>
        <v>184407.12411647724</v>
      </c>
      <c r="G32" s="428">
        <f t="shared" si="14"/>
        <v>156746.05549900566</v>
      </c>
      <c r="H32" s="428">
        <f t="shared" si="14"/>
        <v>133234.14717415479</v>
      </c>
      <c r="I32" s="428">
        <f t="shared" si="14"/>
        <v>113249.02509803158</v>
      </c>
      <c r="J32" s="428">
        <f t="shared" si="14"/>
        <v>96261.671333326827</v>
      </c>
      <c r="K32" s="428">
        <f t="shared" si="14"/>
        <v>81822.420633327813</v>
      </c>
      <c r="L32" s="428">
        <f t="shared" si="14"/>
        <v>69549.057538328634</v>
      </c>
    </row>
    <row r="33" spans="1:12" ht="14" thickBot="1" x14ac:dyDescent="0.2">
      <c r="A33" s="344" t="str">
        <f>A25</f>
        <v>Buildings-Non technical</v>
      </c>
      <c r="B33" s="428">
        <f>'Project Cost'!D9</f>
        <v>200000</v>
      </c>
      <c r="C33" s="428">
        <f>$B33*$C6</f>
        <v>10000</v>
      </c>
      <c r="D33" s="428">
        <f t="shared" ref="D33:L33" si="15">C40*$C6</f>
        <v>9500</v>
      </c>
      <c r="E33" s="428">
        <f t="shared" si="15"/>
        <v>9025</v>
      </c>
      <c r="F33" s="428">
        <f t="shared" si="15"/>
        <v>8573.75</v>
      </c>
      <c r="G33" s="428">
        <f t="shared" si="15"/>
        <v>8145.0625</v>
      </c>
      <c r="H33" s="428">
        <f t="shared" si="15"/>
        <v>7737.8093750000007</v>
      </c>
      <c r="I33" s="428">
        <f t="shared" si="15"/>
        <v>7350.91890625</v>
      </c>
      <c r="J33" s="428">
        <f t="shared" si="15"/>
        <v>6983.3729609374996</v>
      </c>
      <c r="K33" s="428">
        <f t="shared" si="15"/>
        <v>6634.2043128906244</v>
      </c>
      <c r="L33" s="428">
        <f t="shared" si="15"/>
        <v>6302.4940972460936</v>
      </c>
    </row>
    <row r="34" spans="1:12" ht="14" thickBot="1" x14ac:dyDescent="0.2">
      <c r="A34" s="355" t="s">
        <v>39</v>
      </c>
      <c r="B34" s="428"/>
      <c r="C34" s="427">
        <f t="shared" ref="C34:L34" si="16">SUM(C30:C33)</f>
        <v>897232.1704545453</v>
      </c>
      <c r="D34" s="427">
        <f t="shared" si="16"/>
        <v>763647.36776988627</v>
      </c>
      <c r="E34" s="427">
        <f t="shared" si="16"/>
        <v>650050.26260440331</v>
      </c>
      <c r="F34" s="427">
        <f t="shared" si="16"/>
        <v>553445.22321374272</v>
      </c>
      <c r="G34" s="427">
        <f t="shared" si="16"/>
        <v>471285.81473168131</v>
      </c>
      <c r="H34" s="427">
        <f t="shared" si="16"/>
        <v>401407.44877192914</v>
      </c>
      <c r="I34" s="427">
        <f t="shared" si="16"/>
        <v>341970.11239363975</v>
      </c>
      <c r="J34" s="427">
        <f t="shared" si="16"/>
        <v>291409.68742521881</v>
      </c>
      <c r="K34" s="427">
        <f t="shared" si="16"/>
        <v>248396.57160752974</v>
      </c>
      <c r="L34" s="427">
        <f t="shared" si="16"/>
        <v>211800.50629768931</v>
      </c>
    </row>
    <row r="35" spans="1:12" ht="14" thickBot="1" x14ac:dyDescent="0.2">
      <c r="A35" s="355"/>
      <c r="B35" s="352"/>
      <c r="C35" s="348"/>
      <c r="D35" s="348"/>
      <c r="E35" s="348"/>
      <c r="F35" s="348"/>
      <c r="G35" s="348"/>
      <c r="H35" s="348"/>
      <c r="I35" s="348"/>
      <c r="J35" s="348"/>
      <c r="K35" s="348"/>
      <c r="L35" s="348"/>
    </row>
    <row r="36" spans="1:12" ht="14" thickBot="1" x14ac:dyDescent="0.2">
      <c r="A36" s="355" t="s">
        <v>40</v>
      </c>
      <c r="B36" s="350"/>
      <c r="C36" s="350"/>
      <c r="D36" s="350"/>
      <c r="E36" s="350"/>
      <c r="F36" s="350"/>
      <c r="G36" s="350"/>
      <c r="H36" s="350"/>
      <c r="I36" s="350"/>
      <c r="J36" s="350"/>
      <c r="K36" s="350"/>
      <c r="L36" s="350"/>
    </row>
    <row r="37" spans="1:12" ht="14" thickBot="1" x14ac:dyDescent="0.2">
      <c r="A37" s="344" t="str">
        <f>A30</f>
        <v>Plant &amp; Machinery</v>
      </c>
      <c r="B37" s="428">
        <f>B30</f>
        <v>3913039.772727272</v>
      </c>
      <c r="C37" s="428">
        <f t="shared" ref="C37:L37" si="17">B37-C30</f>
        <v>3326083.8068181812</v>
      </c>
      <c r="D37" s="428">
        <f t="shared" si="17"/>
        <v>2827171.2357954541</v>
      </c>
      <c r="E37" s="428">
        <f t="shared" si="17"/>
        <v>2403095.5504261358</v>
      </c>
      <c r="F37" s="428">
        <f t="shared" si="17"/>
        <v>2042631.2178622154</v>
      </c>
      <c r="G37" s="428">
        <f t="shared" si="17"/>
        <v>1736236.535182883</v>
      </c>
      <c r="H37" s="428">
        <f t="shared" si="17"/>
        <v>1475801.0549054507</v>
      </c>
      <c r="I37" s="428">
        <f t="shared" si="17"/>
        <v>1254430.896669633</v>
      </c>
      <c r="J37" s="428">
        <f t="shared" si="17"/>
        <v>1066266.2621691881</v>
      </c>
      <c r="K37" s="428">
        <f t="shared" si="17"/>
        <v>906326.32284380984</v>
      </c>
      <c r="L37" s="428">
        <f t="shared" si="17"/>
        <v>770377.3744172384</v>
      </c>
    </row>
    <row r="38" spans="1:12" ht="14" thickBot="1" x14ac:dyDescent="0.2">
      <c r="A38" s="344" t="str">
        <f t="shared" ref="A38:B40" si="18">A31</f>
        <v>Miscellaneous Fixed Assets</v>
      </c>
      <c r="B38" s="352">
        <f>'Other Equipment'!I10/100000</f>
        <v>0.15255681818181815</v>
      </c>
      <c r="C38" s="352">
        <f t="shared" ref="C38:D40" si="19">B38-C31</f>
        <v>0.15255681818181815</v>
      </c>
      <c r="D38" s="352">
        <f t="shared" si="19"/>
        <v>0.12967329545454542</v>
      </c>
      <c r="E38" s="352">
        <f t="shared" ref="E38:L38" si="20">D38-E31</f>
        <v>0.11022230113636361</v>
      </c>
      <c r="F38" s="352">
        <f t="shared" si="20"/>
        <v>9.3688955965909065E-2</v>
      </c>
      <c r="G38" s="352">
        <f t="shared" si="20"/>
        <v>7.963561257102271E-2</v>
      </c>
      <c r="H38" s="352">
        <f t="shared" si="20"/>
        <v>6.76902706853693E-2</v>
      </c>
      <c r="I38" s="352">
        <f t="shared" si="20"/>
        <v>5.7536730082563908E-2</v>
      </c>
      <c r="J38" s="352">
        <f t="shared" si="20"/>
        <v>4.8906220570179321E-2</v>
      </c>
      <c r="K38" s="352">
        <f t="shared" si="20"/>
        <v>4.1570287484652427E-2</v>
      </c>
      <c r="L38" s="352">
        <f t="shared" si="20"/>
        <v>3.5334744361954565E-2</v>
      </c>
    </row>
    <row r="39" spans="1:12" ht="14" thickBot="1" x14ac:dyDescent="0.2">
      <c r="A39" s="344" t="str">
        <f t="shared" si="18"/>
        <v>Buildings-Plant (technical)</v>
      </c>
      <c r="B39" s="428">
        <f t="shared" si="18"/>
        <v>2001841.3636363633</v>
      </c>
      <c r="C39" s="428">
        <f t="shared" si="19"/>
        <v>1701565.1590909087</v>
      </c>
      <c r="D39" s="428">
        <f t="shared" si="19"/>
        <v>1446330.3852272723</v>
      </c>
      <c r="E39" s="428">
        <f t="shared" ref="E39:L40" si="21">D39-E32</f>
        <v>1229380.8274431815</v>
      </c>
      <c r="F39" s="428">
        <f t="shared" si="21"/>
        <v>1044973.7033267043</v>
      </c>
      <c r="G39" s="428">
        <f t="shared" si="21"/>
        <v>888227.64782769862</v>
      </c>
      <c r="H39" s="428">
        <f t="shared" si="21"/>
        <v>754993.50065354386</v>
      </c>
      <c r="I39" s="428">
        <f t="shared" si="21"/>
        <v>641744.47555551224</v>
      </c>
      <c r="J39" s="428">
        <f t="shared" si="21"/>
        <v>545482.8042221854</v>
      </c>
      <c r="K39" s="428">
        <f t="shared" si="21"/>
        <v>463660.3835888576</v>
      </c>
      <c r="L39" s="428">
        <f t="shared" si="21"/>
        <v>394111.32605052897</v>
      </c>
    </row>
    <row r="40" spans="1:12" ht="14" thickBot="1" x14ac:dyDescent="0.2">
      <c r="A40" s="344" t="str">
        <f t="shared" si="18"/>
        <v>Buildings-Non technical</v>
      </c>
      <c r="B40" s="428">
        <f t="shared" si="18"/>
        <v>200000</v>
      </c>
      <c r="C40" s="428">
        <f t="shared" si="19"/>
        <v>190000</v>
      </c>
      <c r="D40" s="428">
        <f t="shared" si="19"/>
        <v>180500</v>
      </c>
      <c r="E40" s="428">
        <f t="shared" si="21"/>
        <v>171475</v>
      </c>
      <c r="F40" s="428">
        <f t="shared" si="21"/>
        <v>162901.25</v>
      </c>
      <c r="G40" s="428">
        <f t="shared" si="21"/>
        <v>154756.1875</v>
      </c>
      <c r="H40" s="428">
        <f t="shared" si="21"/>
        <v>147018.37812499999</v>
      </c>
      <c r="I40" s="428">
        <f t="shared" si="21"/>
        <v>139667.45921874998</v>
      </c>
      <c r="J40" s="428">
        <f t="shared" si="21"/>
        <v>132684.08625781248</v>
      </c>
      <c r="K40" s="428">
        <f t="shared" si="21"/>
        <v>126049.88194492186</v>
      </c>
      <c r="L40" s="428">
        <f t="shared" si="21"/>
        <v>119747.38784767577</v>
      </c>
    </row>
    <row r="41" spans="1:12" ht="14" thickBot="1" x14ac:dyDescent="0.2">
      <c r="A41" s="353"/>
      <c r="B41" s="353"/>
      <c r="C41" s="353"/>
      <c r="D41" s="353"/>
      <c r="E41" s="353"/>
      <c r="F41" s="353"/>
      <c r="G41" s="353"/>
      <c r="H41" s="353"/>
      <c r="I41" s="353"/>
      <c r="J41" s="353"/>
      <c r="K41" s="353"/>
      <c r="L41" s="353"/>
    </row>
    <row r="42" spans="1:12" ht="14" thickBot="1" x14ac:dyDescent="0.2">
      <c r="A42" s="354" t="s">
        <v>193</v>
      </c>
      <c r="B42" s="354"/>
      <c r="C42" s="429">
        <f>SUM(C37:C40)</f>
        <v>5217649.1184659079</v>
      </c>
      <c r="D42" s="429">
        <f t="shared" ref="D42:L42" si="22">SUM(D37:D40)</f>
        <v>4454001.7506960221</v>
      </c>
      <c r="E42" s="429">
        <f t="shared" si="22"/>
        <v>3803951.4880916183</v>
      </c>
      <c r="F42" s="429">
        <f t="shared" si="22"/>
        <v>3250506.2648778758</v>
      </c>
      <c r="G42" s="429">
        <f t="shared" si="22"/>
        <v>2779220.4501461945</v>
      </c>
      <c r="H42" s="429">
        <f t="shared" si="22"/>
        <v>2377813.0013742652</v>
      </c>
      <c r="I42" s="429">
        <f t="shared" si="22"/>
        <v>2035842.8889806254</v>
      </c>
      <c r="J42" s="429">
        <f t="shared" si="22"/>
        <v>1744433.2015554067</v>
      </c>
      <c r="K42" s="429">
        <f t="shared" si="22"/>
        <v>1496036.6299478766</v>
      </c>
      <c r="L42" s="429">
        <f t="shared" si="22"/>
        <v>1284236.1236501874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4:G65"/>
  <sheetViews>
    <sheetView workbookViewId="0">
      <selection activeCell="K70" sqref="K70"/>
    </sheetView>
  </sheetViews>
  <sheetFormatPr baseColWidth="10" defaultColWidth="8.83203125" defaultRowHeight="13" x14ac:dyDescent="0.15"/>
  <cols>
    <col min="1" max="1" width="7.1640625" customWidth="1"/>
    <col min="2" max="2" width="16.6640625" customWidth="1"/>
    <col min="3" max="3" width="36.5" customWidth="1"/>
    <col min="4" max="4" width="10.33203125" customWidth="1"/>
    <col min="6" max="6" width="12.83203125" customWidth="1"/>
    <col min="7" max="7" width="18.5" customWidth="1"/>
  </cols>
  <sheetData>
    <row r="4" spans="1:7" ht="14" x14ac:dyDescent="0.15">
      <c r="A4" s="468" t="s">
        <v>249</v>
      </c>
      <c r="B4" s="469"/>
      <c r="C4" s="469"/>
      <c r="D4" s="469"/>
      <c r="E4" s="469"/>
      <c r="F4" s="469"/>
      <c r="G4" s="470"/>
    </row>
    <row r="5" spans="1:7" x14ac:dyDescent="0.15">
      <c r="A5" s="5" t="s">
        <v>216</v>
      </c>
      <c r="B5" s="5" t="s">
        <v>372</v>
      </c>
      <c r="C5" s="5" t="s">
        <v>68</v>
      </c>
      <c r="D5" s="10" t="s">
        <v>202</v>
      </c>
      <c r="E5" s="10" t="s">
        <v>20</v>
      </c>
      <c r="F5" s="7" t="s">
        <v>225</v>
      </c>
      <c r="G5" s="8" t="s">
        <v>340</v>
      </c>
    </row>
    <row r="6" spans="1:7" x14ac:dyDescent="0.15">
      <c r="A6" s="474">
        <v>1</v>
      </c>
      <c r="B6" s="471" t="s">
        <v>385</v>
      </c>
      <c r="C6" s="6"/>
      <c r="D6" s="10"/>
      <c r="E6" s="10"/>
      <c r="F6" s="7"/>
      <c r="G6" s="8"/>
    </row>
    <row r="7" spans="1:7" ht="26" x14ac:dyDescent="0.15">
      <c r="A7" s="475"/>
      <c r="B7" s="471"/>
      <c r="C7" s="6" t="s">
        <v>296</v>
      </c>
      <c r="D7" s="7">
        <v>1</v>
      </c>
      <c r="E7" s="7" t="s">
        <v>247</v>
      </c>
      <c r="F7" s="7">
        <f>815000+15000</f>
        <v>830000</v>
      </c>
      <c r="G7" s="8">
        <v>830000</v>
      </c>
    </row>
    <row r="8" spans="1:7" ht="26" x14ac:dyDescent="0.15">
      <c r="A8" s="475"/>
      <c r="B8" s="471"/>
      <c r="C8" s="6" t="s">
        <v>250</v>
      </c>
      <c r="D8" s="7">
        <v>1</v>
      </c>
      <c r="E8" s="7" t="s">
        <v>297</v>
      </c>
      <c r="F8" s="7">
        <f>275000+18000</f>
        <v>293000</v>
      </c>
      <c r="G8" s="8">
        <v>293000</v>
      </c>
    </row>
    <row r="9" spans="1:7" ht="26" x14ac:dyDescent="0.15">
      <c r="A9" s="475"/>
      <c r="B9" s="471"/>
      <c r="C9" s="6" t="s">
        <v>386</v>
      </c>
      <c r="D9" s="7">
        <v>1</v>
      </c>
      <c r="E9" s="7" t="s">
        <v>297</v>
      </c>
      <c r="F9" s="7">
        <f>75000+6000</f>
        <v>81000</v>
      </c>
      <c r="G9" s="8">
        <v>81000</v>
      </c>
    </row>
    <row r="10" spans="1:7" ht="26" x14ac:dyDescent="0.15">
      <c r="A10" s="475"/>
      <c r="B10" s="471"/>
      <c r="C10" s="6" t="s">
        <v>251</v>
      </c>
      <c r="D10" s="7">
        <v>1</v>
      </c>
      <c r="E10" s="7" t="s">
        <v>247</v>
      </c>
      <c r="F10" s="7">
        <f>3000+500</f>
        <v>3500</v>
      </c>
      <c r="G10" s="8">
        <v>3500</v>
      </c>
    </row>
    <row r="11" spans="1:7" x14ac:dyDescent="0.15">
      <c r="A11" s="475"/>
      <c r="B11" s="471"/>
      <c r="C11" s="6" t="s">
        <v>252</v>
      </c>
      <c r="D11" s="7">
        <v>1</v>
      </c>
      <c r="E11" s="7" t="s">
        <v>247</v>
      </c>
      <c r="F11" s="7">
        <v>2000</v>
      </c>
      <c r="G11" s="8">
        <v>2000</v>
      </c>
    </row>
    <row r="12" spans="1:7" x14ac:dyDescent="0.15">
      <c r="A12" s="475"/>
      <c r="B12" s="471"/>
      <c r="C12" s="6" t="s">
        <v>253</v>
      </c>
      <c r="D12" s="7">
        <v>1</v>
      </c>
      <c r="E12" s="7" t="s">
        <v>247</v>
      </c>
      <c r="F12" s="7">
        <f>14000+1250</f>
        <v>15250</v>
      </c>
      <c r="G12" s="8">
        <v>15250</v>
      </c>
    </row>
    <row r="13" spans="1:7" x14ac:dyDescent="0.15">
      <c r="A13" s="476"/>
      <c r="B13" s="471"/>
      <c r="C13" s="6" t="s">
        <v>254</v>
      </c>
      <c r="D13" s="7">
        <v>1</v>
      </c>
      <c r="E13" s="7" t="s">
        <v>247</v>
      </c>
      <c r="F13" s="7">
        <f>215000+4000</f>
        <v>219000</v>
      </c>
      <c r="G13" s="8">
        <v>219000</v>
      </c>
    </row>
    <row r="14" spans="1:7" x14ac:dyDescent="0.15">
      <c r="A14" s="474">
        <v>2</v>
      </c>
      <c r="B14" s="471" t="s">
        <v>255</v>
      </c>
      <c r="C14" s="6"/>
      <c r="D14" s="7"/>
      <c r="E14" s="7"/>
      <c r="F14" s="7"/>
      <c r="G14" s="8"/>
    </row>
    <row r="15" spans="1:7" x14ac:dyDescent="0.15">
      <c r="A15" s="476"/>
      <c r="B15" s="471"/>
      <c r="C15" s="6" t="s">
        <v>256</v>
      </c>
      <c r="D15" s="7">
        <v>1</v>
      </c>
      <c r="E15" s="7" t="s">
        <v>247</v>
      </c>
      <c r="F15" s="7">
        <f>595000+12500</f>
        <v>607500</v>
      </c>
      <c r="G15" s="8">
        <v>607500</v>
      </c>
    </row>
    <row r="16" spans="1:7" x14ac:dyDescent="0.15">
      <c r="A16" s="474">
        <v>3</v>
      </c>
      <c r="B16" s="471" t="s">
        <v>257</v>
      </c>
      <c r="C16" s="6"/>
      <c r="D16" s="7"/>
      <c r="E16" s="7"/>
      <c r="F16" s="7"/>
      <c r="G16" s="8"/>
    </row>
    <row r="17" spans="1:7" ht="39" x14ac:dyDescent="0.15">
      <c r="A17" s="475"/>
      <c r="B17" s="471"/>
      <c r="C17" s="6" t="s">
        <v>387</v>
      </c>
      <c r="D17" s="7">
        <v>2</v>
      </c>
      <c r="E17" s="7" t="s">
        <v>247</v>
      </c>
      <c r="F17" s="7">
        <f>20500+1200</f>
        <v>21700</v>
      </c>
      <c r="G17" s="8">
        <v>43400</v>
      </c>
    </row>
    <row r="18" spans="1:7" ht="39" x14ac:dyDescent="0.15">
      <c r="A18" s="475"/>
      <c r="B18" s="471"/>
      <c r="C18" s="6" t="s">
        <v>388</v>
      </c>
      <c r="D18" s="7">
        <v>6</v>
      </c>
      <c r="E18" s="7" t="s">
        <v>247</v>
      </c>
      <c r="F18" s="7">
        <f>2750+450</f>
        <v>3200</v>
      </c>
      <c r="G18" s="8">
        <v>19200</v>
      </c>
    </row>
    <row r="19" spans="1:7" ht="26" x14ac:dyDescent="0.15">
      <c r="A19" s="475"/>
      <c r="B19" s="471"/>
      <c r="C19" s="6" t="s">
        <v>258</v>
      </c>
      <c r="D19" s="7">
        <v>3</v>
      </c>
      <c r="E19" s="7" t="s">
        <v>247</v>
      </c>
      <c r="F19" s="7">
        <f>9750+600</f>
        <v>10350</v>
      </c>
      <c r="G19" s="8">
        <v>31050</v>
      </c>
    </row>
    <row r="20" spans="1:7" ht="26" x14ac:dyDescent="0.15">
      <c r="A20" s="475"/>
      <c r="B20" s="471"/>
      <c r="C20" s="6" t="s">
        <v>259</v>
      </c>
      <c r="D20" s="7">
        <v>1</v>
      </c>
      <c r="E20" s="7" t="s">
        <v>247</v>
      </c>
      <c r="F20" s="7">
        <f>250000+1000</f>
        <v>251000</v>
      </c>
      <c r="G20" s="8">
        <v>251000</v>
      </c>
    </row>
    <row r="21" spans="1:7" x14ac:dyDescent="0.15">
      <c r="A21" s="476"/>
      <c r="B21" s="471"/>
      <c r="C21" s="6" t="s">
        <v>260</v>
      </c>
      <c r="D21" s="7">
        <v>1</v>
      </c>
      <c r="E21" s="7" t="s">
        <v>247</v>
      </c>
      <c r="F21" s="7">
        <v>2500</v>
      </c>
      <c r="G21" s="8">
        <v>2500</v>
      </c>
    </row>
    <row r="22" spans="1:7" x14ac:dyDescent="0.15">
      <c r="A22" s="472">
        <v>4</v>
      </c>
      <c r="B22" s="471" t="s">
        <v>261</v>
      </c>
      <c r="C22" s="6"/>
      <c r="D22" s="7"/>
      <c r="E22" s="7"/>
      <c r="F22" s="7"/>
      <c r="G22" s="8">
        <v>0</v>
      </c>
    </row>
    <row r="23" spans="1:7" x14ac:dyDescent="0.15">
      <c r="A23" s="472"/>
      <c r="B23" s="471"/>
      <c r="C23" s="6" t="s">
        <v>262</v>
      </c>
      <c r="D23" s="7">
        <v>160</v>
      </c>
      <c r="E23" s="7" t="s">
        <v>389</v>
      </c>
      <c r="F23" s="7">
        <v>1260</v>
      </c>
      <c r="G23" s="8">
        <v>201600</v>
      </c>
    </row>
    <row r="24" spans="1:7" ht="26" x14ac:dyDescent="0.15">
      <c r="A24" s="472"/>
      <c r="B24" s="471"/>
      <c r="C24" s="6" t="s">
        <v>263</v>
      </c>
      <c r="D24" s="7">
        <v>250</v>
      </c>
      <c r="E24" s="7" t="s">
        <v>389</v>
      </c>
      <c r="F24" s="7">
        <f>1120+48</f>
        <v>1168</v>
      </c>
      <c r="G24" s="8">
        <v>292000</v>
      </c>
    </row>
    <row r="25" spans="1:7" ht="26" x14ac:dyDescent="0.15">
      <c r="A25" s="472"/>
      <c r="B25" s="471"/>
      <c r="C25" s="6" t="s">
        <v>264</v>
      </c>
      <c r="D25" s="7">
        <v>180</v>
      </c>
      <c r="E25" s="7" t="s">
        <v>389</v>
      </c>
      <c r="F25" s="7">
        <f>648+46</f>
        <v>694</v>
      </c>
      <c r="G25" s="8">
        <v>124920</v>
      </c>
    </row>
    <row r="26" spans="1:7" ht="26" x14ac:dyDescent="0.15">
      <c r="A26" s="472"/>
      <c r="B26" s="471"/>
      <c r="C26" s="6" t="s">
        <v>265</v>
      </c>
      <c r="D26" s="7">
        <v>380</v>
      </c>
      <c r="E26" s="7" t="s">
        <v>389</v>
      </c>
      <c r="F26" s="7">
        <f>585+42</f>
        <v>627</v>
      </c>
      <c r="G26" s="8">
        <v>238260</v>
      </c>
    </row>
    <row r="27" spans="1:7" ht="26" x14ac:dyDescent="0.15">
      <c r="A27" s="472"/>
      <c r="B27" s="471"/>
      <c r="C27" s="6" t="s">
        <v>266</v>
      </c>
      <c r="D27" s="7">
        <v>225</v>
      </c>
      <c r="E27" s="7" t="s">
        <v>389</v>
      </c>
      <c r="F27" s="7">
        <f>175+28</f>
        <v>203</v>
      </c>
      <c r="G27" s="8">
        <v>45675</v>
      </c>
    </row>
    <row r="28" spans="1:7" ht="39" x14ac:dyDescent="0.15">
      <c r="A28" s="472"/>
      <c r="B28" s="471"/>
      <c r="C28" s="6" t="s">
        <v>390</v>
      </c>
      <c r="D28" s="7">
        <v>1200</v>
      </c>
      <c r="E28" s="7" t="s">
        <v>389</v>
      </c>
      <c r="F28" s="7">
        <f>352+18</f>
        <v>370</v>
      </c>
      <c r="G28" s="8">
        <v>444000</v>
      </c>
    </row>
    <row r="29" spans="1:7" ht="26" x14ac:dyDescent="0.15">
      <c r="A29" s="472"/>
      <c r="B29" s="471"/>
      <c r="C29" s="6" t="s">
        <v>267</v>
      </c>
      <c r="D29" s="7">
        <v>350</v>
      </c>
      <c r="E29" s="7" t="s">
        <v>389</v>
      </c>
      <c r="F29" s="7">
        <f>140+11</f>
        <v>151</v>
      </c>
      <c r="G29" s="8">
        <v>52850</v>
      </c>
    </row>
    <row r="30" spans="1:7" ht="26" x14ac:dyDescent="0.15">
      <c r="A30" s="472"/>
      <c r="B30" s="471"/>
      <c r="C30" s="6" t="s">
        <v>268</v>
      </c>
      <c r="D30" s="7">
        <v>25</v>
      </c>
      <c r="E30" s="7" t="s">
        <v>389</v>
      </c>
      <c r="F30" s="7">
        <f>230+21</f>
        <v>251</v>
      </c>
      <c r="G30" s="8">
        <v>6275</v>
      </c>
    </row>
    <row r="31" spans="1:7" x14ac:dyDescent="0.15">
      <c r="A31" s="472"/>
      <c r="B31" s="471"/>
      <c r="C31" s="6" t="s">
        <v>269</v>
      </c>
      <c r="D31" s="7">
        <v>850</v>
      </c>
      <c r="E31" s="7" t="s">
        <v>389</v>
      </c>
      <c r="F31" s="7">
        <f>92+9</f>
        <v>101</v>
      </c>
      <c r="G31" s="8">
        <v>85850</v>
      </c>
    </row>
    <row r="32" spans="1:7" ht="26" x14ac:dyDescent="0.15">
      <c r="A32" s="472"/>
      <c r="B32" s="471"/>
      <c r="C32" s="6" t="s">
        <v>270</v>
      </c>
      <c r="D32" s="7">
        <v>750</v>
      </c>
      <c r="E32" s="7" t="s">
        <v>389</v>
      </c>
      <c r="F32" s="7">
        <f>66+9</f>
        <v>75</v>
      </c>
      <c r="G32" s="8">
        <v>56250</v>
      </c>
    </row>
    <row r="33" spans="1:7" x14ac:dyDescent="0.15">
      <c r="A33" s="472">
        <v>5</v>
      </c>
      <c r="B33" s="477" t="s">
        <v>271</v>
      </c>
      <c r="C33" s="6"/>
      <c r="D33" s="7"/>
      <c r="E33" s="7"/>
      <c r="F33" s="7"/>
      <c r="G33" s="8">
        <v>0</v>
      </c>
    </row>
    <row r="34" spans="1:7" x14ac:dyDescent="0.15">
      <c r="A34" s="472"/>
      <c r="B34" s="478"/>
      <c r="C34" s="6" t="s">
        <v>272</v>
      </c>
      <c r="D34" s="7">
        <v>3</v>
      </c>
      <c r="E34" s="7" t="s">
        <v>247</v>
      </c>
      <c r="F34" s="7">
        <f>16900+3000</f>
        <v>19900</v>
      </c>
      <c r="G34" s="8">
        <v>59700</v>
      </c>
    </row>
    <row r="35" spans="1:7" x14ac:dyDescent="0.15">
      <c r="A35" s="472"/>
      <c r="B35" s="478"/>
      <c r="C35" s="6" t="s">
        <v>273</v>
      </c>
      <c r="D35" s="7">
        <v>3</v>
      </c>
      <c r="E35" s="7" t="s">
        <v>247</v>
      </c>
      <c r="F35" s="7">
        <f>11500+2500</f>
        <v>14000</v>
      </c>
      <c r="G35" s="8">
        <v>42000</v>
      </c>
    </row>
    <row r="36" spans="1:7" x14ac:dyDescent="0.15">
      <c r="A36" s="472"/>
      <c r="B36" s="478"/>
      <c r="C36" s="6" t="s">
        <v>274</v>
      </c>
      <c r="D36" s="7">
        <v>6</v>
      </c>
      <c r="E36" s="7" t="s">
        <v>247</v>
      </c>
      <c r="F36" s="7">
        <f>1015+550</f>
        <v>1565</v>
      </c>
      <c r="G36" s="8">
        <v>9390</v>
      </c>
    </row>
    <row r="37" spans="1:7" x14ac:dyDescent="0.15">
      <c r="A37" s="472"/>
      <c r="B37" s="478"/>
      <c r="C37" s="6" t="s">
        <v>275</v>
      </c>
      <c r="D37" s="7">
        <v>8</v>
      </c>
      <c r="E37" s="7" t="s">
        <v>247</v>
      </c>
      <c r="F37" s="7">
        <f>690+450</f>
        <v>1140</v>
      </c>
      <c r="G37" s="8">
        <v>9120</v>
      </c>
    </row>
    <row r="38" spans="1:7" x14ac:dyDescent="0.15">
      <c r="A38" s="472"/>
      <c r="B38" s="478"/>
      <c r="C38" s="6" t="s">
        <v>276</v>
      </c>
      <c r="D38" s="7">
        <v>10</v>
      </c>
      <c r="E38" s="7" t="s">
        <v>247</v>
      </c>
      <c r="F38" s="7">
        <f>450+375</f>
        <v>825</v>
      </c>
      <c r="G38" s="8">
        <v>8250</v>
      </c>
    </row>
    <row r="39" spans="1:7" x14ac:dyDescent="0.15">
      <c r="A39" s="472"/>
      <c r="B39" s="478"/>
      <c r="C39" s="6" t="s">
        <v>277</v>
      </c>
      <c r="D39" s="7">
        <v>8</v>
      </c>
      <c r="E39" s="7" t="s">
        <v>247</v>
      </c>
      <c r="F39" s="7">
        <f>150+150</f>
        <v>300</v>
      </c>
      <c r="G39" s="8">
        <v>2400</v>
      </c>
    </row>
    <row r="40" spans="1:7" x14ac:dyDescent="0.15">
      <c r="A40" s="472"/>
      <c r="B40" s="478"/>
      <c r="C40" s="6" t="s">
        <v>278</v>
      </c>
      <c r="D40" s="7">
        <v>60</v>
      </c>
      <c r="E40" s="7" t="s">
        <v>247</v>
      </c>
      <c r="F40" s="7">
        <f>145+125</f>
        <v>270</v>
      </c>
      <c r="G40" s="8">
        <v>16200</v>
      </c>
    </row>
    <row r="41" spans="1:7" x14ac:dyDescent="0.15">
      <c r="A41" s="472"/>
      <c r="B41" s="478"/>
      <c r="C41" s="6" t="s">
        <v>279</v>
      </c>
      <c r="D41" s="7">
        <v>16</v>
      </c>
      <c r="E41" s="7" t="s">
        <v>247</v>
      </c>
      <c r="F41" s="7">
        <f>65+55</f>
        <v>120</v>
      </c>
      <c r="G41" s="8">
        <v>1920</v>
      </c>
    </row>
    <row r="42" spans="1:7" x14ac:dyDescent="0.15">
      <c r="A42" s="472"/>
      <c r="B42" s="478"/>
      <c r="C42" s="6" t="s">
        <v>280</v>
      </c>
      <c r="D42" s="7">
        <v>2</v>
      </c>
      <c r="E42" s="7" t="s">
        <v>247</v>
      </c>
      <c r="F42" s="7">
        <f>90+100</f>
        <v>190</v>
      </c>
      <c r="G42" s="8">
        <v>380</v>
      </c>
    </row>
    <row r="43" spans="1:7" x14ac:dyDescent="0.15">
      <c r="A43" s="472"/>
      <c r="B43" s="479"/>
      <c r="C43" s="6" t="s">
        <v>281</v>
      </c>
      <c r="D43" s="7">
        <v>60</v>
      </c>
      <c r="E43" s="7" t="s">
        <v>247</v>
      </c>
      <c r="F43" s="7">
        <f>55+50</f>
        <v>105</v>
      </c>
      <c r="G43" s="8">
        <v>6300</v>
      </c>
    </row>
    <row r="44" spans="1:7" x14ac:dyDescent="0.15">
      <c r="A44" s="472">
        <v>6</v>
      </c>
      <c r="B44" s="473" t="s">
        <v>282</v>
      </c>
      <c r="C44" s="6"/>
      <c r="D44" s="7"/>
      <c r="E44" s="7"/>
      <c r="F44" s="7"/>
      <c r="G44" s="8"/>
    </row>
    <row r="45" spans="1:7" ht="26" x14ac:dyDescent="0.15">
      <c r="A45" s="472"/>
      <c r="B45" s="473"/>
      <c r="C45" s="6" t="s">
        <v>283</v>
      </c>
      <c r="D45" s="7">
        <v>18</v>
      </c>
      <c r="E45" s="7" t="s">
        <v>247</v>
      </c>
      <c r="F45" s="7">
        <f>3850+500</f>
        <v>4350</v>
      </c>
      <c r="G45" s="8">
        <v>78300</v>
      </c>
    </row>
    <row r="46" spans="1:7" ht="26" x14ac:dyDescent="0.15">
      <c r="A46" s="472"/>
      <c r="B46" s="473"/>
      <c r="C46" s="6" t="s">
        <v>284</v>
      </c>
      <c r="D46" s="7">
        <v>75</v>
      </c>
      <c r="E46" s="7" t="s">
        <v>247</v>
      </c>
      <c r="F46" s="7">
        <f>650+40</f>
        <v>690</v>
      </c>
      <c r="G46" s="8">
        <v>51750</v>
      </c>
    </row>
    <row r="47" spans="1:7" ht="26" x14ac:dyDescent="0.15">
      <c r="A47" s="472"/>
      <c r="B47" s="473"/>
      <c r="C47" s="6" t="s">
        <v>285</v>
      </c>
      <c r="D47" s="7">
        <v>650</v>
      </c>
      <c r="E47" s="7" t="s">
        <v>247</v>
      </c>
      <c r="F47" s="7">
        <f>360+32</f>
        <v>392</v>
      </c>
      <c r="G47" s="8">
        <v>254800</v>
      </c>
    </row>
    <row r="48" spans="1:7" x14ac:dyDescent="0.15">
      <c r="A48" s="472"/>
      <c r="B48" s="473"/>
      <c r="C48" s="6" t="s">
        <v>286</v>
      </c>
      <c r="D48" s="7">
        <v>300</v>
      </c>
      <c r="E48" s="7" t="s">
        <v>247</v>
      </c>
      <c r="F48" s="7">
        <f>55+9</f>
        <v>64</v>
      </c>
      <c r="G48" s="8">
        <v>19200</v>
      </c>
    </row>
    <row r="49" spans="1:7" x14ac:dyDescent="0.15">
      <c r="A49" s="472"/>
      <c r="B49" s="473"/>
      <c r="C49" s="6" t="s">
        <v>287</v>
      </c>
      <c r="D49" s="7">
        <v>200</v>
      </c>
      <c r="E49" s="7" t="s">
        <v>247</v>
      </c>
      <c r="F49" s="7">
        <f>45+7</f>
        <v>52</v>
      </c>
      <c r="G49" s="8">
        <v>10400</v>
      </c>
    </row>
    <row r="50" spans="1:7" x14ac:dyDescent="0.15">
      <c r="A50" s="472"/>
      <c r="B50" s="473"/>
      <c r="C50" s="6" t="s">
        <v>288</v>
      </c>
      <c r="D50" s="7">
        <v>25</v>
      </c>
      <c r="E50" s="7" t="s">
        <v>247</v>
      </c>
      <c r="F50" s="7">
        <f>25+5</f>
        <v>30</v>
      </c>
      <c r="G50" s="8">
        <v>750</v>
      </c>
    </row>
    <row r="51" spans="1:7" ht="26" x14ac:dyDescent="0.15">
      <c r="A51" s="472"/>
      <c r="B51" s="473"/>
      <c r="C51" s="6" t="s">
        <v>391</v>
      </c>
      <c r="D51" s="7">
        <v>5</v>
      </c>
      <c r="E51" s="7" t="s">
        <v>247</v>
      </c>
      <c r="F51" s="7">
        <f>350+75</f>
        <v>425</v>
      </c>
      <c r="G51" s="8">
        <v>2125</v>
      </c>
    </row>
    <row r="52" spans="1:7" x14ac:dyDescent="0.15">
      <c r="A52" s="472">
        <v>7</v>
      </c>
      <c r="B52" s="473" t="s">
        <v>392</v>
      </c>
      <c r="C52" s="6"/>
      <c r="D52" s="7"/>
      <c r="E52" s="7"/>
      <c r="F52" s="7"/>
      <c r="G52" s="8"/>
    </row>
    <row r="53" spans="1:7" ht="26" x14ac:dyDescent="0.15">
      <c r="A53" s="472"/>
      <c r="B53" s="473"/>
      <c r="C53" s="6" t="s">
        <v>289</v>
      </c>
      <c r="D53" s="7">
        <v>6</v>
      </c>
      <c r="E53" s="7" t="s">
        <v>247</v>
      </c>
      <c r="F53" s="7">
        <f>10750+1000</f>
        <v>11750</v>
      </c>
      <c r="G53" s="8">
        <v>70500</v>
      </c>
    </row>
    <row r="54" spans="1:7" ht="26" x14ac:dyDescent="0.15">
      <c r="A54" s="472"/>
      <c r="B54" s="473"/>
      <c r="C54" s="6" t="s">
        <v>290</v>
      </c>
      <c r="D54" s="7">
        <v>9</v>
      </c>
      <c r="E54" s="7" t="s">
        <v>247</v>
      </c>
      <c r="F54" s="7">
        <f>4800+400</f>
        <v>5200</v>
      </c>
      <c r="G54" s="8">
        <v>46800</v>
      </c>
    </row>
    <row r="55" spans="1:7" ht="26" x14ac:dyDescent="0.15">
      <c r="A55" s="472"/>
      <c r="B55" s="473"/>
      <c r="C55" s="6" t="s">
        <v>291</v>
      </c>
      <c r="D55" s="7">
        <v>3</v>
      </c>
      <c r="E55" s="7" t="s">
        <v>247</v>
      </c>
      <c r="F55" s="7">
        <f>1600+250</f>
        <v>1850</v>
      </c>
      <c r="G55" s="8">
        <v>5550</v>
      </c>
    </row>
    <row r="56" spans="1:7" ht="39" x14ac:dyDescent="0.15">
      <c r="A56" s="472"/>
      <c r="B56" s="473"/>
      <c r="C56" s="6" t="s">
        <v>292</v>
      </c>
      <c r="D56" s="7">
        <v>17</v>
      </c>
      <c r="E56" s="7" t="s">
        <v>247</v>
      </c>
      <c r="F56" s="7">
        <f>3800+750</f>
        <v>4550</v>
      </c>
      <c r="G56" s="8">
        <v>77350</v>
      </c>
    </row>
    <row r="57" spans="1:7" x14ac:dyDescent="0.15">
      <c r="A57" s="472"/>
      <c r="B57" s="473"/>
      <c r="C57" s="6" t="s">
        <v>293</v>
      </c>
      <c r="D57" s="7">
        <v>5</v>
      </c>
      <c r="E57" s="7" t="s">
        <v>247</v>
      </c>
      <c r="F57" s="7">
        <f>10300+300</f>
        <v>10600</v>
      </c>
      <c r="G57" s="8">
        <v>53000</v>
      </c>
    </row>
    <row r="58" spans="1:7" x14ac:dyDescent="0.15">
      <c r="A58" s="472"/>
      <c r="B58" s="473"/>
      <c r="C58" s="6" t="s">
        <v>294</v>
      </c>
      <c r="D58" s="7">
        <v>7</v>
      </c>
      <c r="E58" s="7" t="s">
        <v>247</v>
      </c>
      <c r="F58" s="7">
        <f>4900+450</f>
        <v>5350</v>
      </c>
      <c r="G58" s="8">
        <v>37450</v>
      </c>
    </row>
    <row r="59" spans="1:7" x14ac:dyDescent="0.15">
      <c r="A59" s="472"/>
      <c r="B59" s="473"/>
      <c r="C59" s="6" t="s">
        <v>295</v>
      </c>
      <c r="D59" s="7">
        <v>25</v>
      </c>
      <c r="E59" s="7" t="s">
        <v>247</v>
      </c>
      <c r="F59" s="7">
        <f>3600+450</f>
        <v>4050</v>
      </c>
      <c r="G59" s="8">
        <v>101250</v>
      </c>
    </row>
    <row r="60" spans="1:7" x14ac:dyDescent="0.15">
      <c r="A60" s="12"/>
      <c r="B60" s="9"/>
      <c r="C60" s="6"/>
      <c r="D60" s="7"/>
      <c r="E60" s="7"/>
      <c r="F60" s="7"/>
      <c r="G60" s="8"/>
    </row>
    <row r="61" spans="1:7" ht="39" x14ac:dyDescent="0.15">
      <c r="A61" s="472">
        <v>8</v>
      </c>
      <c r="B61" s="473" t="s">
        <v>393</v>
      </c>
      <c r="C61" s="6" t="s">
        <v>394</v>
      </c>
      <c r="D61" s="7" t="s">
        <v>199</v>
      </c>
      <c r="E61" s="7"/>
      <c r="F61" s="7">
        <v>35000</v>
      </c>
      <c r="G61" s="8">
        <v>35000</v>
      </c>
    </row>
    <row r="62" spans="1:7" ht="39" x14ac:dyDescent="0.15">
      <c r="A62" s="472"/>
      <c r="B62" s="473"/>
      <c r="C62" s="6" t="s">
        <v>395</v>
      </c>
      <c r="D62" s="7" t="s">
        <v>199</v>
      </c>
      <c r="E62" s="7" t="s">
        <v>245</v>
      </c>
      <c r="F62" s="7">
        <v>25000</v>
      </c>
      <c r="G62" s="8">
        <v>25000</v>
      </c>
    </row>
    <row r="63" spans="1:7" ht="39" x14ac:dyDescent="0.15">
      <c r="A63" s="472"/>
      <c r="B63" s="473"/>
      <c r="C63" s="6" t="s">
        <v>396</v>
      </c>
      <c r="D63" s="7" t="s">
        <v>199</v>
      </c>
      <c r="E63" s="7" t="s">
        <v>245</v>
      </c>
      <c r="F63" s="7">
        <v>25000</v>
      </c>
      <c r="G63" s="8">
        <v>25000</v>
      </c>
    </row>
    <row r="64" spans="1:7" x14ac:dyDescent="0.15">
      <c r="A64" s="12">
        <v>9</v>
      </c>
      <c r="B64" s="12" t="s">
        <v>304</v>
      </c>
      <c r="C64" s="11" t="s">
        <v>305</v>
      </c>
      <c r="D64" s="7">
        <v>2</v>
      </c>
      <c r="E64" s="7" t="s">
        <v>247</v>
      </c>
      <c r="F64" s="7">
        <v>840000</v>
      </c>
      <c r="G64" s="8">
        <v>1680000</v>
      </c>
    </row>
    <row r="65" spans="6:7" x14ac:dyDescent="0.15">
      <c r="F65" s="13" t="s">
        <v>16</v>
      </c>
      <c r="G65" s="14">
        <f>SUM(G7:G64)</f>
        <v>6675965</v>
      </c>
    </row>
  </sheetData>
  <mergeCells count="17">
    <mergeCell ref="A61:A63"/>
    <mergeCell ref="B61:B63"/>
    <mergeCell ref="A6:A13"/>
    <mergeCell ref="A14:A15"/>
    <mergeCell ref="A16:A21"/>
    <mergeCell ref="A33:A43"/>
    <mergeCell ref="B33:B43"/>
    <mergeCell ref="A44:A51"/>
    <mergeCell ref="B44:B51"/>
    <mergeCell ref="A52:A59"/>
    <mergeCell ref="B52:B59"/>
    <mergeCell ref="A4:G4"/>
    <mergeCell ref="B6:B13"/>
    <mergeCell ref="B14:B15"/>
    <mergeCell ref="B16:B21"/>
    <mergeCell ref="A22:A32"/>
    <mergeCell ref="B22:B3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G75"/>
  <sheetViews>
    <sheetView topLeftCell="A55" workbookViewId="0">
      <selection activeCell="K70" sqref="K70"/>
    </sheetView>
  </sheetViews>
  <sheetFormatPr baseColWidth="10" defaultColWidth="8.83203125" defaultRowHeight="13" x14ac:dyDescent="0.15"/>
  <cols>
    <col min="3" max="3" width="38.5" customWidth="1"/>
    <col min="4" max="4" width="22.1640625" customWidth="1"/>
    <col min="5" max="5" width="18.1640625" customWidth="1"/>
    <col min="6" max="6" width="9.5" customWidth="1"/>
    <col min="7" max="7" width="18" customWidth="1"/>
  </cols>
  <sheetData>
    <row r="2" spans="2:7" x14ac:dyDescent="0.15">
      <c r="B2" s="480" t="s">
        <v>425</v>
      </c>
      <c r="C2" s="481"/>
      <c r="D2" s="481"/>
      <c r="E2" s="481"/>
      <c r="F2" s="481"/>
      <c r="G2" s="482"/>
    </row>
    <row r="3" spans="2:7" x14ac:dyDescent="0.15">
      <c r="B3" s="483" t="s">
        <v>200</v>
      </c>
      <c r="C3" s="484"/>
      <c r="D3" s="484"/>
      <c r="E3" s="484"/>
      <c r="F3" s="484"/>
      <c r="G3" s="485"/>
    </row>
    <row r="4" spans="2:7" ht="12.75" customHeight="1" x14ac:dyDescent="0.15">
      <c r="B4" s="483" t="s">
        <v>226</v>
      </c>
      <c r="C4" s="484"/>
      <c r="D4" s="484"/>
      <c r="E4" s="484"/>
      <c r="F4" s="484"/>
      <c r="G4" s="484"/>
    </row>
    <row r="5" spans="2:7" ht="14" x14ac:dyDescent="0.15">
      <c r="B5" s="18" t="s">
        <v>201</v>
      </c>
      <c r="C5" s="18" t="s">
        <v>333</v>
      </c>
      <c r="D5" s="18"/>
      <c r="E5" s="19" t="s">
        <v>202</v>
      </c>
      <c r="F5" s="19" t="s">
        <v>20</v>
      </c>
      <c r="G5" s="19" t="s">
        <v>340</v>
      </c>
    </row>
    <row r="6" spans="2:7" ht="28" x14ac:dyDescent="0.15">
      <c r="B6" s="15">
        <v>1</v>
      </c>
      <c r="C6" s="15" t="s">
        <v>203</v>
      </c>
      <c r="D6" s="15"/>
      <c r="E6" s="16">
        <v>12976</v>
      </c>
      <c r="F6" s="16" t="s">
        <v>208</v>
      </c>
      <c r="G6" s="16">
        <v>129760</v>
      </c>
    </row>
    <row r="7" spans="2:7" ht="14" x14ac:dyDescent="0.15">
      <c r="B7" s="15">
        <v>2</v>
      </c>
      <c r="C7" s="15" t="s">
        <v>334</v>
      </c>
      <c r="D7" s="15"/>
      <c r="E7" s="16">
        <v>10441.5</v>
      </c>
      <c r="F7" s="16" t="s">
        <v>208</v>
      </c>
      <c r="G7" s="16">
        <v>626490</v>
      </c>
    </row>
    <row r="8" spans="2:7" ht="14" x14ac:dyDescent="0.15">
      <c r="B8" s="15">
        <v>3</v>
      </c>
      <c r="C8" s="15" t="s">
        <v>204</v>
      </c>
      <c r="D8" s="15"/>
      <c r="E8" s="16">
        <v>17422.224999999999</v>
      </c>
      <c r="F8" s="16" t="s">
        <v>208</v>
      </c>
      <c r="G8" s="16">
        <v>6097778.7499999991</v>
      </c>
    </row>
    <row r="9" spans="2:7" ht="14" x14ac:dyDescent="0.15">
      <c r="B9" s="15">
        <v>4</v>
      </c>
      <c r="C9" s="15" t="s">
        <v>213</v>
      </c>
      <c r="D9" s="15"/>
      <c r="E9" s="16">
        <v>26098.875</v>
      </c>
      <c r="F9" s="16" t="s">
        <v>208</v>
      </c>
      <c r="G9" s="16">
        <v>208791</v>
      </c>
    </row>
    <row r="10" spans="2:7" ht="14" x14ac:dyDescent="0.15">
      <c r="B10" s="15">
        <v>5</v>
      </c>
      <c r="C10" s="15" t="s">
        <v>205</v>
      </c>
      <c r="D10" s="15"/>
      <c r="E10" s="16">
        <v>2212.5</v>
      </c>
      <c r="F10" s="16" t="s">
        <v>208</v>
      </c>
      <c r="G10" s="16">
        <v>188062.5</v>
      </c>
    </row>
    <row r="11" spans="2:7" ht="42" x14ac:dyDescent="0.15">
      <c r="B11" s="15">
        <v>6</v>
      </c>
      <c r="C11" s="15" t="s">
        <v>335</v>
      </c>
      <c r="D11" s="15"/>
      <c r="E11" s="16">
        <v>13494</v>
      </c>
      <c r="F11" s="16" t="s">
        <v>209</v>
      </c>
      <c r="G11" s="16">
        <v>215904</v>
      </c>
    </row>
    <row r="12" spans="2:7" ht="14" x14ac:dyDescent="0.15">
      <c r="B12" s="15">
        <v>7</v>
      </c>
      <c r="C12" s="15" t="s">
        <v>206</v>
      </c>
      <c r="D12" s="15"/>
      <c r="E12" s="16">
        <v>18450</v>
      </c>
      <c r="F12" s="16" t="s">
        <v>209</v>
      </c>
      <c r="G12" s="16">
        <v>738000</v>
      </c>
    </row>
    <row r="13" spans="2:7" ht="14" x14ac:dyDescent="0.15">
      <c r="B13" s="15">
        <v>8</v>
      </c>
      <c r="C13" s="15" t="s">
        <v>207</v>
      </c>
      <c r="D13" s="15"/>
      <c r="E13" s="16"/>
      <c r="F13" s="16"/>
      <c r="G13" s="16">
        <v>5213.75</v>
      </c>
    </row>
    <row r="14" spans="2:7" x14ac:dyDescent="0.15">
      <c r="B14" s="486">
        <v>9</v>
      </c>
      <c r="C14" s="486" t="s">
        <v>336</v>
      </c>
      <c r="D14" s="15"/>
      <c r="E14" s="15"/>
      <c r="F14" s="15"/>
      <c r="G14" s="15"/>
    </row>
    <row r="15" spans="2:7" ht="14" x14ac:dyDescent="0.15">
      <c r="B15" s="487"/>
      <c r="C15" s="487"/>
      <c r="D15" s="15" t="s">
        <v>222</v>
      </c>
      <c r="E15" s="16">
        <v>93</v>
      </c>
      <c r="F15" s="16" t="s">
        <v>15</v>
      </c>
      <c r="G15" s="16">
        <v>6975000</v>
      </c>
    </row>
    <row r="16" spans="2:7" ht="28" x14ac:dyDescent="0.15">
      <c r="B16" s="487"/>
      <c r="C16" s="487"/>
      <c r="D16" s="15" t="s">
        <v>330</v>
      </c>
      <c r="E16" s="16">
        <v>2060</v>
      </c>
      <c r="F16" s="16" t="s">
        <v>223</v>
      </c>
      <c r="G16" s="16">
        <v>3708000</v>
      </c>
    </row>
    <row r="17" spans="2:7" ht="28" x14ac:dyDescent="0.15">
      <c r="B17" s="487"/>
      <c r="C17" s="487"/>
      <c r="D17" s="15" t="s">
        <v>332</v>
      </c>
      <c r="E17" s="16">
        <v>2670</v>
      </c>
      <c r="F17" s="16" t="s">
        <v>223</v>
      </c>
      <c r="G17" s="16">
        <v>4806000</v>
      </c>
    </row>
    <row r="18" spans="2:7" ht="14" x14ac:dyDescent="0.15">
      <c r="B18" s="487"/>
      <c r="C18" s="487"/>
      <c r="D18" s="15" t="s">
        <v>337</v>
      </c>
      <c r="E18" s="16">
        <v>93</v>
      </c>
      <c r="F18" s="16" t="s">
        <v>15</v>
      </c>
      <c r="G18" s="16">
        <v>558000</v>
      </c>
    </row>
    <row r="19" spans="2:7" ht="14" x14ac:dyDescent="0.15">
      <c r="B19" s="487"/>
      <c r="C19" s="487"/>
      <c r="D19" s="15" t="s">
        <v>338</v>
      </c>
      <c r="E19" s="16">
        <v>400</v>
      </c>
      <c r="F19" s="16" t="s">
        <v>223</v>
      </c>
      <c r="G19" s="16">
        <v>1920000</v>
      </c>
    </row>
    <row r="20" spans="2:7" ht="28" x14ac:dyDescent="0.15">
      <c r="B20" s="488"/>
      <c r="C20" s="488"/>
      <c r="D20" s="15" t="s">
        <v>339</v>
      </c>
      <c r="E20" s="16">
        <v>93</v>
      </c>
      <c r="F20" s="16" t="s">
        <v>224</v>
      </c>
      <c r="G20" s="16">
        <v>558000</v>
      </c>
    </row>
    <row r="21" spans="2:7" ht="12.75" customHeight="1" x14ac:dyDescent="0.15">
      <c r="B21" s="483" t="s">
        <v>210</v>
      </c>
      <c r="C21" s="484"/>
      <c r="D21" s="484"/>
      <c r="E21" s="484"/>
      <c r="F21" s="484"/>
      <c r="G21" s="484"/>
    </row>
    <row r="22" spans="2:7" ht="14" x14ac:dyDescent="0.15">
      <c r="B22" s="18" t="s">
        <v>201</v>
      </c>
      <c r="C22" s="18" t="s">
        <v>333</v>
      </c>
      <c r="D22" s="18"/>
      <c r="E22" s="19" t="s">
        <v>202</v>
      </c>
      <c r="F22" s="19" t="s">
        <v>20</v>
      </c>
      <c r="G22" s="19" t="s">
        <v>340</v>
      </c>
    </row>
    <row r="23" spans="2:7" ht="28" x14ac:dyDescent="0.15">
      <c r="B23" s="15">
        <v>1</v>
      </c>
      <c r="C23" s="15" t="s">
        <v>203</v>
      </c>
      <c r="D23" s="15"/>
      <c r="E23" s="16">
        <v>4800</v>
      </c>
      <c r="F23" s="16" t="s">
        <v>208</v>
      </c>
      <c r="G23" s="16">
        <v>48000</v>
      </c>
    </row>
    <row r="24" spans="2:7" ht="14" x14ac:dyDescent="0.15">
      <c r="B24" s="15">
        <v>2</v>
      </c>
      <c r="C24" s="15" t="s">
        <v>334</v>
      </c>
      <c r="D24" s="15"/>
      <c r="E24" s="16">
        <v>1746.38</v>
      </c>
      <c r="F24" s="16" t="s">
        <v>208</v>
      </c>
      <c r="G24" s="16">
        <v>104782.8</v>
      </c>
    </row>
    <row r="25" spans="2:7" ht="14" x14ac:dyDescent="0.15">
      <c r="B25" s="15">
        <v>3</v>
      </c>
      <c r="C25" s="15" t="s">
        <v>204</v>
      </c>
      <c r="D25" s="15"/>
      <c r="E25" s="16">
        <v>3806.8474999999999</v>
      </c>
      <c r="F25" s="16" t="s">
        <v>208</v>
      </c>
      <c r="G25" s="16">
        <v>1332396.625</v>
      </c>
    </row>
    <row r="26" spans="2:7" ht="14" x14ac:dyDescent="0.15">
      <c r="B26" s="15">
        <v>4</v>
      </c>
      <c r="C26" s="15" t="s">
        <v>213</v>
      </c>
      <c r="D26" s="15"/>
      <c r="E26" s="16">
        <v>13017.375</v>
      </c>
      <c r="F26" s="16" t="s">
        <v>208</v>
      </c>
      <c r="G26" s="16">
        <v>104139</v>
      </c>
    </row>
    <row r="27" spans="2:7" ht="14" x14ac:dyDescent="0.15">
      <c r="B27" s="15">
        <v>5</v>
      </c>
      <c r="C27" s="15" t="s">
        <v>205</v>
      </c>
      <c r="D27" s="15"/>
      <c r="E27" s="16">
        <v>1016.25</v>
      </c>
      <c r="F27" s="16" t="s">
        <v>208</v>
      </c>
      <c r="G27" s="16">
        <v>86381.25</v>
      </c>
    </row>
    <row r="28" spans="2:7" ht="42" x14ac:dyDescent="0.15">
      <c r="B28" s="15">
        <v>6</v>
      </c>
      <c r="C28" s="15" t="s">
        <v>335</v>
      </c>
      <c r="D28" s="15"/>
      <c r="E28" s="16">
        <v>4204</v>
      </c>
      <c r="F28" s="16" t="s">
        <v>209</v>
      </c>
      <c r="G28" s="16">
        <v>67264</v>
      </c>
    </row>
    <row r="29" spans="2:7" ht="14" x14ac:dyDescent="0.15">
      <c r="B29" s="15">
        <v>7</v>
      </c>
      <c r="C29" s="15" t="s">
        <v>206</v>
      </c>
      <c r="D29" s="15"/>
      <c r="E29" s="16">
        <v>2892.75</v>
      </c>
      <c r="F29" s="16" t="s">
        <v>209</v>
      </c>
      <c r="G29" s="16">
        <v>115710</v>
      </c>
    </row>
    <row r="30" spans="2:7" ht="14" x14ac:dyDescent="0.15">
      <c r="B30" s="15">
        <v>8</v>
      </c>
      <c r="C30" s="15" t="s">
        <v>207</v>
      </c>
      <c r="D30" s="15"/>
      <c r="E30" s="16"/>
      <c r="F30" s="16"/>
      <c r="G30" s="16">
        <v>326.62</v>
      </c>
    </row>
    <row r="31" spans="2:7" ht="14" x14ac:dyDescent="0.15">
      <c r="B31" s="487"/>
      <c r="C31" s="487"/>
      <c r="D31" s="15" t="s">
        <v>222</v>
      </c>
      <c r="E31" s="16">
        <v>11</v>
      </c>
      <c r="F31" s="16" t="s">
        <v>15</v>
      </c>
      <c r="G31" s="16">
        <v>825000</v>
      </c>
    </row>
    <row r="32" spans="2:7" ht="28" x14ac:dyDescent="0.15">
      <c r="B32" s="487"/>
      <c r="C32" s="487"/>
      <c r="D32" s="15" t="s">
        <v>330</v>
      </c>
      <c r="E32" s="16">
        <v>225</v>
      </c>
      <c r="F32" s="16" t="s">
        <v>223</v>
      </c>
      <c r="G32" s="16">
        <v>405000</v>
      </c>
    </row>
    <row r="33" spans="2:7" ht="28" x14ac:dyDescent="0.15">
      <c r="B33" s="487"/>
      <c r="C33" s="487"/>
      <c r="D33" s="15" t="s">
        <v>332</v>
      </c>
      <c r="E33" s="16">
        <v>270</v>
      </c>
      <c r="F33" s="16" t="s">
        <v>223</v>
      </c>
      <c r="G33" s="16">
        <v>486000</v>
      </c>
    </row>
    <row r="34" spans="2:7" ht="14" x14ac:dyDescent="0.15">
      <c r="B34" s="487"/>
      <c r="C34" s="487"/>
      <c r="D34" s="15" t="s">
        <v>337</v>
      </c>
      <c r="E34" s="16">
        <v>11</v>
      </c>
      <c r="F34" s="16" t="s">
        <v>15</v>
      </c>
      <c r="G34" s="16">
        <v>66000</v>
      </c>
    </row>
    <row r="35" spans="2:7" ht="14" x14ac:dyDescent="0.15">
      <c r="B35" s="487"/>
      <c r="C35" s="487"/>
      <c r="D35" s="15" t="s">
        <v>338</v>
      </c>
      <c r="E35" s="16">
        <v>20</v>
      </c>
      <c r="F35" s="16" t="s">
        <v>223</v>
      </c>
      <c r="G35" s="16">
        <v>96000</v>
      </c>
    </row>
    <row r="36" spans="2:7" ht="28" x14ac:dyDescent="0.15">
      <c r="B36" s="488"/>
      <c r="C36" s="488"/>
      <c r="D36" s="15" t="s">
        <v>339</v>
      </c>
      <c r="E36" s="16">
        <v>11</v>
      </c>
      <c r="F36" s="16" t="s">
        <v>224</v>
      </c>
      <c r="G36" s="16">
        <v>66000</v>
      </c>
    </row>
    <row r="37" spans="2:7" ht="12.75" customHeight="1" x14ac:dyDescent="0.15">
      <c r="B37" s="483" t="s">
        <v>329</v>
      </c>
      <c r="C37" s="484"/>
      <c r="D37" s="484"/>
      <c r="E37" s="484"/>
      <c r="F37" s="484"/>
      <c r="G37" s="484"/>
    </row>
    <row r="38" spans="2:7" ht="14" x14ac:dyDescent="0.15">
      <c r="B38" s="18" t="s">
        <v>201</v>
      </c>
      <c r="C38" s="18" t="s">
        <v>333</v>
      </c>
      <c r="D38" s="18"/>
      <c r="E38" s="20" t="s">
        <v>202</v>
      </c>
      <c r="F38" s="20" t="s">
        <v>20</v>
      </c>
      <c r="G38" s="20" t="s">
        <v>340</v>
      </c>
    </row>
    <row r="39" spans="2:7" ht="28" x14ac:dyDescent="0.15">
      <c r="B39" s="15">
        <v>1</v>
      </c>
      <c r="C39" s="15" t="s">
        <v>203</v>
      </c>
      <c r="D39" s="15"/>
      <c r="E39" s="16">
        <v>8032</v>
      </c>
      <c r="F39" s="16" t="s">
        <v>208</v>
      </c>
      <c r="G39" s="16">
        <v>80320</v>
      </c>
    </row>
    <row r="40" spans="2:7" ht="14" x14ac:dyDescent="0.15">
      <c r="B40" s="15">
        <v>2</v>
      </c>
      <c r="C40" s="15" t="s">
        <v>334</v>
      </c>
      <c r="D40" s="15"/>
      <c r="E40" s="16">
        <v>4765.5</v>
      </c>
      <c r="F40" s="16" t="s">
        <v>208</v>
      </c>
      <c r="G40" s="16">
        <v>285930</v>
      </c>
    </row>
    <row r="41" spans="2:7" ht="14" x14ac:dyDescent="0.15">
      <c r="B41" s="15">
        <v>3</v>
      </c>
      <c r="C41" s="15" t="s">
        <v>204</v>
      </c>
      <c r="D41" s="15"/>
      <c r="E41" s="16">
        <v>8281.8950000000004</v>
      </c>
      <c r="F41" s="16" t="s">
        <v>208</v>
      </c>
      <c r="G41" s="16">
        <v>2898663.25</v>
      </c>
    </row>
    <row r="42" spans="2:7" ht="14" x14ac:dyDescent="0.15">
      <c r="B42" s="15">
        <v>4</v>
      </c>
      <c r="C42" s="15" t="s">
        <v>213</v>
      </c>
      <c r="D42" s="15"/>
      <c r="E42" s="16">
        <v>34894.125</v>
      </c>
      <c r="F42" s="16" t="s">
        <v>208</v>
      </c>
      <c r="G42" s="16">
        <v>279153</v>
      </c>
    </row>
    <row r="43" spans="2:7" ht="14" x14ac:dyDescent="0.15">
      <c r="B43" s="15">
        <v>5</v>
      </c>
      <c r="C43" s="15" t="s">
        <v>205</v>
      </c>
      <c r="D43" s="15"/>
      <c r="E43" s="16">
        <v>1365</v>
      </c>
      <c r="F43" s="16" t="s">
        <v>208</v>
      </c>
      <c r="G43" s="16">
        <v>116025</v>
      </c>
    </row>
    <row r="44" spans="2:7" ht="42" x14ac:dyDescent="0.15">
      <c r="B44" s="15">
        <v>6</v>
      </c>
      <c r="C44" s="15" t="s">
        <v>335</v>
      </c>
      <c r="D44" s="15"/>
      <c r="E44" s="16">
        <v>8159</v>
      </c>
      <c r="F44" s="16" t="s">
        <v>209</v>
      </c>
      <c r="G44" s="16">
        <v>130544</v>
      </c>
    </row>
    <row r="45" spans="2:7" ht="14" x14ac:dyDescent="0.15">
      <c r="B45" s="15">
        <v>7</v>
      </c>
      <c r="C45" s="15" t="s">
        <v>206</v>
      </c>
      <c r="D45" s="15"/>
      <c r="E45" s="16">
        <v>8025</v>
      </c>
      <c r="F45" s="16" t="s">
        <v>209</v>
      </c>
      <c r="G45" s="16">
        <v>321000</v>
      </c>
    </row>
    <row r="46" spans="2:7" ht="14" x14ac:dyDescent="0.15">
      <c r="B46" s="15">
        <v>8</v>
      </c>
      <c r="C46" s="15" t="s">
        <v>207</v>
      </c>
      <c r="D46" s="15"/>
      <c r="E46" s="16"/>
      <c r="F46" s="16"/>
      <c r="G46" s="16">
        <v>8364.75</v>
      </c>
    </row>
    <row r="47" spans="2:7" ht="14" x14ac:dyDescent="0.15">
      <c r="B47" s="487"/>
      <c r="C47" s="487"/>
      <c r="D47" s="15" t="s">
        <v>331</v>
      </c>
      <c r="E47" s="16">
        <v>40</v>
      </c>
      <c r="F47" s="16" t="s">
        <v>15</v>
      </c>
      <c r="G47" s="16">
        <v>3000000</v>
      </c>
    </row>
    <row r="48" spans="2:7" ht="28" x14ac:dyDescent="0.15">
      <c r="B48" s="487"/>
      <c r="C48" s="487"/>
      <c r="D48" s="15" t="s">
        <v>330</v>
      </c>
      <c r="E48" s="16">
        <v>895</v>
      </c>
      <c r="F48" s="16" t="s">
        <v>223</v>
      </c>
      <c r="G48" s="16">
        <v>1611000</v>
      </c>
    </row>
    <row r="49" spans="2:7" ht="28" x14ac:dyDescent="0.15">
      <c r="B49" s="487"/>
      <c r="C49" s="487"/>
      <c r="D49" s="15" t="s">
        <v>332</v>
      </c>
      <c r="E49" s="16">
        <v>1670</v>
      </c>
      <c r="F49" s="16" t="s">
        <v>223</v>
      </c>
      <c r="G49" s="16">
        <v>3006000</v>
      </c>
    </row>
    <row r="50" spans="2:7" ht="14" x14ac:dyDescent="0.15">
      <c r="B50" s="487"/>
      <c r="C50" s="487"/>
      <c r="D50" s="15" t="s">
        <v>337</v>
      </c>
      <c r="E50" s="16">
        <v>40</v>
      </c>
      <c r="F50" s="16" t="s">
        <v>15</v>
      </c>
      <c r="G50" s="16">
        <v>240000</v>
      </c>
    </row>
    <row r="51" spans="2:7" ht="14" x14ac:dyDescent="0.15">
      <c r="B51" s="487"/>
      <c r="C51" s="487"/>
      <c r="D51" s="15" t="s">
        <v>338</v>
      </c>
      <c r="E51" s="16">
        <v>300</v>
      </c>
      <c r="F51" s="16" t="s">
        <v>223</v>
      </c>
      <c r="G51" s="16">
        <v>1440000</v>
      </c>
    </row>
    <row r="52" spans="2:7" ht="28" x14ac:dyDescent="0.15">
      <c r="B52" s="488"/>
      <c r="C52" s="488"/>
      <c r="D52" s="15" t="s">
        <v>339</v>
      </c>
      <c r="E52" s="16">
        <v>40</v>
      </c>
      <c r="F52" s="16" t="s">
        <v>224</v>
      </c>
      <c r="G52" s="16">
        <v>240000</v>
      </c>
    </row>
    <row r="53" spans="2:7" x14ac:dyDescent="0.15">
      <c r="B53" s="483" t="s">
        <v>211</v>
      </c>
      <c r="C53" s="484"/>
      <c r="D53" s="484"/>
      <c r="E53" s="484"/>
      <c r="F53" s="484"/>
      <c r="G53" s="485"/>
    </row>
    <row r="54" spans="2:7" ht="12.75" customHeight="1" x14ac:dyDescent="0.15">
      <c r="B54" s="483" t="s">
        <v>212</v>
      </c>
      <c r="C54" s="484"/>
      <c r="D54" s="484"/>
      <c r="E54" s="484"/>
      <c r="F54" s="484"/>
      <c r="G54" s="484"/>
    </row>
    <row r="55" spans="2:7" ht="14" x14ac:dyDescent="0.15">
      <c r="B55" s="18" t="s">
        <v>201</v>
      </c>
      <c r="C55" s="18" t="s">
        <v>333</v>
      </c>
      <c r="D55" s="18"/>
      <c r="E55" s="20" t="s">
        <v>202</v>
      </c>
      <c r="F55" s="20" t="s">
        <v>20</v>
      </c>
      <c r="G55" s="20" t="s">
        <v>340</v>
      </c>
    </row>
    <row r="56" spans="2:7" ht="28" x14ac:dyDescent="0.15">
      <c r="B56" s="15">
        <v>1</v>
      </c>
      <c r="C56" s="15" t="s">
        <v>203</v>
      </c>
      <c r="D56" s="15"/>
      <c r="E56" s="16">
        <v>8288</v>
      </c>
      <c r="F56" s="16" t="s">
        <v>208</v>
      </c>
      <c r="G56" s="16">
        <v>82880</v>
      </c>
    </row>
    <row r="57" spans="2:7" ht="14" x14ac:dyDescent="0.15">
      <c r="B57" s="15">
        <v>2</v>
      </c>
      <c r="C57" s="15" t="s">
        <v>334</v>
      </c>
      <c r="D57" s="15"/>
      <c r="E57" s="16">
        <v>5665</v>
      </c>
      <c r="F57" s="16" t="s">
        <v>208</v>
      </c>
      <c r="G57" s="16">
        <v>339900</v>
      </c>
    </row>
    <row r="58" spans="2:7" ht="14" x14ac:dyDescent="0.15">
      <c r="B58" s="15">
        <v>3</v>
      </c>
      <c r="C58" s="15" t="s">
        <v>204</v>
      </c>
      <c r="D58" s="15"/>
      <c r="E58" s="16">
        <v>9292</v>
      </c>
      <c r="F58" s="16" t="s">
        <v>208</v>
      </c>
      <c r="G58" s="16">
        <v>3252200</v>
      </c>
    </row>
    <row r="59" spans="2:7" ht="14" x14ac:dyDescent="0.15">
      <c r="B59" s="15">
        <v>4</v>
      </c>
      <c r="C59" s="15" t="s">
        <v>213</v>
      </c>
      <c r="D59" s="15"/>
      <c r="E59" s="16">
        <v>45000</v>
      </c>
      <c r="F59" s="16" t="s">
        <v>208</v>
      </c>
      <c r="G59" s="16">
        <v>360000</v>
      </c>
    </row>
    <row r="60" spans="2:7" ht="14" x14ac:dyDescent="0.15">
      <c r="B60" s="15">
        <v>5</v>
      </c>
      <c r="C60" s="15" t="s">
        <v>205</v>
      </c>
      <c r="D60" s="15"/>
      <c r="E60" s="16">
        <v>1500</v>
      </c>
      <c r="F60" s="16" t="s">
        <v>208</v>
      </c>
      <c r="G60" s="16">
        <v>127500</v>
      </c>
    </row>
    <row r="61" spans="2:7" ht="42" x14ac:dyDescent="0.15">
      <c r="B61" s="15">
        <v>6</v>
      </c>
      <c r="C61" s="15" t="s">
        <v>335</v>
      </c>
      <c r="D61" s="15"/>
      <c r="E61" s="16">
        <v>6758</v>
      </c>
      <c r="F61" s="16" t="s">
        <v>209</v>
      </c>
      <c r="G61" s="16">
        <v>108128</v>
      </c>
    </row>
    <row r="62" spans="2:7" ht="14" x14ac:dyDescent="0.15">
      <c r="B62" s="15">
        <v>7</v>
      </c>
      <c r="C62" s="15" t="s">
        <v>206</v>
      </c>
      <c r="D62" s="15"/>
      <c r="E62" s="16">
        <v>2304</v>
      </c>
      <c r="F62" s="16" t="s">
        <v>209</v>
      </c>
      <c r="G62" s="16">
        <v>92160</v>
      </c>
    </row>
    <row r="63" spans="2:7" ht="14" x14ac:dyDescent="0.15">
      <c r="B63" s="15">
        <v>8</v>
      </c>
      <c r="C63" s="15" t="s">
        <v>207</v>
      </c>
      <c r="D63" s="15"/>
      <c r="E63" s="16"/>
      <c r="F63" s="16"/>
      <c r="G63" s="16">
        <v>2232</v>
      </c>
    </row>
    <row r="64" spans="2:7" x14ac:dyDescent="0.15">
      <c r="B64" s="483" t="s">
        <v>214</v>
      </c>
      <c r="C64" s="484"/>
      <c r="D64" s="484"/>
      <c r="E64" s="484"/>
      <c r="F64" s="484"/>
      <c r="G64" s="485"/>
    </row>
    <row r="65" spans="2:7" ht="12.75" customHeight="1" x14ac:dyDescent="0.15">
      <c r="B65" s="483" t="s">
        <v>212</v>
      </c>
      <c r="C65" s="484"/>
      <c r="D65" s="484"/>
      <c r="E65" s="484"/>
      <c r="F65" s="484"/>
      <c r="G65" s="484"/>
    </row>
    <row r="66" spans="2:7" ht="14" x14ac:dyDescent="0.15">
      <c r="B66" s="18" t="s">
        <v>201</v>
      </c>
      <c r="C66" s="18" t="s">
        <v>333</v>
      </c>
      <c r="D66" s="18"/>
      <c r="E66" s="20" t="s">
        <v>202</v>
      </c>
      <c r="F66" s="20" t="s">
        <v>20</v>
      </c>
      <c r="G66" s="20" t="s">
        <v>340</v>
      </c>
    </row>
    <row r="67" spans="2:7" ht="28" x14ac:dyDescent="0.15">
      <c r="B67" s="15">
        <v>1</v>
      </c>
      <c r="C67" s="15" t="s">
        <v>203</v>
      </c>
      <c r="D67" s="15"/>
      <c r="E67" s="16">
        <v>7776</v>
      </c>
      <c r="F67" s="16" t="s">
        <v>208</v>
      </c>
      <c r="G67" s="16">
        <v>77760</v>
      </c>
    </row>
    <row r="68" spans="2:7" ht="14" x14ac:dyDescent="0.15">
      <c r="B68" s="15">
        <v>2</v>
      </c>
      <c r="C68" s="15" t="s">
        <v>334</v>
      </c>
      <c r="D68" s="15"/>
      <c r="E68" s="16">
        <v>2681</v>
      </c>
      <c r="F68" s="16" t="s">
        <v>208</v>
      </c>
      <c r="G68" s="16">
        <v>160860</v>
      </c>
    </row>
    <row r="69" spans="2:7" ht="14" x14ac:dyDescent="0.15">
      <c r="B69" s="15">
        <v>3</v>
      </c>
      <c r="C69" s="15" t="s">
        <v>204</v>
      </c>
      <c r="D69" s="15"/>
      <c r="E69" s="16">
        <v>5020.5249999999996</v>
      </c>
      <c r="F69" s="16" t="s">
        <v>208</v>
      </c>
      <c r="G69" s="16">
        <v>1757183.7499999998</v>
      </c>
    </row>
    <row r="70" spans="2:7" ht="14" x14ac:dyDescent="0.15">
      <c r="B70" s="15">
        <v>4</v>
      </c>
      <c r="C70" s="15" t="s">
        <v>213</v>
      </c>
      <c r="D70" s="15"/>
      <c r="E70" s="16">
        <v>1915.865</v>
      </c>
      <c r="F70" s="16" t="s">
        <v>208</v>
      </c>
      <c r="G70" s="16">
        <v>15326.92</v>
      </c>
    </row>
    <row r="71" spans="2:7" ht="14" x14ac:dyDescent="0.15">
      <c r="B71" s="15">
        <v>5</v>
      </c>
      <c r="C71" s="15" t="s">
        <v>205</v>
      </c>
      <c r="D71" s="15"/>
      <c r="E71" s="16">
        <v>982.5</v>
      </c>
      <c r="F71" s="16" t="s">
        <v>208</v>
      </c>
      <c r="G71" s="16">
        <v>83512.5</v>
      </c>
    </row>
    <row r="72" spans="2:7" ht="42" x14ac:dyDescent="0.15">
      <c r="B72" s="15">
        <v>6</v>
      </c>
      <c r="C72" s="15" t="s">
        <v>335</v>
      </c>
      <c r="D72" s="15"/>
      <c r="E72" s="16">
        <v>4757</v>
      </c>
      <c r="F72" s="16" t="s">
        <v>209</v>
      </c>
      <c r="G72" s="16">
        <v>76112</v>
      </c>
    </row>
    <row r="73" spans="2:7" ht="14" x14ac:dyDescent="0.15">
      <c r="B73" s="15">
        <v>7</v>
      </c>
      <c r="C73" s="15" t="s">
        <v>206</v>
      </c>
      <c r="D73" s="15"/>
      <c r="E73" s="16">
        <v>4290.25</v>
      </c>
      <c r="F73" s="16" t="s">
        <v>209</v>
      </c>
      <c r="G73" s="16">
        <v>171610</v>
      </c>
    </row>
    <row r="74" spans="2:7" ht="14" x14ac:dyDescent="0.15">
      <c r="B74" s="15">
        <v>8</v>
      </c>
      <c r="C74" s="15" t="s">
        <v>207</v>
      </c>
      <c r="D74" s="15"/>
      <c r="E74" s="16"/>
      <c r="F74" s="16"/>
      <c r="G74" s="16">
        <v>11634.75</v>
      </c>
    </row>
    <row r="75" spans="2:7" x14ac:dyDescent="0.15">
      <c r="E75" s="489" t="s">
        <v>16</v>
      </c>
      <c r="F75" s="489"/>
      <c r="G75" s="17">
        <f>SUM(G6:G74)</f>
        <v>50914000.215000004</v>
      </c>
    </row>
  </sheetData>
  <mergeCells count="16">
    <mergeCell ref="B64:G64"/>
    <mergeCell ref="E75:F75"/>
    <mergeCell ref="B54:G54"/>
    <mergeCell ref="B65:G65"/>
    <mergeCell ref="B31:B36"/>
    <mergeCell ref="C31:C36"/>
    <mergeCell ref="B47:B52"/>
    <mergeCell ref="C47:C52"/>
    <mergeCell ref="B53:G53"/>
    <mergeCell ref="B37:G37"/>
    <mergeCell ref="B2:G2"/>
    <mergeCell ref="B3:G3"/>
    <mergeCell ref="B14:B20"/>
    <mergeCell ref="C14:C20"/>
    <mergeCell ref="B21:G21"/>
    <mergeCell ref="B4:G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F71"/>
  <sheetViews>
    <sheetView topLeftCell="A62" workbookViewId="0">
      <selection activeCell="K70" sqref="K70"/>
    </sheetView>
  </sheetViews>
  <sheetFormatPr baseColWidth="10" defaultColWidth="8.83203125" defaultRowHeight="13" x14ac:dyDescent="0.15"/>
  <cols>
    <col min="3" max="3" width="54.33203125" customWidth="1"/>
    <col min="4" max="4" width="14.6640625" customWidth="1"/>
    <col min="5" max="5" width="12.1640625" customWidth="1"/>
    <col min="6" max="6" width="19.5" customWidth="1"/>
  </cols>
  <sheetData>
    <row r="3" spans="2:6" x14ac:dyDescent="0.15">
      <c r="B3" s="2" t="s">
        <v>363</v>
      </c>
      <c r="C3" s="2"/>
      <c r="D3" s="2"/>
      <c r="E3" s="2"/>
      <c r="F3" s="2"/>
    </row>
    <row r="4" spans="2:6" x14ac:dyDescent="0.15">
      <c r="B4" s="2" t="s">
        <v>341</v>
      </c>
      <c r="C4" s="2"/>
      <c r="D4" s="2" t="s">
        <v>202</v>
      </c>
      <c r="E4" s="2" t="s">
        <v>20</v>
      </c>
      <c r="F4" s="2" t="s">
        <v>340</v>
      </c>
    </row>
    <row r="5" spans="2:6" ht="14" x14ac:dyDescent="0.15">
      <c r="B5" s="15" t="s">
        <v>201</v>
      </c>
      <c r="C5" s="15" t="s">
        <v>333</v>
      </c>
      <c r="D5" s="2"/>
      <c r="E5" s="2"/>
      <c r="F5" s="2"/>
    </row>
    <row r="6" spans="2:6" ht="28" x14ac:dyDescent="0.15">
      <c r="B6" s="15">
        <v>1</v>
      </c>
      <c r="C6" s="15" t="s">
        <v>203</v>
      </c>
      <c r="D6" s="1">
        <v>4480</v>
      </c>
      <c r="E6" s="1" t="s">
        <v>208</v>
      </c>
      <c r="F6" s="1">
        <v>44800</v>
      </c>
    </row>
    <row r="7" spans="2:6" ht="28" x14ac:dyDescent="0.15">
      <c r="B7" s="15">
        <v>2</v>
      </c>
      <c r="C7" s="15" t="s">
        <v>364</v>
      </c>
      <c r="D7" s="1">
        <v>1313.96</v>
      </c>
      <c r="E7" s="1" t="s">
        <v>208</v>
      </c>
      <c r="F7" s="1">
        <v>78837.600000000006</v>
      </c>
    </row>
    <row r="8" spans="2:6" ht="28" x14ac:dyDescent="0.15">
      <c r="B8" s="15">
        <v>3</v>
      </c>
      <c r="C8" s="15" t="s">
        <v>365</v>
      </c>
      <c r="D8" s="1">
        <v>3985.2249999999999</v>
      </c>
      <c r="E8" s="1" t="s">
        <v>208</v>
      </c>
      <c r="F8" s="1">
        <v>1394828.75</v>
      </c>
    </row>
    <row r="9" spans="2:6" ht="14" x14ac:dyDescent="0.15">
      <c r="B9" s="15">
        <v>4</v>
      </c>
      <c r="C9" s="15" t="s">
        <v>342</v>
      </c>
      <c r="D9" s="1">
        <v>4373.0249999999996</v>
      </c>
      <c r="E9" s="1" t="s">
        <v>208</v>
      </c>
      <c r="F9" s="1">
        <v>34984.199999999997</v>
      </c>
    </row>
    <row r="10" spans="2:6" ht="14" x14ac:dyDescent="0.15">
      <c r="B10" s="15">
        <v>5</v>
      </c>
      <c r="C10" s="15" t="s">
        <v>213</v>
      </c>
      <c r="D10" s="1">
        <v>9036</v>
      </c>
      <c r="E10" s="1" t="s">
        <v>208</v>
      </c>
      <c r="F10" s="1">
        <v>768060</v>
      </c>
    </row>
    <row r="11" spans="2:6" ht="28" x14ac:dyDescent="0.15">
      <c r="B11" s="15">
        <v>6</v>
      </c>
      <c r="C11" s="15" t="s">
        <v>366</v>
      </c>
      <c r="D11" s="1">
        <v>3252</v>
      </c>
      <c r="E11" s="1" t="s">
        <v>208</v>
      </c>
      <c r="F11" s="1">
        <v>58536</v>
      </c>
    </row>
    <row r="12" spans="2:6" ht="28" x14ac:dyDescent="0.15">
      <c r="B12" s="15">
        <v>7</v>
      </c>
      <c r="C12" s="15" t="s">
        <v>343</v>
      </c>
      <c r="D12" s="1">
        <v>8679</v>
      </c>
      <c r="E12" s="1" t="s">
        <v>209</v>
      </c>
      <c r="F12" s="1">
        <v>138864</v>
      </c>
    </row>
    <row r="13" spans="2:6" ht="28" x14ac:dyDescent="0.15">
      <c r="B13" s="15">
        <v>8</v>
      </c>
      <c r="C13" s="15" t="s">
        <v>344</v>
      </c>
      <c r="D13" s="1">
        <v>426.5</v>
      </c>
      <c r="E13" s="1" t="s">
        <v>209</v>
      </c>
      <c r="F13" s="1">
        <v>234575</v>
      </c>
    </row>
    <row r="14" spans="2:6" ht="28" x14ac:dyDescent="0.15">
      <c r="B14" s="15">
        <v>9</v>
      </c>
      <c r="C14" s="15" t="s">
        <v>345</v>
      </c>
      <c r="D14" s="1">
        <v>11931</v>
      </c>
      <c r="E14" s="1" t="s">
        <v>208</v>
      </c>
      <c r="F14" s="1">
        <v>119310</v>
      </c>
    </row>
    <row r="15" spans="2:6" ht="14" x14ac:dyDescent="0.15">
      <c r="B15" s="15">
        <v>10</v>
      </c>
      <c r="C15" s="15" t="s">
        <v>346</v>
      </c>
      <c r="D15" s="1">
        <v>426.5</v>
      </c>
      <c r="E15" s="1" t="s">
        <v>208</v>
      </c>
      <c r="F15" s="1">
        <v>3412</v>
      </c>
    </row>
    <row r="16" spans="2:6" ht="14" x14ac:dyDescent="0.15">
      <c r="B16" s="15">
        <v>11</v>
      </c>
      <c r="C16" s="15" t="s">
        <v>347</v>
      </c>
      <c r="D16" s="1">
        <v>3252</v>
      </c>
      <c r="E16" s="1" t="s">
        <v>208</v>
      </c>
      <c r="F16" s="1">
        <v>292680</v>
      </c>
    </row>
    <row r="17" spans="2:6" ht="14" x14ac:dyDescent="0.15">
      <c r="B17" s="15">
        <v>12</v>
      </c>
      <c r="C17" s="15" t="s">
        <v>367</v>
      </c>
      <c r="D17" s="1" t="s">
        <v>348</v>
      </c>
      <c r="E17" s="1"/>
      <c r="F17" s="1">
        <v>40000</v>
      </c>
    </row>
    <row r="18" spans="2:6" ht="14" x14ac:dyDescent="0.15">
      <c r="B18" s="15">
        <v>13</v>
      </c>
      <c r="C18" s="15" t="s">
        <v>349</v>
      </c>
      <c r="D18" s="1" t="s">
        <v>348</v>
      </c>
      <c r="E18" s="1"/>
      <c r="F18" s="1">
        <v>25000</v>
      </c>
    </row>
    <row r="19" spans="2:6" ht="14" x14ac:dyDescent="0.15">
      <c r="B19" s="15">
        <v>14</v>
      </c>
      <c r="C19" s="15" t="s">
        <v>350</v>
      </c>
      <c r="D19" s="1" t="s">
        <v>348</v>
      </c>
      <c r="E19" s="1"/>
      <c r="F19" s="1">
        <v>100000</v>
      </c>
    </row>
    <row r="20" spans="2:6" ht="28" x14ac:dyDescent="0.15">
      <c r="B20" s="15">
        <v>15</v>
      </c>
      <c r="C20" s="15" t="s">
        <v>351</v>
      </c>
      <c r="D20" s="1" t="s">
        <v>348</v>
      </c>
      <c r="E20" s="1"/>
      <c r="F20" s="1">
        <v>100000</v>
      </c>
    </row>
    <row r="21" spans="2:6" ht="14" x14ac:dyDescent="0.15">
      <c r="B21" s="15">
        <v>16</v>
      </c>
      <c r="C21" s="15" t="s">
        <v>24</v>
      </c>
      <c r="D21" s="1" t="s">
        <v>348</v>
      </c>
      <c r="E21" s="1"/>
      <c r="F21" s="1">
        <v>1112.45</v>
      </c>
    </row>
    <row r="22" spans="2:6" ht="25.5" customHeight="1" x14ac:dyDescent="0.15">
      <c r="B22" s="493" t="s">
        <v>352</v>
      </c>
      <c r="C22" s="492"/>
      <c r="D22" s="1" t="s">
        <v>202</v>
      </c>
      <c r="E22" s="1" t="s">
        <v>20</v>
      </c>
      <c r="F22" s="1" t="s">
        <v>340</v>
      </c>
    </row>
    <row r="23" spans="2:6" ht="14" x14ac:dyDescent="0.15">
      <c r="B23" s="15" t="s">
        <v>201</v>
      </c>
      <c r="C23" s="15" t="s">
        <v>333</v>
      </c>
      <c r="D23" s="1"/>
      <c r="E23" s="1"/>
      <c r="F23" s="1"/>
    </row>
    <row r="24" spans="2:6" ht="14" x14ac:dyDescent="0.15">
      <c r="B24" s="15">
        <v>1</v>
      </c>
      <c r="C24" s="15" t="s">
        <v>342</v>
      </c>
      <c r="D24" s="1">
        <v>4330.6499999999996</v>
      </c>
      <c r="E24" s="1" t="s">
        <v>208</v>
      </c>
      <c r="F24" s="1">
        <v>368105.24999999994</v>
      </c>
    </row>
    <row r="25" spans="2:6" ht="28" x14ac:dyDescent="0.15">
      <c r="B25" s="15">
        <v>2</v>
      </c>
      <c r="C25" s="15" t="s">
        <v>365</v>
      </c>
      <c r="D25" s="1">
        <v>2811.75</v>
      </c>
      <c r="E25" s="1" t="s">
        <v>208</v>
      </c>
      <c r="F25" s="1">
        <v>984112.5</v>
      </c>
    </row>
    <row r="26" spans="2:6" ht="28" x14ac:dyDescent="0.15">
      <c r="B26" s="15">
        <v>3</v>
      </c>
      <c r="C26" s="15" t="s">
        <v>366</v>
      </c>
      <c r="D26" s="1">
        <v>2572.5</v>
      </c>
      <c r="E26" s="1" t="s">
        <v>208</v>
      </c>
      <c r="F26" s="1">
        <v>46305</v>
      </c>
    </row>
    <row r="27" spans="2:6" ht="28" x14ac:dyDescent="0.15">
      <c r="B27" s="15">
        <v>4</v>
      </c>
      <c r="C27" s="15" t="s">
        <v>343</v>
      </c>
      <c r="D27" s="1">
        <v>9823</v>
      </c>
      <c r="E27" s="1" t="s">
        <v>209</v>
      </c>
      <c r="F27" s="1">
        <v>157168</v>
      </c>
    </row>
    <row r="28" spans="2:6" ht="28" x14ac:dyDescent="0.15">
      <c r="B28" s="15">
        <v>5</v>
      </c>
      <c r="C28" s="15" t="s">
        <v>344</v>
      </c>
      <c r="D28" s="1">
        <v>545</v>
      </c>
      <c r="E28" s="1" t="s">
        <v>209</v>
      </c>
      <c r="F28" s="1">
        <v>299750</v>
      </c>
    </row>
    <row r="29" spans="2:6" ht="28" x14ac:dyDescent="0.15">
      <c r="B29" s="15">
        <v>6</v>
      </c>
      <c r="C29" s="15" t="s">
        <v>345</v>
      </c>
      <c r="D29" s="1">
        <v>12395.5</v>
      </c>
      <c r="E29" s="1" t="s">
        <v>208</v>
      </c>
      <c r="F29" s="1">
        <v>123955</v>
      </c>
    </row>
    <row r="30" spans="2:6" ht="14" x14ac:dyDescent="0.15">
      <c r="B30" s="15">
        <v>7</v>
      </c>
      <c r="C30" s="15" t="s">
        <v>346</v>
      </c>
      <c r="D30" s="1">
        <v>545</v>
      </c>
      <c r="E30" s="1" t="s">
        <v>208</v>
      </c>
      <c r="F30" s="1">
        <v>4360</v>
      </c>
    </row>
    <row r="31" spans="2:6" ht="14" x14ac:dyDescent="0.15">
      <c r="B31" s="15">
        <v>8</v>
      </c>
      <c r="C31" s="15" t="s">
        <v>347</v>
      </c>
      <c r="D31" s="1">
        <v>2572.5</v>
      </c>
      <c r="E31" s="1" t="s">
        <v>208</v>
      </c>
      <c r="F31" s="1">
        <v>231525</v>
      </c>
    </row>
    <row r="32" spans="2:6" ht="28" x14ac:dyDescent="0.15">
      <c r="B32" s="15">
        <v>9</v>
      </c>
      <c r="C32" s="15" t="s">
        <v>368</v>
      </c>
      <c r="D32" s="1">
        <v>3773.25</v>
      </c>
      <c r="E32" s="1" t="s">
        <v>209</v>
      </c>
      <c r="F32" s="1">
        <v>158476.5</v>
      </c>
    </row>
    <row r="33" spans="2:6" ht="14" x14ac:dyDescent="0.15">
      <c r="B33" s="15">
        <v>10</v>
      </c>
      <c r="C33" s="15" t="s">
        <v>350</v>
      </c>
      <c r="D33" s="1" t="s">
        <v>348</v>
      </c>
      <c r="E33" s="1"/>
      <c r="F33" s="1">
        <v>100000</v>
      </c>
    </row>
    <row r="34" spans="2:6" ht="28" x14ac:dyDescent="0.15">
      <c r="B34" s="15">
        <v>11</v>
      </c>
      <c r="C34" s="15" t="s">
        <v>351</v>
      </c>
      <c r="D34" s="1" t="s">
        <v>348</v>
      </c>
      <c r="E34" s="1"/>
      <c r="F34" s="1">
        <v>100000</v>
      </c>
    </row>
    <row r="35" spans="2:6" ht="14" x14ac:dyDescent="0.15">
      <c r="B35" s="15">
        <v>12</v>
      </c>
      <c r="C35" s="15" t="s">
        <v>353</v>
      </c>
      <c r="D35" s="1" t="s">
        <v>348</v>
      </c>
      <c r="E35" s="1"/>
      <c r="F35" s="1">
        <v>600000</v>
      </c>
    </row>
    <row r="36" spans="2:6" ht="14" x14ac:dyDescent="0.15">
      <c r="B36" s="15">
        <v>13</v>
      </c>
      <c r="C36" s="15" t="s">
        <v>24</v>
      </c>
      <c r="D36" s="1" t="s">
        <v>348</v>
      </c>
      <c r="E36" s="1"/>
      <c r="F36" s="1">
        <v>1242.75</v>
      </c>
    </row>
    <row r="37" spans="2:6" x14ac:dyDescent="0.15">
      <c r="B37" s="493" t="s">
        <v>360</v>
      </c>
      <c r="C37" s="491"/>
      <c r="D37" s="491"/>
      <c r="E37" s="491"/>
      <c r="F37" s="492"/>
    </row>
    <row r="38" spans="2:6" x14ac:dyDescent="0.15">
      <c r="B38" s="493" t="s">
        <v>354</v>
      </c>
      <c r="C38" s="492"/>
      <c r="D38" s="1" t="s">
        <v>202</v>
      </c>
      <c r="E38" s="1" t="s">
        <v>20</v>
      </c>
      <c r="F38" s="1" t="s">
        <v>340</v>
      </c>
    </row>
    <row r="39" spans="2:6" ht="14" x14ac:dyDescent="0.15">
      <c r="B39" s="15" t="s">
        <v>201</v>
      </c>
      <c r="C39" s="15" t="s">
        <v>333</v>
      </c>
      <c r="D39" s="1"/>
      <c r="E39" s="1"/>
      <c r="F39" s="1"/>
    </row>
    <row r="40" spans="2:6" ht="28" x14ac:dyDescent="0.15">
      <c r="B40" s="15">
        <v>1</v>
      </c>
      <c r="C40" s="15" t="s">
        <v>203</v>
      </c>
      <c r="D40" s="1">
        <v>217.5</v>
      </c>
      <c r="E40" s="1" t="s">
        <v>208</v>
      </c>
      <c r="F40" s="1">
        <v>870</v>
      </c>
    </row>
    <row r="41" spans="2:6" ht="28" x14ac:dyDescent="0.15">
      <c r="B41" s="15">
        <v>2</v>
      </c>
      <c r="C41" s="15" t="s">
        <v>369</v>
      </c>
      <c r="D41" s="1">
        <v>264.51749999999998</v>
      </c>
      <c r="E41" s="1" t="s">
        <v>208</v>
      </c>
      <c r="F41" s="1">
        <v>7935.5249999999996</v>
      </c>
    </row>
    <row r="42" spans="2:6" ht="28" x14ac:dyDescent="0.15">
      <c r="B42" s="15">
        <v>3</v>
      </c>
      <c r="C42" s="15" t="s">
        <v>370</v>
      </c>
      <c r="D42" s="1">
        <v>43.5</v>
      </c>
      <c r="E42" s="1" t="s">
        <v>209</v>
      </c>
      <c r="F42" s="1">
        <v>261</v>
      </c>
    </row>
    <row r="43" spans="2:6" ht="28" x14ac:dyDescent="0.15">
      <c r="B43" s="15">
        <v>4</v>
      </c>
      <c r="C43" s="15" t="s">
        <v>355</v>
      </c>
      <c r="D43" s="1">
        <v>233.25</v>
      </c>
      <c r="E43" s="1" t="s">
        <v>208</v>
      </c>
      <c r="F43" s="1">
        <v>5831.25</v>
      </c>
    </row>
    <row r="44" spans="2:6" ht="14" x14ac:dyDescent="0.15">
      <c r="B44" s="15">
        <v>5</v>
      </c>
      <c r="C44" s="15" t="s">
        <v>356</v>
      </c>
      <c r="D44" s="1">
        <v>220.875</v>
      </c>
      <c r="E44" s="1" t="s">
        <v>208</v>
      </c>
      <c r="F44" s="1">
        <v>8835</v>
      </c>
    </row>
    <row r="45" spans="2:6" ht="28" x14ac:dyDescent="0.15">
      <c r="B45" s="15">
        <v>6</v>
      </c>
      <c r="C45" s="15" t="s">
        <v>365</v>
      </c>
      <c r="D45" s="1">
        <v>48.897500000000001</v>
      </c>
      <c r="E45" s="1" t="s">
        <v>208</v>
      </c>
      <c r="F45" s="1">
        <v>7334.625</v>
      </c>
    </row>
    <row r="46" spans="2:6" ht="28" x14ac:dyDescent="0.15">
      <c r="B46" s="15">
        <v>7</v>
      </c>
      <c r="C46" s="15" t="s">
        <v>371</v>
      </c>
      <c r="D46" s="1">
        <v>42.25</v>
      </c>
      <c r="E46" s="1" t="s">
        <v>208</v>
      </c>
      <c r="F46" s="1">
        <v>422.5</v>
      </c>
    </row>
    <row r="47" spans="2:6" ht="28" x14ac:dyDescent="0.15">
      <c r="B47" s="15">
        <v>8</v>
      </c>
      <c r="C47" s="15" t="s">
        <v>357</v>
      </c>
      <c r="D47" s="1">
        <v>641.5</v>
      </c>
      <c r="E47" s="1" t="s">
        <v>209</v>
      </c>
      <c r="F47" s="1">
        <v>3207.5</v>
      </c>
    </row>
    <row r="48" spans="2:6" ht="14" x14ac:dyDescent="0.15">
      <c r="B48" s="15">
        <v>9</v>
      </c>
      <c r="C48" s="15" t="s">
        <v>361</v>
      </c>
      <c r="D48" s="1">
        <v>39</v>
      </c>
      <c r="E48" s="1" t="s">
        <v>209</v>
      </c>
      <c r="F48" s="1">
        <v>5850</v>
      </c>
    </row>
    <row r="49" spans="2:6" ht="28" x14ac:dyDescent="0.15">
      <c r="B49" s="15">
        <v>10</v>
      </c>
      <c r="C49" s="15" t="s">
        <v>345</v>
      </c>
      <c r="D49" s="1">
        <v>683.75</v>
      </c>
      <c r="E49" s="1" t="s">
        <v>209</v>
      </c>
      <c r="F49" s="1">
        <v>4102.5</v>
      </c>
    </row>
    <row r="50" spans="2:6" ht="14" x14ac:dyDescent="0.15">
      <c r="B50" s="15">
        <v>11</v>
      </c>
      <c r="C50" s="15" t="s">
        <v>362</v>
      </c>
      <c r="D50" s="1">
        <v>39</v>
      </c>
      <c r="E50" s="1" t="s">
        <v>208</v>
      </c>
      <c r="F50" s="1">
        <v>156</v>
      </c>
    </row>
    <row r="51" spans="2:6" ht="14" x14ac:dyDescent="0.15">
      <c r="B51" s="15">
        <v>12</v>
      </c>
      <c r="C51" s="15" t="s">
        <v>358</v>
      </c>
      <c r="D51" s="1">
        <v>42.25</v>
      </c>
      <c r="E51" s="1" t="s">
        <v>209</v>
      </c>
      <c r="F51" s="1">
        <v>422.5</v>
      </c>
    </row>
    <row r="52" spans="2:6" ht="14" x14ac:dyDescent="0.15">
      <c r="B52" s="15">
        <v>13</v>
      </c>
      <c r="C52" s="15" t="s">
        <v>359</v>
      </c>
      <c r="D52" s="1">
        <v>42.38</v>
      </c>
      <c r="E52" s="1" t="s">
        <v>209</v>
      </c>
      <c r="F52" s="1">
        <v>423.8</v>
      </c>
    </row>
    <row r="53" spans="2:6" ht="14" x14ac:dyDescent="0.15">
      <c r="B53" s="15">
        <v>14</v>
      </c>
      <c r="C53" s="15" t="s">
        <v>24</v>
      </c>
      <c r="D53" s="1" t="s">
        <v>348</v>
      </c>
      <c r="E53" s="1"/>
      <c r="F53" s="1">
        <v>347.8</v>
      </c>
    </row>
    <row r="54" spans="2:6" x14ac:dyDescent="0.15">
      <c r="B54" s="490" t="s">
        <v>426</v>
      </c>
      <c r="C54" s="491"/>
      <c r="D54" s="491"/>
      <c r="E54" s="491"/>
      <c r="F54" s="492"/>
    </row>
    <row r="55" spans="2:6" x14ac:dyDescent="0.15">
      <c r="B55" s="493" t="s">
        <v>354</v>
      </c>
      <c r="C55" s="492"/>
      <c r="D55" s="1" t="s">
        <v>202</v>
      </c>
      <c r="E55" s="1" t="s">
        <v>20</v>
      </c>
      <c r="F55" s="1" t="s">
        <v>340</v>
      </c>
    </row>
    <row r="56" spans="2:6" ht="14" x14ac:dyDescent="0.15">
      <c r="B56" s="15" t="s">
        <v>201</v>
      </c>
      <c r="C56" s="15" t="s">
        <v>333</v>
      </c>
      <c r="D56" s="1"/>
      <c r="E56" s="1"/>
      <c r="F56" s="1"/>
    </row>
    <row r="57" spans="2:6" ht="28" x14ac:dyDescent="0.15">
      <c r="B57" s="15">
        <v>1</v>
      </c>
      <c r="C57" s="15" t="s">
        <v>203</v>
      </c>
      <c r="D57" s="1">
        <v>217.5</v>
      </c>
      <c r="E57" s="1" t="s">
        <v>208</v>
      </c>
      <c r="F57" s="1">
        <v>870</v>
      </c>
    </row>
    <row r="58" spans="2:6" ht="28" x14ac:dyDescent="0.15">
      <c r="B58" s="15">
        <v>2</v>
      </c>
      <c r="C58" s="15" t="s">
        <v>369</v>
      </c>
      <c r="D58" s="1">
        <v>264.51749999999998</v>
      </c>
      <c r="E58" s="1" t="s">
        <v>208</v>
      </c>
      <c r="F58" s="1">
        <v>7935.5249999999996</v>
      </c>
    </row>
    <row r="59" spans="2:6" ht="28" x14ac:dyDescent="0.15">
      <c r="B59" s="15">
        <v>3</v>
      </c>
      <c r="C59" s="15" t="s">
        <v>370</v>
      </c>
      <c r="D59" s="1">
        <v>43.5</v>
      </c>
      <c r="E59" s="1" t="s">
        <v>209</v>
      </c>
      <c r="F59" s="1">
        <v>261</v>
      </c>
    </row>
    <row r="60" spans="2:6" ht="28" x14ac:dyDescent="0.15">
      <c r="B60" s="15">
        <v>4</v>
      </c>
      <c r="C60" s="15" t="s">
        <v>355</v>
      </c>
      <c r="D60" s="1">
        <v>233.25</v>
      </c>
      <c r="E60" s="1" t="s">
        <v>208</v>
      </c>
      <c r="F60" s="1">
        <v>5831.25</v>
      </c>
    </row>
    <row r="61" spans="2:6" ht="14" x14ac:dyDescent="0.15">
      <c r="B61" s="15">
        <v>5</v>
      </c>
      <c r="C61" s="15" t="s">
        <v>356</v>
      </c>
      <c r="D61" s="1">
        <v>220.875</v>
      </c>
      <c r="E61" s="1" t="s">
        <v>208</v>
      </c>
      <c r="F61" s="1">
        <v>8835</v>
      </c>
    </row>
    <row r="62" spans="2:6" ht="28" x14ac:dyDescent="0.15">
      <c r="B62" s="15">
        <v>6</v>
      </c>
      <c r="C62" s="15" t="s">
        <v>365</v>
      </c>
      <c r="D62" s="1">
        <v>48.897500000000001</v>
      </c>
      <c r="E62" s="1" t="s">
        <v>208</v>
      </c>
      <c r="F62" s="1">
        <v>7334.625</v>
      </c>
    </row>
    <row r="63" spans="2:6" ht="28" x14ac:dyDescent="0.15">
      <c r="B63" s="15">
        <v>7</v>
      </c>
      <c r="C63" s="15" t="s">
        <v>371</v>
      </c>
      <c r="D63" s="1">
        <v>42.25</v>
      </c>
      <c r="E63" s="1" t="s">
        <v>208</v>
      </c>
      <c r="F63" s="1">
        <v>422.5</v>
      </c>
    </row>
    <row r="64" spans="2:6" ht="28" x14ac:dyDescent="0.15">
      <c r="B64" s="15">
        <v>8</v>
      </c>
      <c r="C64" s="15" t="s">
        <v>357</v>
      </c>
      <c r="D64" s="1">
        <v>641.5</v>
      </c>
      <c r="E64" s="1" t="s">
        <v>209</v>
      </c>
      <c r="F64" s="1">
        <v>3207.5</v>
      </c>
    </row>
    <row r="65" spans="2:6" ht="14" x14ac:dyDescent="0.15">
      <c r="B65" s="15">
        <v>9</v>
      </c>
      <c r="C65" s="15" t="s">
        <v>361</v>
      </c>
      <c r="D65" s="1">
        <v>39</v>
      </c>
      <c r="E65" s="1" t="s">
        <v>209</v>
      </c>
      <c r="F65" s="1">
        <v>5850</v>
      </c>
    </row>
    <row r="66" spans="2:6" ht="28" x14ac:dyDescent="0.15">
      <c r="B66" s="15">
        <v>10</v>
      </c>
      <c r="C66" s="15" t="s">
        <v>345</v>
      </c>
      <c r="D66" s="1">
        <v>683.75</v>
      </c>
      <c r="E66" s="1" t="s">
        <v>209</v>
      </c>
      <c r="F66" s="1">
        <v>4102.5</v>
      </c>
    </row>
    <row r="67" spans="2:6" ht="14" x14ac:dyDescent="0.15">
      <c r="B67" s="15">
        <v>11</v>
      </c>
      <c r="C67" s="15" t="s">
        <v>362</v>
      </c>
      <c r="D67" s="1">
        <v>39</v>
      </c>
      <c r="E67" s="1" t="s">
        <v>208</v>
      </c>
      <c r="F67" s="1">
        <v>156</v>
      </c>
    </row>
    <row r="68" spans="2:6" ht="14" x14ac:dyDescent="0.15">
      <c r="B68" s="15">
        <v>12</v>
      </c>
      <c r="C68" s="15" t="s">
        <v>358</v>
      </c>
      <c r="D68" s="1">
        <v>42.25</v>
      </c>
      <c r="E68" s="1" t="s">
        <v>209</v>
      </c>
      <c r="F68" s="1">
        <v>422.5</v>
      </c>
    </row>
    <row r="69" spans="2:6" ht="14" x14ac:dyDescent="0.15">
      <c r="B69" s="15">
        <v>13</v>
      </c>
      <c r="C69" s="15" t="s">
        <v>359</v>
      </c>
      <c r="D69" s="1">
        <v>42.38</v>
      </c>
      <c r="E69" s="1" t="s">
        <v>209</v>
      </c>
      <c r="F69" s="1">
        <v>423.8</v>
      </c>
    </row>
    <row r="70" spans="2:6" ht="14" x14ac:dyDescent="0.15">
      <c r="B70" s="15">
        <v>14</v>
      </c>
      <c r="C70" s="15" t="s">
        <v>24</v>
      </c>
      <c r="D70" s="2" t="s">
        <v>348</v>
      </c>
      <c r="E70" s="2"/>
      <c r="F70" s="21">
        <v>347.8</v>
      </c>
    </row>
    <row r="71" spans="2:6" x14ac:dyDescent="0.15">
      <c r="E71" s="22" t="s">
        <v>16</v>
      </c>
      <c r="F71" s="23">
        <f>SUM(F6:F70)</f>
        <v>6702000</v>
      </c>
    </row>
  </sheetData>
  <mergeCells count="5">
    <mergeCell ref="B54:F54"/>
    <mergeCell ref="B55:C55"/>
    <mergeCell ref="B37:F37"/>
    <mergeCell ref="B38:C38"/>
    <mergeCell ref="B22:C2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G266"/>
  <sheetViews>
    <sheetView workbookViewId="0">
      <selection activeCell="K70" sqref="K70"/>
    </sheetView>
  </sheetViews>
  <sheetFormatPr baseColWidth="10" defaultColWidth="8.83203125" defaultRowHeight="13" x14ac:dyDescent="0.15"/>
  <cols>
    <col min="3" max="3" width="25.33203125" customWidth="1"/>
    <col min="4" max="4" width="28.83203125" customWidth="1"/>
    <col min="5" max="5" width="31" customWidth="1"/>
    <col min="6" max="6" width="11.6640625" customWidth="1"/>
    <col min="7" max="7" width="19" customWidth="1"/>
  </cols>
  <sheetData>
    <row r="2" spans="2:7" x14ac:dyDescent="0.15">
      <c r="B2" s="24"/>
      <c r="C2" s="24"/>
      <c r="D2" s="24"/>
      <c r="E2" s="24"/>
      <c r="F2" s="24"/>
      <c r="G2" s="24"/>
    </row>
    <row r="3" spans="2:7" x14ac:dyDescent="0.15">
      <c r="B3" s="494" t="s">
        <v>215</v>
      </c>
      <c r="C3" s="494"/>
      <c r="D3" s="494"/>
      <c r="E3" s="494"/>
      <c r="F3" s="494"/>
      <c r="G3" s="494"/>
    </row>
    <row r="4" spans="2:7" x14ac:dyDescent="0.15">
      <c r="B4" s="495" t="s">
        <v>427</v>
      </c>
      <c r="C4" s="496"/>
      <c r="D4" s="496"/>
      <c r="E4" s="496"/>
      <c r="F4" s="496"/>
      <c r="G4" s="496"/>
    </row>
    <row r="5" spans="2:7" x14ac:dyDescent="0.15">
      <c r="B5" s="496" t="s">
        <v>226</v>
      </c>
      <c r="C5" s="496"/>
      <c r="D5" s="496"/>
      <c r="E5" s="496"/>
      <c r="F5" s="496"/>
      <c r="G5" s="496"/>
    </row>
    <row r="6" spans="2:7" ht="14" x14ac:dyDescent="0.15">
      <c r="B6" s="28" t="s">
        <v>216</v>
      </c>
      <c r="C6" s="28" t="s">
        <v>372</v>
      </c>
      <c r="D6" s="28" t="s">
        <v>68</v>
      </c>
      <c r="E6" s="28" t="s">
        <v>202</v>
      </c>
      <c r="F6" s="28" t="s">
        <v>20</v>
      </c>
      <c r="G6" s="28" t="s">
        <v>229</v>
      </c>
    </row>
    <row r="7" spans="2:7" ht="14" x14ac:dyDescent="0.15">
      <c r="B7" s="500">
        <v>1</v>
      </c>
      <c r="C7" s="500" t="s">
        <v>227</v>
      </c>
      <c r="D7" s="28" t="s">
        <v>403</v>
      </c>
      <c r="E7" s="28">
        <v>864</v>
      </c>
      <c r="F7" s="28" t="s">
        <v>223</v>
      </c>
      <c r="G7" s="28">
        <v>2180445.696</v>
      </c>
    </row>
    <row r="8" spans="2:7" ht="14" x14ac:dyDescent="0.15">
      <c r="B8" s="501"/>
      <c r="C8" s="501"/>
      <c r="D8" s="28" t="s">
        <v>404</v>
      </c>
      <c r="E8" s="28">
        <v>1655</v>
      </c>
      <c r="F8" s="28" t="s">
        <v>223</v>
      </c>
      <c r="G8" s="28">
        <v>3607118.84</v>
      </c>
    </row>
    <row r="9" spans="2:7" ht="14" x14ac:dyDescent="0.15">
      <c r="B9" s="501"/>
      <c r="C9" s="501"/>
      <c r="D9" s="28" t="s">
        <v>405</v>
      </c>
      <c r="E9" s="28">
        <v>504</v>
      </c>
      <c r="F9" s="28" t="s">
        <v>223</v>
      </c>
      <c r="G9" s="28">
        <v>982852.41599999997</v>
      </c>
    </row>
    <row r="10" spans="2:7" ht="14" x14ac:dyDescent="0.15">
      <c r="B10" s="501"/>
      <c r="C10" s="501"/>
      <c r="D10" s="28" t="s">
        <v>406</v>
      </c>
      <c r="E10" s="28">
        <v>229</v>
      </c>
      <c r="F10" s="28" t="s">
        <v>223</v>
      </c>
      <c r="G10" s="28">
        <v>367766.67200000002</v>
      </c>
    </row>
    <row r="11" spans="2:7" ht="14" x14ac:dyDescent="0.15">
      <c r="B11" s="501"/>
      <c r="C11" s="501"/>
      <c r="D11" s="28" t="s">
        <v>228</v>
      </c>
      <c r="E11" s="28">
        <v>864</v>
      </c>
      <c r="F11" s="28" t="s">
        <v>223</v>
      </c>
      <c r="G11" s="28">
        <v>1699756.5312000001</v>
      </c>
    </row>
    <row r="12" spans="2:7" ht="28" x14ac:dyDescent="0.15">
      <c r="B12" s="501"/>
      <c r="C12" s="501"/>
      <c r="D12" s="28" t="s">
        <v>373</v>
      </c>
      <c r="E12" s="28">
        <v>3300</v>
      </c>
      <c r="F12" s="28" t="s">
        <v>223</v>
      </c>
      <c r="G12" s="28">
        <v>1173503.76</v>
      </c>
    </row>
    <row r="13" spans="2:7" ht="14" x14ac:dyDescent="0.15">
      <c r="B13" s="502"/>
      <c r="C13" s="502"/>
      <c r="D13" s="28" t="s">
        <v>407</v>
      </c>
      <c r="E13" s="28">
        <v>4116</v>
      </c>
      <c r="F13" s="28"/>
      <c r="G13" s="28">
        <v>1029000</v>
      </c>
    </row>
    <row r="14" spans="2:7" ht="28" x14ac:dyDescent="0.15">
      <c r="B14" s="501">
        <v>2</v>
      </c>
      <c r="C14" s="503" t="s">
        <v>429</v>
      </c>
      <c r="D14" s="28" t="s">
        <v>217</v>
      </c>
      <c r="E14" s="28" t="s">
        <v>374</v>
      </c>
      <c r="F14" s="28"/>
      <c r="G14" s="28">
        <v>21636517</v>
      </c>
    </row>
    <row r="15" spans="2:7" ht="28" x14ac:dyDescent="0.15">
      <c r="B15" s="501"/>
      <c r="C15" s="504"/>
      <c r="D15" s="28" t="s">
        <v>218</v>
      </c>
      <c r="E15" s="28" t="s">
        <v>374</v>
      </c>
      <c r="F15" s="28"/>
      <c r="G15" s="28">
        <v>439200</v>
      </c>
    </row>
    <row r="16" spans="2:7" ht="14" x14ac:dyDescent="0.15">
      <c r="B16" s="501"/>
      <c r="C16" s="504"/>
      <c r="D16" s="28" t="s">
        <v>219</v>
      </c>
      <c r="E16" s="28" t="s">
        <v>220</v>
      </c>
      <c r="F16" s="28"/>
      <c r="G16" s="28">
        <v>2573285</v>
      </c>
    </row>
    <row r="17" spans="2:7" ht="28" x14ac:dyDescent="0.15">
      <c r="B17" s="501"/>
      <c r="C17" s="504"/>
      <c r="D17" s="28" t="s">
        <v>221</v>
      </c>
      <c r="E17" s="28" t="s">
        <v>374</v>
      </c>
      <c r="F17" s="28"/>
      <c r="G17" s="28">
        <v>1189500</v>
      </c>
    </row>
    <row r="18" spans="2:7" ht="28" x14ac:dyDescent="0.15">
      <c r="B18" s="502"/>
      <c r="C18" s="505"/>
      <c r="D18" s="28" t="s">
        <v>375</v>
      </c>
      <c r="E18" s="28" t="s">
        <v>374</v>
      </c>
      <c r="F18" s="28"/>
      <c r="G18" s="28">
        <v>3965000</v>
      </c>
    </row>
    <row r="19" spans="2:7" ht="28" x14ac:dyDescent="0.15">
      <c r="B19" s="30">
        <v>3</v>
      </c>
      <c r="C19" s="28" t="s">
        <v>303</v>
      </c>
      <c r="D19" s="28" t="s">
        <v>418</v>
      </c>
      <c r="E19" s="28" t="s">
        <v>374</v>
      </c>
      <c r="F19" s="28"/>
      <c r="G19" s="28">
        <v>9000000</v>
      </c>
    </row>
    <row r="20" spans="2:7" x14ac:dyDescent="0.15">
      <c r="B20" s="497" t="s">
        <v>298</v>
      </c>
      <c r="C20" s="498"/>
      <c r="D20" s="498"/>
      <c r="E20" s="498"/>
      <c r="F20" s="498"/>
      <c r="G20" s="499"/>
    </row>
    <row r="21" spans="2:7" ht="14" x14ac:dyDescent="0.15">
      <c r="B21" s="28" t="s">
        <v>216</v>
      </c>
      <c r="C21" s="28" t="s">
        <v>372</v>
      </c>
      <c r="D21" s="28" t="s">
        <v>68</v>
      </c>
      <c r="E21" s="28" t="s">
        <v>202</v>
      </c>
      <c r="F21" s="28" t="s">
        <v>20</v>
      </c>
      <c r="G21" s="28" t="s">
        <v>229</v>
      </c>
    </row>
    <row r="22" spans="2:7" ht="14" x14ac:dyDescent="0.15">
      <c r="B22" s="500">
        <v>1</v>
      </c>
      <c r="C22" s="500" t="s">
        <v>227</v>
      </c>
      <c r="D22" s="28" t="s">
        <v>230</v>
      </c>
      <c r="E22" s="28">
        <v>1323</v>
      </c>
      <c r="F22" s="28" t="s">
        <v>223</v>
      </c>
      <c r="G22" s="28">
        <v>2124695.6639999999</v>
      </c>
    </row>
    <row r="23" spans="2:7" ht="14" x14ac:dyDescent="0.15">
      <c r="B23" s="501"/>
      <c r="C23" s="501"/>
      <c r="D23" s="28" t="s">
        <v>231</v>
      </c>
      <c r="E23" s="28">
        <v>736</v>
      </c>
      <c r="F23" s="28" t="s">
        <v>223</v>
      </c>
      <c r="G23" s="28">
        <v>1181992.4480000001</v>
      </c>
    </row>
    <row r="24" spans="2:7" ht="14" x14ac:dyDescent="0.15">
      <c r="B24" s="501"/>
      <c r="C24" s="501"/>
      <c r="D24" s="28" t="s">
        <v>376</v>
      </c>
      <c r="E24" s="28">
        <v>324</v>
      </c>
      <c r="F24" s="28" t="s">
        <v>223</v>
      </c>
      <c r="G24" s="28">
        <v>520333.63199999998</v>
      </c>
    </row>
    <row r="25" spans="2:7" ht="14" x14ac:dyDescent="0.15">
      <c r="B25" s="501"/>
      <c r="C25" s="501"/>
      <c r="D25" s="28" t="s">
        <v>232</v>
      </c>
      <c r="E25" s="28">
        <v>736</v>
      </c>
      <c r="F25" s="28" t="s">
        <v>223</v>
      </c>
      <c r="G25" s="28">
        <v>1160885.44</v>
      </c>
    </row>
    <row r="26" spans="2:7" ht="28" x14ac:dyDescent="0.15">
      <c r="B26" s="502"/>
      <c r="C26" s="502"/>
      <c r="D26" s="28" t="s">
        <v>373</v>
      </c>
      <c r="E26" s="28">
        <v>3119</v>
      </c>
      <c r="F26" s="28" t="s">
        <v>223</v>
      </c>
      <c r="G26" s="28">
        <v>983913.50199999998</v>
      </c>
    </row>
    <row r="27" spans="2:7" ht="14" x14ac:dyDescent="0.15">
      <c r="B27" s="30">
        <v>2</v>
      </c>
      <c r="C27" s="28" t="s">
        <v>407</v>
      </c>
      <c r="D27" s="31"/>
      <c r="E27" s="28">
        <v>2382.61</v>
      </c>
      <c r="F27" s="28"/>
      <c r="G27" s="28">
        <v>476522</v>
      </c>
    </row>
    <row r="28" spans="2:7" ht="14" x14ac:dyDescent="0.15">
      <c r="B28" s="30">
        <v>3</v>
      </c>
      <c r="C28" s="28" t="s">
        <v>299</v>
      </c>
      <c r="D28" s="28" t="s">
        <v>402</v>
      </c>
      <c r="E28" s="28">
        <v>2</v>
      </c>
      <c r="F28" s="28" t="s">
        <v>247</v>
      </c>
      <c r="G28" s="28">
        <v>540362.34719999996</v>
      </c>
    </row>
    <row r="29" spans="2:7" ht="28" x14ac:dyDescent="0.15">
      <c r="B29" s="30">
        <v>4</v>
      </c>
      <c r="C29" s="28" t="s">
        <v>303</v>
      </c>
      <c r="D29" s="28" t="s">
        <v>418</v>
      </c>
      <c r="E29" s="28" t="s">
        <v>374</v>
      </c>
      <c r="F29" s="28"/>
      <c r="G29" s="28">
        <v>8000000</v>
      </c>
    </row>
    <row r="30" spans="2:7" x14ac:dyDescent="0.15">
      <c r="B30" s="497" t="s">
        <v>7</v>
      </c>
      <c r="C30" s="498"/>
      <c r="D30" s="498"/>
      <c r="E30" s="498"/>
      <c r="F30" s="498"/>
      <c r="G30" s="499"/>
    </row>
    <row r="31" spans="2:7" ht="14" x14ac:dyDescent="0.15">
      <c r="B31" s="28" t="s">
        <v>216</v>
      </c>
      <c r="C31" s="28" t="s">
        <v>372</v>
      </c>
      <c r="D31" s="28" t="s">
        <v>68</v>
      </c>
      <c r="E31" s="28" t="s">
        <v>202</v>
      </c>
      <c r="F31" s="28" t="s">
        <v>20</v>
      </c>
      <c r="G31" s="28" t="s">
        <v>229</v>
      </c>
    </row>
    <row r="32" spans="2:7" ht="28" x14ac:dyDescent="0.15">
      <c r="B32" s="500">
        <v>1</v>
      </c>
      <c r="C32" s="500" t="s">
        <v>239</v>
      </c>
      <c r="D32" s="28" t="s">
        <v>233</v>
      </c>
      <c r="E32" s="28">
        <v>732</v>
      </c>
      <c r="F32" s="28" t="s">
        <v>223</v>
      </c>
      <c r="G32" s="28">
        <v>1207800</v>
      </c>
    </row>
    <row r="33" spans="2:7" ht="14" x14ac:dyDescent="0.15">
      <c r="B33" s="501"/>
      <c r="C33" s="501"/>
      <c r="D33" s="28" t="s">
        <v>377</v>
      </c>
      <c r="E33" s="28">
        <v>240</v>
      </c>
      <c r="F33" s="28" t="s">
        <v>223</v>
      </c>
      <c r="G33" s="28">
        <v>343203</v>
      </c>
    </row>
    <row r="34" spans="2:7" ht="14" x14ac:dyDescent="0.15">
      <c r="B34" s="501"/>
      <c r="C34" s="501"/>
      <c r="D34" s="28" t="s">
        <v>234</v>
      </c>
      <c r="E34" s="28">
        <v>4</v>
      </c>
      <c r="F34" s="28" t="s">
        <v>238</v>
      </c>
      <c r="G34" s="28">
        <v>291600</v>
      </c>
    </row>
    <row r="35" spans="2:7" ht="14" x14ac:dyDescent="0.15">
      <c r="B35" s="501"/>
      <c r="C35" s="501"/>
      <c r="D35" s="28" t="s">
        <v>235</v>
      </c>
      <c r="E35" s="28">
        <v>4</v>
      </c>
      <c r="F35" s="28" t="s">
        <v>2</v>
      </c>
      <c r="G35" s="28">
        <v>333040</v>
      </c>
    </row>
    <row r="36" spans="2:7" ht="14" x14ac:dyDescent="0.15">
      <c r="B36" s="501"/>
      <c r="C36" s="501"/>
      <c r="D36" s="28" t="s">
        <v>378</v>
      </c>
      <c r="E36" s="28">
        <v>4</v>
      </c>
      <c r="F36" s="28" t="s">
        <v>2</v>
      </c>
      <c r="G36" s="28">
        <v>520720</v>
      </c>
    </row>
    <row r="37" spans="2:7" ht="14" x14ac:dyDescent="0.15">
      <c r="B37" s="501"/>
      <c r="C37" s="501"/>
      <c r="D37" s="28" t="s">
        <v>236</v>
      </c>
      <c r="E37" s="28">
        <v>4</v>
      </c>
      <c r="F37" s="28" t="s">
        <v>2</v>
      </c>
      <c r="G37" s="28">
        <v>1457600</v>
      </c>
    </row>
    <row r="38" spans="2:7" ht="14" x14ac:dyDescent="0.15">
      <c r="B38" s="501"/>
      <c r="C38" s="501"/>
      <c r="D38" s="28" t="s">
        <v>379</v>
      </c>
      <c r="E38" s="28">
        <v>4</v>
      </c>
      <c r="F38" s="28" t="s">
        <v>2</v>
      </c>
      <c r="G38" s="28">
        <v>125320</v>
      </c>
    </row>
    <row r="39" spans="2:7" ht="14" x14ac:dyDescent="0.15">
      <c r="B39" s="501"/>
      <c r="C39" s="501"/>
      <c r="D39" s="28" t="s">
        <v>237</v>
      </c>
      <c r="E39" s="28">
        <v>6</v>
      </c>
      <c r="F39" s="28" t="s">
        <v>238</v>
      </c>
      <c r="G39" s="28">
        <v>312600</v>
      </c>
    </row>
    <row r="40" spans="2:7" ht="14" x14ac:dyDescent="0.15">
      <c r="B40" s="501"/>
      <c r="C40" s="501"/>
      <c r="D40" s="28" t="s">
        <v>380</v>
      </c>
      <c r="E40" s="28">
        <v>6</v>
      </c>
      <c r="F40" s="28" t="s">
        <v>238</v>
      </c>
      <c r="G40" s="28">
        <v>156600</v>
      </c>
    </row>
    <row r="41" spans="2:7" ht="28" x14ac:dyDescent="0.15">
      <c r="B41" s="501"/>
      <c r="C41" s="501"/>
      <c r="D41" s="28" t="s">
        <v>408</v>
      </c>
      <c r="E41" s="28" t="s">
        <v>199</v>
      </c>
      <c r="F41" s="28"/>
      <c r="G41" s="28">
        <v>951700</v>
      </c>
    </row>
    <row r="42" spans="2:7" ht="28" x14ac:dyDescent="0.15">
      <c r="B42" s="502"/>
      <c r="C42" s="502"/>
      <c r="D42" s="27" t="s">
        <v>428</v>
      </c>
      <c r="E42" s="28"/>
      <c r="F42" s="28"/>
      <c r="G42" s="28">
        <v>75087</v>
      </c>
    </row>
    <row r="43" spans="2:7" ht="14" x14ac:dyDescent="0.15">
      <c r="B43" s="30">
        <v>2</v>
      </c>
      <c r="C43" s="28" t="s">
        <v>381</v>
      </c>
      <c r="D43" s="31"/>
      <c r="E43" s="28" t="s">
        <v>199</v>
      </c>
      <c r="F43" s="28"/>
      <c r="G43" s="28">
        <v>500000</v>
      </c>
    </row>
    <row r="44" spans="2:7" ht="14" x14ac:dyDescent="0.15">
      <c r="B44" s="30">
        <v>3</v>
      </c>
      <c r="C44" s="28" t="s">
        <v>299</v>
      </c>
      <c r="D44" s="28" t="s">
        <v>300</v>
      </c>
      <c r="E44" s="28">
        <v>4</v>
      </c>
      <c r="F44" s="28"/>
      <c r="G44" s="28">
        <v>817600</v>
      </c>
    </row>
    <row r="45" spans="2:7" ht="28" x14ac:dyDescent="0.15">
      <c r="B45" s="30">
        <v>4</v>
      </c>
      <c r="C45" s="28" t="s">
        <v>303</v>
      </c>
      <c r="D45" s="28" t="s">
        <v>418</v>
      </c>
      <c r="E45" s="28" t="s">
        <v>374</v>
      </c>
      <c r="F45" s="28"/>
      <c r="G45" s="28">
        <v>3500000</v>
      </c>
    </row>
    <row r="46" spans="2:7" x14ac:dyDescent="0.15">
      <c r="B46" s="497" t="s">
        <v>240</v>
      </c>
      <c r="C46" s="498"/>
      <c r="D46" s="498"/>
      <c r="E46" s="498"/>
      <c r="F46" s="498"/>
      <c r="G46" s="499"/>
    </row>
    <row r="47" spans="2:7" ht="14" x14ac:dyDescent="0.15">
      <c r="B47" s="28" t="s">
        <v>216</v>
      </c>
      <c r="C47" s="28" t="s">
        <v>372</v>
      </c>
      <c r="D47" s="28" t="s">
        <v>68</v>
      </c>
      <c r="E47" s="28" t="s">
        <v>202</v>
      </c>
      <c r="F47" s="28" t="s">
        <v>20</v>
      </c>
      <c r="G47" s="28" t="s">
        <v>229</v>
      </c>
    </row>
    <row r="48" spans="2:7" x14ac:dyDescent="0.15">
      <c r="B48" s="28"/>
      <c r="C48" s="28"/>
      <c r="D48" s="28"/>
      <c r="E48" s="28"/>
      <c r="F48" s="28"/>
      <c r="G48" s="32"/>
    </row>
    <row r="49" spans="2:7" ht="28" x14ac:dyDescent="0.15">
      <c r="B49" s="500">
        <v>1</v>
      </c>
      <c r="C49" s="500" t="s">
        <v>409</v>
      </c>
      <c r="D49" s="28" t="s">
        <v>233</v>
      </c>
      <c r="E49" s="28">
        <v>396</v>
      </c>
      <c r="F49" s="28" t="s">
        <v>223</v>
      </c>
      <c r="G49" s="28">
        <v>635963.32799999998</v>
      </c>
    </row>
    <row r="50" spans="2:7" ht="14" x14ac:dyDescent="0.15">
      <c r="B50" s="501"/>
      <c r="C50" s="501"/>
      <c r="D50" s="28" t="s">
        <v>377</v>
      </c>
      <c r="E50" s="28">
        <v>120</v>
      </c>
      <c r="F50" s="28" t="s">
        <v>223</v>
      </c>
      <c r="G50" s="28">
        <v>189274.8</v>
      </c>
    </row>
    <row r="51" spans="2:7" ht="14" x14ac:dyDescent="0.15">
      <c r="B51" s="502"/>
      <c r="C51" s="502"/>
      <c r="D51" s="28" t="s">
        <v>411</v>
      </c>
      <c r="E51" s="28">
        <v>516</v>
      </c>
      <c r="F51" s="28" t="s">
        <v>223</v>
      </c>
      <c r="G51" s="28">
        <v>61920</v>
      </c>
    </row>
    <row r="52" spans="2:7" ht="28" x14ac:dyDescent="0.15">
      <c r="B52" s="500">
        <v>2</v>
      </c>
      <c r="C52" s="500" t="s">
        <v>410</v>
      </c>
      <c r="D52" s="28" t="s">
        <v>233</v>
      </c>
      <c r="E52" s="28">
        <v>396</v>
      </c>
      <c r="F52" s="28" t="s">
        <v>223</v>
      </c>
      <c r="G52" s="28">
        <v>120116.7</v>
      </c>
    </row>
    <row r="53" spans="2:7" ht="14" x14ac:dyDescent="0.15">
      <c r="B53" s="501"/>
      <c r="C53" s="501"/>
      <c r="D53" s="28" t="s">
        <v>377</v>
      </c>
      <c r="E53" s="28">
        <v>120</v>
      </c>
      <c r="F53" s="28" t="s">
        <v>223</v>
      </c>
      <c r="G53" s="28">
        <v>9927</v>
      </c>
    </row>
    <row r="54" spans="2:7" ht="14" x14ac:dyDescent="0.15">
      <c r="B54" s="502"/>
      <c r="C54" s="502"/>
      <c r="D54" s="28" t="s">
        <v>411</v>
      </c>
      <c r="E54" s="28">
        <v>516</v>
      </c>
      <c r="F54" s="28" t="s">
        <v>223</v>
      </c>
      <c r="G54" s="28">
        <v>28457.4</v>
      </c>
    </row>
    <row r="55" spans="2:7" ht="14" x14ac:dyDescent="0.15">
      <c r="B55" s="30">
        <v>3</v>
      </c>
      <c r="C55" s="28" t="s">
        <v>381</v>
      </c>
      <c r="D55" s="31"/>
      <c r="E55" s="28">
        <v>516</v>
      </c>
      <c r="F55" s="28" t="s">
        <v>223</v>
      </c>
      <c r="G55" s="28">
        <v>129000</v>
      </c>
    </row>
    <row r="56" spans="2:7" ht="14" x14ac:dyDescent="0.15">
      <c r="B56" s="30">
        <v>4</v>
      </c>
      <c r="C56" s="28" t="s">
        <v>299</v>
      </c>
      <c r="D56" s="28"/>
      <c r="E56" s="28">
        <v>2</v>
      </c>
      <c r="F56" s="28"/>
      <c r="G56" s="28">
        <v>442788.32</v>
      </c>
    </row>
    <row r="57" spans="2:7" ht="28" x14ac:dyDescent="0.15">
      <c r="B57" s="30">
        <v>5</v>
      </c>
      <c r="C57" s="28" t="s">
        <v>303</v>
      </c>
      <c r="D57" s="28" t="s">
        <v>418</v>
      </c>
      <c r="E57" s="28" t="s">
        <v>374</v>
      </c>
      <c r="F57" s="28"/>
      <c r="G57" s="28">
        <v>2100000</v>
      </c>
    </row>
    <row r="58" spans="2:7" x14ac:dyDescent="0.15">
      <c r="B58" s="497" t="s">
        <v>413</v>
      </c>
      <c r="C58" s="499"/>
      <c r="D58" s="28"/>
      <c r="E58" s="28">
        <v>2</v>
      </c>
      <c r="F58" s="28"/>
      <c r="G58" s="28">
        <v>424434.4</v>
      </c>
    </row>
    <row r="59" spans="2:7" x14ac:dyDescent="0.15">
      <c r="B59" s="497" t="s">
        <v>412</v>
      </c>
      <c r="C59" s="499"/>
      <c r="D59" s="28"/>
      <c r="E59" s="28">
        <v>1</v>
      </c>
      <c r="F59" s="28"/>
      <c r="G59" s="28">
        <v>269573.2</v>
      </c>
    </row>
    <row r="60" spans="2:7" x14ac:dyDescent="0.15">
      <c r="B60" s="497" t="s">
        <v>242</v>
      </c>
      <c r="C60" s="498"/>
      <c r="D60" s="498"/>
      <c r="E60" s="498"/>
      <c r="F60" s="498"/>
      <c r="G60" s="499"/>
    </row>
    <row r="61" spans="2:7" ht="14" x14ac:dyDescent="0.15">
      <c r="B61" s="28" t="s">
        <v>216</v>
      </c>
      <c r="C61" s="28" t="s">
        <v>372</v>
      </c>
      <c r="D61" s="28" t="s">
        <v>68</v>
      </c>
      <c r="E61" s="28" t="s">
        <v>202</v>
      </c>
      <c r="F61" s="28" t="s">
        <v>20</v>
      </c>
      <c r="G61" s="28" t="s">
        <v>229</v>
      </c>
    </row>
    <row r="62" spans="2:7" ht="56" x14ac:dyDescent="0.15">
      <c r="B62" s="30">
        <v>1</v>
      </c>
      <c r="C62" s="28" t="s">
        <v>382</v>
      </c>
      <c r="D62" s="28" t="s">
        <v>383</v>
      </c>
      <c r="E62" s="28" t="s">
        <v>244</v>
      </c>
      <c r="F62" s="28" t="s">
        <v>243</v>
      </c>
      <c r="G62" s="28">
        <v>3809379.5347500001</v>
      </c>
    </row>
    <row r="63" spans="2:7" ht="56" x14ac:dyDescent="0.15">
      <c r="B63" s="30">
        <v>2</v>
      </c>
      <c r="C63" s="28" t="s">
        <v>382</v>
      </c>
      <c r="D63" s="28" t="s">
        <v>384</v>
      </c>
      <c r="E63" s="28" t="s">
        <v>244</v>
      </c>
      <c r="F63" s="28" t="s">
        <v>243</v>
      </c>
      <c r="G63" s="28">
        <v>10035145.978875</v>
      </c>
    </row>
    <row r="64" spans="2:7" ht="28" x14ac:dyDescent="0.15">
      <c r="B64" s="30">
        <v>3</v>
      </c>
      <c r="C64" s="28" t="s">
        <v>382</v>
      </c>
      <c r="D64" s="28" t="s">
        <v>246</v>
      </c>
      <c r="E64" s="28">
        <v>1</v>
      </c>
      <c r="F64" s="28" t="s">
        <v>247</v>
      </c>
      <c r="G64" s="28">
        <v>5708.0249999999996</v>
      </c>
    </row>
    <row r="65" spans="2:7" ht="42" x14ac:dyDescent="0.15">
      <c r="B65" s="30">
        <v>4</v>
      </c>
      <c r="C65" s="28" t="s">
        <v>422</v>
      </c>
      <c r="D65" s="28" t="s">
        <v>423</v>
      </c>
      <c r="E65" s="28">
        <v>3200</v>
      </c>
      <c r="F65" s="28" t="s">
        <v>424</v>
      </c>
      <c r="G65" s="28">
        <v>28800000</v>
      </c>
    </row>
    <row r="66" spans="2:7" ht="14" x14ac:dyDescent="0.15">
      <c r="B66" s="30">
        <v>5</v>
      </c>
      <c r="C66" s="28" t="s">
        <v>419</v>
      </c>
      <c r="D66" s="28" t="s">
        <v>420</v>
      </c>
      <c r="E66" s="28">
        <v>4500</v>
      </c>
      <c r="F66" s="28" t="s">
        <v>247</v>
      </c>
      <c r="G66" s="28">
        <v>9450000</v>
      </c>
    </row>
    <row r="67" spans="2:7" ht="14" x14ac:dyDescent="0.15">
      <c r="B67" s="30">
        <v>6</v>
      </c>
      <c r="C67" s="28" t="s">
        <v>248</v>
      </c>
      <c r="D67" s="28" t="s">
        <v>421</v>
      </c>
      <c r="E67" s="28">
        <v>20000</v>
      </c>
      <c r="F67" s="28" t="s">
        <v>247</v>
      </c>
      <c r="G67" s="28">
        <v>6000000</v>
      </c>
    </row>
    <row r="68" spans="2:7" x14ac:dyDescent="0.15">
      <c r="B68" s="497" t="s">
        <v>249</v>
      </c>
      <c r="C68" s="498"/>
      <c r="D68" s="498"/>
      <c r="E68" s="498"/>
      <c r="F68" s="498"/>
      <c r="G68" s="499"/>
    </row>
    <row r="69" spans="2:7" ht="14" x14ac:dyDescent="0.15">
      <c r="B69" s="28" t="s">
        <v>216</v>
      </c>
      <c r="C69" s="28" t="s">
        <v>372</v>
      </c>
      <c r="D69" s="28" t="s">
        <v>68</v>
      </c>
      <c r="E69" s="28" t="s">
        <v>202</v>
      </c>
      <c r="F69" s="28" t="s">
        <v>20</v>
      </c>
      <c r="G69" s="28" t="s">
        <v>229</v>
      </c>
    </row>
    <row r="70" spans="2:7" ht="28" x14ac:dyDescent="0.15">
      <c r="B70" s="501"/>
      <c r="C70" s="501"/>
      <c r="D70" s="28" t="s">
        <v>296</v>
      </c>
      <c r="E70" s="28">
        <v>1</v>
      </c>
      <c r="F70" s="28" t="s">
        <v>247</v>
      </c>
      <c r="G70" s="28">
        <v>830000</v>
      </c>
    </row>
    <row r="71" spans="2:7" ht="28" x14ac:dyDescent="0.15">
      <c r="B71" s="501"/>
      <c r="C71" s="501"/>
      <c r="D71" s="28" t="s">
        <v>250</v>
      </c>
      <c r="E71" s="28">
        <v>1</v>
      </c>
      <c r="F71" s="28" t="s">
        <v>297</v>
      </c>
      <c r="G71" s="28">
        <v>293000</v>
      </c>
    </row>
    <row r="72" spans="2:7" ht="28" x14ac:dyDescent="0.15">
      <c r="B72" s="501"/>
      <c r="C72" s="501"/>
      <c r="D72" s="28" t="s">
        <v>386</v>
      </c>
      <c r="E72" s="28">
        <v>1</v>
      </c>
      <c r="F72" s="28" t="s">
        <v>297</v>
      </c>
      <c r="G72" s="28">
        <v>81000</v>
      </c>
    </row>
    <row r="73" spans="2:7" ht="28" x14ac:dyDescent="0.15">
      <c r="B73" s="501"/>
      <c r="C73" s="501"/>
      <c r="D73" s="28" t="s">
        <v>251</v>
      </c>
      <c r="E73" s="28">
        <v>1</v>
      </c>
      <c r="F73" s="28" t="s">
        <v>247</v>
      </c>
      <c r="G73" s="28">
        <v>3500</v>
      </c>
    </row>
    <row r="74" spans="2:7" ht="14" x14ac:dyDescent="0.15">
      <c r="B74" s="501"/>
      <c r="C74" s="501"/>
      <c r="D74" s="28" t="s">
        <v>252</v>
      </c>
      <c r="E74" s="28">
        <v>1</v>
      </c>
      <c r="F74" s="28" t="s">
        <v>247</v>
      </c>
      <c r="G74" s="28">
        <v>2000</v>
      </c>
    </row>
    <row r="75" spans="2:7" ht="14" x14ac:dyDescent="0.15">
      <c r="B75" s="501"/>
      <c r="C75" s="501"/>
      <c r="D75" s="28" t="s">
        <v>253</v>
      </c>
      <c r="E75" s="28">
        <v>1</v>
      </c>
      <c r="F75" s="28" t="s">
        <v>247</v>
      </c>
      <c r="G75" s="28">
        <v>15250</v>
      </c>
    </row>
    <row r="76" spans="2:7" ht="14" x14ac:dyDescent="0.15">
      <c r="B76" s="502"/>
      <c r="C76" s="502"/>
      <c r="D76" s="28" t="s">
        <v>254</v>
      </c>
      <c r="E76" s="28">
        <v>1</v>
      </c>
      <c r="F76" s="28" t="s">
        <v>247</v>
      </c>
      <c r="G76" s="28">
        <v>219000</v>
      </c>
    </row>
    <row r="77" spans="2:7" ht="14" x14ac:dyDescent="0.15">
      <c r="B77" s="29"/>
      <c r="C77" s="29"/>
      <c r="D77" s="28" t="s">
        <v>256</v>
      </c>
      <c r="E77" s="28">
        <v>1</v>
      </c>
      <c r="F77" s="28" t="s">
        <v>247</v>
      </c>
      <c r="G77" s="28">
        <v>607500</v>
      </c>
    </row>
    <row r="78" spans="2:7" ht="56" x14ac:dyDescent="0.15">
      <c r="B78" s="501"/>
      <c r="C78" s="501"/>
      <c r="D78" s="28" t="s">
        <v>387</v>
      </c>
      <c r="E78" s="28">
        <v>2</v>
      </c>
      <c r="F78" s="28" t="s">
        <v>247</v>
      </c>
      <c r="G78" s="28">
        <v>43400</v>
      </c>
    </row>
    <row r="79" spans="2:7" ht="56" x14ac:dyDescent="0.15">
      <c r="B79" s="501"/>
      <c r="C79" s="501"/>
      <c r="D79" s="28" t="s">
        <v>388</v>
      </c>
      <c r="E79" s="28">
        <v>6</v>
      </c>
      <c r="F79" s="28" t="s">
        <v>247</v>
      </c>
      <c r="G79" s="28">
        <v>19200</v>
      </c>
    </row>
    <row r="80" spans="2:7" ht="42" x14ac:dyDescent="0.15">
      <c r="B80" s="501"/>
      <c r="C80" s="501"/>
      <c r="D80" s="28" t="s">
        <v>258</v>
      </c>
      <c r="E80" s="28">
        <v>3</v>
      </c>
      <c r="F80" s="28" t="s">
        <v>247</v>
      </c>
      <c r="G80" s="28">
        <v>31050</v>
      </c>
    </row>
    <row r="81" spans="2:7" ht="28" x14ac:dyDescent="0.15">
      <c r="B81" s="501"/>
      <c r="C81" s="501"/>
      <c r="D81" s="28" t="s">
        <v>259</v>
      </c>
      <c r="E81" s="28">
        <v>1</v>
      </c>
      <c r="F81" s="28" t="s">
        <v>247</v>
      </c>
      <c r="G81" s="28">
        <v>251000</v>
      </c>
    </row>
    <row r="82" spans="2:7" ht="14" x14ac:dyDescent="0.15">
      <c r="B82" s="502"/>
      <c r="C82" s="502"/>
      <c r="D82" s="28" t="s">
        <v>260</v>
      </c>
      <c r="E82" s="28">
        <v>1</v>
      </c>
      <c r="F82" s="28" t="s">
        <v>247</v>
      </c>
      <c r="G82" s="28">
        <v>2500</v>
      </c>
    </row>
    <row r="83" spans="2:7" ht="28" x14ac:dyDescent="0.15">
      <c r="B83" s="501"/>
      <c r="C83" s="501"/>
      <c r="D83" s="28" t="s">
        <v>262</v>
      </c>
      <c r="E83" s="28">
        <v>160</v>
      </c>
      <c r="F83" s="28" t="s">
        <v>389</v>
      </c>
      <c r="G83" s="28">
        <v>201600</v>
      </c>
    </row>
    <row r="84" spans="2:7" ht="28" x14ac:dyDescent="0.15">
      <c r="B84" s="501"/>
      <c r="C84" s="501"/>
      <c r="D84" s="28" t="s">
        <v>263</v>
      </c>
      <c r="E84" s="28">
        <v>250</v>
      </c>
      <c r="F84" s="28" t="s">
        <v>389</v>
      </c>
      <c r="G84" s="28">
        <v>292000</v>
      </c>
    </row>
    <row r="85" spans="2:7" ht="28" x14ac:dyDescent="0.15">
      <c r="B85" s="501"/>
      <c r="C85" s="501"/>
      <c r="D85" s="28" t="s">
        <v>264</v>
      </c>
      <c r="E85" s="28">
        <v>180</v>
      </c>
      <c r="F85" s="28" t="s">
        <v>389</v>
      </c>
      <c r="G85" s="28">
        <v>124920</v>
      </c>
    </row>
    <row r="86" spans="2:7" ht="42" x14ac:dyDescent="0.15">
      <c r="B86" s="501"/>
      <c r="C86" s="501"/>
      <c r="D86" s="28" t="s">
        <v>265</v>
      </c>
      <c r="E86" s="28">
        <v>380</v>
      </c>
      <c r="F86" s="28" t="s">
        <v>389</v>
      </c>
      <c r="G86" s="28">
        <v>238260</v>
      </c>
    </row>
    <row r="87" spans="2:7" ht="42" x14ac:dyDescent="0.15">
      <c r="B87" s="501"/>
      <c r="C87" s="501"/>
      <c r="D87" s="28" t="s">
        <v>266</v>
      </c>
      <c r="E87" s="28">
        <v>225</v>
      </c>
      <c r="F87" s="28" t="s">
        <v>389</v>
      </c>
      <c r="G87" s="28">
        <v>45675</v>
      </c>
    </row>
    <row r="88" spans="2:7" ht="56" x14ac:dyDescent="0.15">
      <c r="B88" s="501"/>
      <c r="C88" s="501"/>
      <c r="D88" s="28" t="s">
        <v>390</v>
      </c>
      <c r="E88" s="28">
        <v>1200</v>
      </c>
      <c r="F88" s="28" t="s">
        <v>389</v>
      </c>
      <c r="G88" s="28">
        <v>444000</v>
      </c>
    </row>
    <row r="89" spans="2:7" ht="28" x14ac:dyDescent="0.15">
      <c r="B89" s="501"/>
      <c r="C89" s="501"/>
      <c r="D89" s="28" t="s">
        <v>267</v>
      </c>
      <c r="E89" s="28">
        <v>350</v>
      </c>
      <c r="F89" s="28" t="s">
        <v>389</v>
      </c>
      <c r="G89" s="28">
        <v>52850</v>
      </c>
    </row>
    <row r="90" spans="2:7" ht="28" x14ac:dyDescent="0.15">
      <c r="B90" s="501"/>
      <c r="C90" s="501"/>
      <c r="D90" s="28" t="s">
        <v>268</v>
      </c>
      <c r="E90" s="28">
        <v>25</v>
      </c>
      <c r="F90" s="28" t="s">
        <v>389</v>
      </c>
      <c r="G90" s="28">
        <v>6275</v>
      </c>
    </row>
    <row r="91" spans="2:7" ht="14" x14ac:dyDescent="0.15">
      <c r="B91" s="501"/>
      <c r="C91" s="501"/>
      <c r="D91" s="28" t="s">
        <v>269</v>
      </c>
      <c r="E91" s="28">
        <v>850</v>
      </c>
      <c r="F91" s="28" t="s">
        <v>389</v>
      </c>
      <c r="G91" s="28">
        <v>85850</v>
      </c>
    </row>
    <row r="92" spans="2:7" ht="28" x14ac:dyDescent="0.15">
      <c r="B92" s="502"/>
      <c r="C92" s="502"/>
      <c r="D92" s="28" t="s">
        <v>270</v>
      </c>
      <c r="E92" s="28">
        <v>750</v>
      </c>
      <c r="F92" s="28" t="s">
        <v>389</v>
      </c>
      <c r="G92" s="28">
        <v>56250</v>
      </c>
    </row>
    <row r="93" spans="2:7" ht="25.5" customHeight="1" x14ac:dyDescent="0.15">
      <c r="B93" s="500">
        <v>5</v>
      </c>
      <c r="C93" s="500" t="s">
        <v>271</v>
      </c>
      <c r="D93" s="28" t="s">
        <v>272</v>
      </c>
      <c r="E93" s="28">
        <v>3</v>
      </c>
      <c r="F93" s="28" t="s">
        <v>247</v>
      </c>
      <c r="G93" s="28">
        <v>59700</v>
      </c>
    </row>
    <row r="94" spans="2:7" ht="28" x14ac:dyDescent="0.15">
      <c r="B94" s="501"/>
      <c r="C94" s="501"/>
      <c r="D94" s="28" t="s">
        <v>273</v>
      </c>
      <c r="E94" s="28">
        <v>3</v>
      </c>
      <c r="F94" s="28" t="s">
        <v>247</v>
      </c>
      <c r="G94" s="28">
        <v>42000</v>
      </c>
    </row>
    <row r="95" spans="2:7" ht="14" x14ac:dyDescent="0.15">
      <c r="B95" s="501"/>
      <c r="C95" s="501"/>
      <c r="D95" s="28" t="s">
        <v>274</v>
      </c>
      <c r="E95" s="28">
        <v>6</v>
      </c>
      <c r="F95" s="28" t="s">
        <v>247</v>
      </c>
      <c r="G95" s="28">
        <v>9390</v>
      </c>
    </row>
    <row r="96" spans="2:7" ht="14" x14ac:dyDescent="0.15">
      <c r="B96" s="501"/>
      <c r="C96" s="501"/>
      <c r="D96" s="28" t="s">
        <v>275</v>
      </c>
      <c r="E96" s="28">
        <v>8</v>
      </c>
      <c r="F96" s="28" t="s">
        <v>247</v>
      </c>
      <c r="G96" s="28">
        <v>9120</v>
      </c>
    </row>
    <row r="97" spans="2:7" ht="14" x14ac:dyDescent="0.15">
      <c r="B97" s="501"/>
      <c r="C97" s="501"/>
      <c r="D97" s="28" t="s">
        <v>276</v>
      </c>
      <c r="E97" s="28">
        <v>10</v>
      </c>
      <c r="F97" s="28" t="s">
        <v>247</v>
      </c>
      <c r="G97" s="28">
        <v>8250</v>
      </c>
    </row>
    <row r="98" spans="2:7" ht="14" x14ac:dyDescent="0.15">
      <c r="B98" s="501"/>
      <c r="C98" s="501"/>
      <c r="D98" s="28" t="s">
        <v>277</v>
      </c>
      <c r="E98" s="28">
        <v>8</v>
      </c>
      <c r="F98" s="28" t="s">
        <v>247</v>
      </c>
      <c r="G98" s="28">
        <v>2400</v>
      </c>
    </row>
    <row r="99" spans="2:7" ht="14" x14ac:dyDescent="0.15">
      <c r="B99" s="501"/>
      <c r="C99" s="501"/>
      <c r="D99" s="28" t="s">
        <v>278</v>
      </c>
      <c r="E99" s="28">
        <v>60</v>
      </c>
      <c r="F99" s="28" t="s">
        <v>247</v>
      </c>
      <c r="G99" s="28">
        <v>16200</v>
      </c>
    </row>
    <row r="100" spans="2:7" ht="14" x14ac:dyDescent="0.15">
      <c r="B100" s="501"/>
      <c r="C100" s="501"/>
      <c r="D100" s="28" t="s">
        <v>279</v>
      </c>
      <c r="E100" s="28">
        <v>16</v>
      </c>
      <c r="F100" s="28" t="s">
        <v>247</v>
      </c>
      <c r="G100" s="28">
        <v>1920</v>
      </c>
    </row>
    <row r="101" spans="2:7" ht="14" x14ac:dyDescent="0.15">
      <c r="B101" s="501"/>
      <c r="C101" s="501"/>
      <c r="D101" s="28" t="s">
        <v>280</v>
      </c>
      <c r="E101" s="28">
        <v>2</v>
      </c>
      <c r="F101" s="28" t="s">
        <v>247</v>
      </c>
      <c r="G101" s="28">
        <v>380</v>
      </c>
    </row>
    <row r="102" spans="2:7" ht="14" x14ac:dyDescent="0.15">
      <c r="B102" s="501"/>
      <c r="C102" s="501"/>
      <c r="D102" s="28" t="s">
        <v>281</v>
      </c>
      <c r="E102" s="28">
        <v>60</v>
      </c>
      <c r="F102" s="28" t="s">
        <v>247</v>
      </c>
      <c r="G102" s="28">
        <v>6300</v>
      </c>
    </row>
    <row r="103" spans="2:7" ht="42" x14ac:dyDescent="0.15">
      <c r="B103" s="500">
        <v>6</v>
      </c>
      <c r="C103" s="500" t="s">
        <v>282</v>
      </c>
      <c r="D103" s="28" t="s">
        <v>283</v>
      </c>
      <c r="E103" s="28">
        <v>18</v>
      </c>
      <c r="F103" s="28" t="s">
        <v>247</v>
      </c>
      <c r="G103" s="28">
        <v>78300</v>
      </c>
    </row>
    <row r="104" spans="2:7" ht="28" x14ac:dyDescent="0.15">
      <c r="B104" s="501"/>
      <c r="C104" s="501"/>
      <c r="D104" s="28" t="s">
        <v>284</v>
      </c>
      <c r="E104" s="28">
        <v>75</v>
      </c>
      <c r="F104" s="28" t="s">
        <v>247</v>
      </c>
      <c r="G104" s="28">
        <v>51750</v>
      </c>
    </row>
    <row r="105" spans="2:7" ht="42" x14ac:dyDescent="0.15">
      <c r="B105" s="501"/>
      <c r="C105" s="501"/>
      <c r="D105" s="28" t="s">
        <v>285</v>
      </c>
      <c r="E105" s="28">
        <v>650</v>
      </c>
      <c r="F105" s="28" t="s">
        <v>247</v>
      </c>
      <c r="G105" s="28">
        <v>254800</v>
      </c>
    </row>
    <row r="106" spans="2:7" ht="14" x14ac:dyDescent="0.15">
      <c r="B106" s="501"/>
      <c r="C106" s="501"/>
      <c r="D106" s="28" t="s">
        <v>286</v>
      </c>
      <c r="E106" s="28">
        <v>300</v>
      </c>
      <c r="F106" s="28" t="s">
        <v>247</v>
      </c>
      <c r="G106" s="28">
        <v>19200</v>
      </c>
    </row>
    <row r="107" spans="2:7" ht="14" x14ac:dyDescent="0.15">
      <c r="B107" s="501"/>
      <c r="C107" s="501"/>
      <c r="D107" s="28" t="s">
        <v>287</v>
      </c>
      <c r="E107" s="28">
        <v>200</v>
      </c>
      <c r="F107" s="28" t="s">
        <v>247</v>
      </c>
      <c r="G107" s="28">
        <v>10400</v>
      </c>
    </row>
    <row r="108" spans="2:7" ht="14" x14ac:dyDescent="0.15">
      <c r="B108" s="501"/>
      <c r="C108" s="501"/>
      <c r="D108" s="28" t="s">
        <v>288</v>
      </c>
      <c r="E108" s="28">
        <v>25</v>
      </c>
      <c r="F108" s="28" t="s">
        <v>247</v>
      </c>
      <c r="G108" s="28">
        <v>750</v>
      </c>
    </row>
    <row r="109" spans="2:7" ht="42" x14ac:dyDescent="0.15">
      <c r="B109" s="502"/>
      <c r="C109" s="502"/>
      <c r="D109" s="28" t="s">
        <v>391</v>
      </c>
      <c r="E109" s="28">
        <v>5</v>
      </c>
      <c r="F109" s="28" t="s">
        <v>247</v>
      </c>
      <c r="G109" s="28">
        <v>2125</v>
      </c>
    </row>
    <row r="110" spans="2:7" ht="28" x14ac:dyDescent="0.15">
      <c r="B110" s="500">
        <v>7</v>
      </c>
      <c r="C110" s="500" t="s">
        <v>392</v>
      </c>
      <c r="D110" s="28" t="s">
        <v>289</v>
      </c>
      <c r="E110" s="28">
        <v>6</v>
      </c>
      <c r="F110" s="28" t="s">
        <v>247</v>
      </c>
      <c r="G110" s="28">
        <v>70500</v>
      </c>
    </row>
    <row r="111" spans="2:7" ht="28" x14ac:dyDescent="0.15">
      <c r="B111" s="501"/>
      <c r="C111" s="501"/>
      <c r="D111" s="28" t="s">
        <v>290</v>
      </c>
      <c r="E111" s="28">
        <v>9</v>
      </c>
      <c r="F111" s="28" t="s">
        <v>247</v>
      </c>
      <c r="G111" s="28">
        <v>46800</v>
      </c>
    </row>
    <row r="112" spans="2:7" ht="28" x14ac:dyDescent="0.15">
      <c r="B112" s="501"/>
      <c r="C112" s="501"/>
      <c r="D112" s="28" t="s">
        <v>291</v>
      </c>
      <c r="E112" s="28">
        <v>3</v>
      </c>
      <c r="F112" s="28" t="s">
        <v>247</v>
      </c>
      <c r="G112" s="28">
        <v>5550</v>
      </c>
    </row>
    <row r="113" spans="2:7" ht="42" x14ac:dyDescent="0.15">
      <c r="B113" s="501"/>
      <c r="C113" s="501"/>
      <c r="D113" s="28" t="s">
        <v>292</v>
      </c>
      <c r="E113" s="28">
        <v>17</v>
      </c>
      <c r="F113" s="28" t="s">
        <v>247</v>
      </c>
      <c r="G113" s="28">
        <v>77350</v>
      </c>
    </row>
    <row r="114" spans="2:7" ht="28" x14ac:dyDescent="0.15">
      <c r="B114" s="501"/>
      <c r="C114" s="501"/>
      <c r="D114" s="28" t="s">
        <v>293</v>
      </c>
      <c r="E114" s="28">
        <v>5</v>
      </c>
      <c r="F114" s="28" t="s">
        <v>247</v>
      </c>
      <c r="G114" s="28">
        <v>53000</v>
      </c>
    </row>
    <row r="115" spans="2:7" ht="28" x14ac:dyDescent="0.15">
      <c r="B115" s="501"/>
      <c r="C115" s="501"/>
      <c r="D115" s="28" t="s">
        <v>294</v>
      </c>
      <c r="E115" s="28">
        <v>7</v>
      </c>
      <c r="F115" s="28" t="s">
        <v>247</v>
      </c>
      <c r="G115" s="28">
        <v>37450</v>
      </c>
    </row>
    <row r="116" spans="2:7" ht="14" x14ac:dyDescent="0.15">
      <c r="B116" s="502"/>
      <c r="C116" s="502"/>
      <c r="D116" s="28" t="s">
        <v>295</v>
      </c>
      <c r="E116" s="28">
        <v>25</v>
      </c>
      <c r="F116" s="28" t="s">
        <v>247</v>
      </c>
      <c r="G116" s="28">
        <v>101250</v>
      </c>
    </row>
    <row r="117" spans="2:7" ht="70" x14ac:dyDescent="0.15">
      <c r="B117" s="500">
        <v>8</v>
      </c>
      <c r="C117" s="500" t="s">
        <v>393</v>
      </c>
      <c r="D117" s="28" t="s">
        <v>394</v>
      </c>
      <c r="E117" s="28" t="s">
        <v>199</v>
      </c>
      <c r="F117" s="28"/>
      <c r="G117" s="28">
        <v>35000</v>
      </c>
    </row>
    <row r="118" spans="2:7" ht="42" x14ac:dyDescent="0.15">
      <c r="B118" s="501"/>
      <c r="C118" s="501"/>
      <c r="D118" s="28" t="s">
        <v>395</v>
      </c>
      <c r="E118" s="28" t="s">
        <v>199</v>
      </c>
      <c r="F118" s="28" t="s">
        <v>245</v>
      </c>
      <c r="G118" s="28">
        <v>25000</v>
      </c>
    </row>
    <row r="119" spans="2:7" ht="56" x14ac:dyDescent="0.15">
      <c r="B119" s="502"/>
      <c r="C119" s="502"/>
      <c r="D119" s="28" t="s">
        <v>396</v>
      </c>
      <c r="E119" s="28" t="s">
        <v>199</v>
      </c>
      <c r="F119" s="28" t="s">
        <v>245</v>
      </c>
      <c r="G119" s="28">
        <v>25000</v>
      </c>
    </row>
    <row r="120" spans="2:7" ht="14" x14ac:dyDescent="0.15">
      <c r="B120" s="30">
        <v>9</v>
      </c>
      <c r="C120" s="28" t="s">
        <v>304</v>
      </c>
      <c r="D120" s="28" t="s">
        <v>305</v>
      </c>
      <c r="E120" s="28">
        <v>2</v>
      </c>
      <c r="F120" s="28" t="s">
        <v>247</v>
      </c>
      <c r="G120" s="28">
        <v>1680000</v>
      </c>
    </row>
    <row r="121" spans="2:7" x14ac:dyDescent="0.15">
      <c r="B121" s="497" t="s">
        <v>306</v>
      </c>
      <c r="C121" s="498"/>
      <c r="D121" s="498"/>
      <c r="E121" s="498"/>
      <c r="F121" s="498"/>
      <c r="G121" s="499"/>
    </row>
    <row r="122" spans="2:7" ht="14" x14ac:dyDescent="0.15">
      <c r="B122" s="28" t="s">
        <v>216</v>
      </c>
      <c r="C122" s="28" t="s">
        <v>372</v>
      </c>
      <c r="D122" s="28" t="s">
        <v>68</v>
      </c>
      <c r="E122" s="28" t="s">
        <v>202</v>
      </c>
      <c r="F122" s="28" t="s">
        <v>20</v>
      </c>
      <c r="G122" s="28" t="s">
        <v>229</v>
      </c>
    </row>
    <row r="123" spans="2:7" ht="14" x14ac:dyDescent="0.15">
      <c r="B123" s="30">
        <v>1</v>
      </c>
      <c r="C123" s="28" t="s">
        <v>308</v>
      </c>
      <c r="D123" s="28"/>
      <c r="E123" s="28">
        <v>2</v>
      </c>
      <c r="F123" s="28" t="s">
        <v>247</v>
      </c>
      <c r="G123" s="28">
        <v>1200000</v>
      </c>
    </row>
    <row r="124" spans="2:7" ht="14" x14ac:dyDescent="0.15">
      <c r="B124" s="30">
        <v>2</v>
      </c>
      <c r="C124" s="28" t="s">
        <v>309</v>
      </c>
      <c r="D124" s="28"/>
      <c r="E124" s="28">
        <v>6</v>
      </c>
      <c r="F124" s="28" t="s">
        <v>247</v>
      </c>
      <c r="G124" s="28">
        <v>174000</v>
      </c>
    </row>
    <row r="125" spans="2:7" x14ac:dyDescent="0.15">
      <c r="B125" s="497" t="s">
        <v>307</v>
      </c>
      <c r="C125" s="498"/>
      <c r="D125" s="498"/>
      <c r="E125" s="498"/>
      <c r="F125" s="498"/>
      <c r="G125" s="499"/>
    </row>
    <row r="126" spans="2:7" ht="14" x14ac:dyDescent="0.15">
      <c r="B126" s="28" t="s">
        <v>216</v>
      </c>
      <c r="C126" s="28" t="s">
        <v>372</v>
      </c>
      <c r="D126" s="28" t="s">
        <v>68</v>
      </c>
      <c r="E126" s="28" t="s">
        <v>202</v>
      </c>
      <c r="F126" s="28" t="s">
        <v>20</v>
      </c>
      <c r="G126" s="28" t="s">
        <v>229</v>
      </c>
    </row>
    <row r="127" spans="2:7" ht="14" x14ac:dyDescent="0.15">
      <c r="B127" s="30">
        <v>1</v>
      </c>
      <c r="C127" s="28" t="s">
        <v>312</v>
      </c>
      <c r="D127" s="28" t="s">
        <v>311</v>
      </c>
      <c r="E127" s="28">
        <v>2</v>
      </c>
      <c r="F127" s="28" t="s">
        <v>247</v>
      </c>
      <c r="G127" s="28">
        <v>2288470.5</v>
      </c>
    </row>
    <row r="128" spans="2:7" ht="28" x14ac:dyDescent="0.15">
      <c r="B128" s="30">
        <v>1</v>
      </c>
      <c r="C128" s="28" t="s">
        <v>397</v>
      </c>
      <c r="D128" s="28" t="s">
        <v>398</v>
      </c>
      <c r="E128" s="28">
        <v>2</v>
      </c>
      <c r="F128" s="28" t="s">
        <v>247</v>
      </c>
      <c r="G128" s="28">
        <v>1068750</v>
      </c>
    </row>
    <row r="129" spans="2:7" x14ac:dyDescent="0.15">
      <c r="B129" s="497" t="s">
        <v>313</v>
      </c>
      <c r="C129" s="498"/>
      <c r="D129" s="498"/>
      <c r="E129" s="498"/>
      <c r="F129" s="498"/>
      <c r="G129" s="499"/>
    </row>
    <row r="130" spans="2:7" ht="14" x14ac:dyDescent="0.15">
      <c r="B130" s="28" t="s">
        <v>216</v>
      </c>
      <c r="C130" s="28" t="s">
        <v>372</v>
      </c>
      <c r="D130" s="28" t="s">
        <v>68</v>
      </c>
      <c r="E130" s="28" t="s">
        <v>202</v>
      </c>
      <c r="F130" s="28" t="s">
        <v>20</v>
      </c>
      <c r="G130" s="28" t="s">
        <v>229</v>
      </c>
    </row>
    <row r="131" spans="2:7" ht="14" x14ac:dyDescent="0.15">
      <c r="B131" s="30">
        <v>1</v>
      </c>
      <c r="C131" s="28" t="s">
        <v>310</v>
      </c>
      <c r="D131" s="28" t="s">
        <v>314</v>
      </c>
      <c r="E131" s="28">
        <v>1</v>
      </c>
      <c r="F131" s="28" t="s">
        <v>247</v>
      </c>
      <c r="G131" s="28">
        <v>1350072</v>
      </c>
    </row>
    <row r="132" spans="2:7" ht="14" x14ac:dyDescent="0.15">
      <c r="B132" s="30">
        <v>2</v>
      </c>
      <c r="C132" s="28" t="s">
        <v>315</v>
      </c>
      <c r="D132" s="28" t="s">
        <v>316</v>
      </c>
      <c r="E132" s="28">
        <v>4</v>
      </c>
      <c r="F132" s="28" t="s">
        <v>247</v>
      </c>
      <c r="G132" s="28">
        <v>555912</v>
      </c>
    </row>
    <row r="133" spans="2:7" x14ac:dyDescent="0.15">
      <c r="B133" s="497" t="s">
        <v>317</v>
      </c>
      <c r="C133" s="498"/>
      <c r="D133" s="498"/>
      <c r="E133" s="498"/>
      <c r="F133" s="498"/>
      <c r="G133" s="499"/>
    </row>
    <row r="134" spans="2:7" ht="14" x14ac:dyDescent="0.15">
      <c r="B134" s="28" t="s">
        <v>216</v>
      </c>
      <c r="C134" s="28" t="s">
        <v>372</v>
      </c>
      <c r="D134" s="28" t="s">
        <v>68</v>
      </c>
      <c r="E134" s="28" t="s">
        <v>202</v>
      </c>
      <c r="F134" s="28" t="s">
        <v>20</v>
      </c>
      <c r="G134" s="28" t="s">
        <v>229</v>
      </c>
    </row>
    <row r="135" spans="2:7" ht="14" x14ac:dyDescent="0.15">
      <c r="B135" s="30">
        <v>1</v>
      </c>
      <c r="C135" s="28" t="s">
        <v>318</v>
      </c>
      <c r="D135" s="28" t="s">
        <v>399</v>
      </c>
      <c r="E135" s="28">
        <v>1</v>
      </c>
      <c r="F135" s="28" t="s">
        <v>247</v>
      </c>
      <c r="G135" s="28">
        <v>1000000</v>
      </c>
    </row>
    <row r="136" spans="2:7" x14ac:dyDescent="0.15">
      <c r="B136" s="497" t="s">
        <v>301</v>
      </c>
      <c r="C136" s="498"/>
      <c r="D136" s="498"/>
      <c r="E136" s="498"/>
      <c r="F136" s="498"/>
      <c r="G136" s="499"/>
    </row>
    <row r="137" spans="2:7" x14ac:dyDescent="0.15">
      <c r="B137" s="497" t="s">
        <v>414</v>
      </c>
      <c r="C137" s="498"/>
      <c r="D137" s="498"/>
      <c r="E137" s="498"/>
      <c r="F137" s="498"/>
      <c r="G137" s="499"/>
    </row>
    <row r="138" spans="2:7" x14ac:dyDescent="0.15">
      <c r="B138" s="497" t="s">
        <v>240</v>
      </c>
      <c r="C138" s="498"/>
      <c r="D138" s="498"/>
      <c r="E138" s="498"/>
      <c r="F138" s="498"/>
      <c r="G138" s="499"/>
    </row>
    <row r="139" spans="2:7" ht="14" x14ac:dyDescent="0.15">
      <c r="B139" s="28" t="s">
        <v>216</v>
      </c>
      <c r="C139" s="28" t="s">
        <v>372</v>
      </c>
      <c r="D139" s="28" t="s">
        <v>68</v>
      </c>
      <c r="E139" s="28" t="s">
        <v>202</v>
      </c>
      <c r="F139" s="28" t="s">
        <v>20</v>
      </c>
      <c r="G139" s="28" t="s">
        <v>229</v>
      </c>
    </row>
    <row r="140" spans="2:7" ht="28" x14ac:dyDescent="0.15">
      <c r="B140" s="500">
        <v>1</v>
      </c>
      <c r="C140" s="500" t="s">
        <v>409</v>
      </c>
      <c r="D140" s="28" t="s">
        <v>233</v>
      </c>
      <c r="E140" s="28">
        <v>396</v>
      </c>
      <c r="F140" s="28" t="s">
        <v>223</v>
      </c>
      <c r="G140" s="28">
        <v>635963.32799999998</v>
      </c>
    </row>
    <row r="141" spans="2:7" ht="14" x14ac:dyDescent="0.15">
      <c r="B141" s="501"/>
      <c r="C141" s="501"/>
      <c r="D141" s="28" t="s">
        <v>377</v>
      </c>
      <c r="E141" s="28">
        <v>120</v>
      </c>
      <c r="F141" s="28" t="s">
        <v>223</v>
      </c>
      <c r="G141" s="28">
        <v>189274.8</v>
      </c>
    </row>
    <row r="142" spans="2:7" ht="14" x14ac:dyDescent="0.15">
      <c r="B142" s="501"/>
      <c r="C142" s="501"/>
      <c r="D142" s="28" t="s">
        <v>411</v>
      </c>
      <c r="E142" s="28">
        <v>516</v>
      </c>
      <c r="F142" s="28" t="s">
        <v>223</v>
      </c>
      <c r="G142" s="28">
        <v>71029.670400000003</v>
      </c>
    </row>
    <row r="143" spans="2:7" ht="14" x14ac:dyDescent="0.15">
      <c r="B143" s="502"/>
      <c r="C143" s="502"/>
      <c r="D143" s="28" t="s">
        <v>381</v>
      </c>
      <c r="E143" s="28">
        <v>516</v>
      </c>
      <c r="F143" s="28" t="s">
        <v>417</v>
      </c>
      <c r="G143" s="28">
        <v>129000</v>
      </c>
    </row>
    <row r="144" spans="2:7" ht="28" x14ac:dyDescent="0.15">
      <c r="B144" s="500">
        <v>2</v>
      </c>
      <c r="C144" s="500" t="s">
        <v>410</v>
      </c>
      <c r="D144" s="28" t="s">
        <v>233</v>
      </c>
      <c r="E144" s="28">
        <v>396</v>
      </c>
      <c r="F144" s="28" t="s">
        <v>223</v>
      </c>
      <c r="G144" s="28">
        <v>120116.7</v>
      </c>
    </row>
    <row r="145" spans="2:7" ht="14" x14ac:dyDescent="0.15">
      <c r="B145" s="501"/>
      <c r="C145" s="501"/>
      <c r="D145" s="28" t="s">
        <v>377</v>
      </c>
      <c r="E145" s="28">
        <v>120</v>
      </c>
      <c r="F145" s="28" t="s">
        <v>223</v>
      </c>
      <c r="G145" s="28">
        <v>9927</v>
      </c>
    </row>
    <row r="146" spans="2:7" ht="14" x14ac:dyDescent="0.15">
      <c r="B146" s="502"/>
      <c r="C146" s="502"/>
      <c r="D146" s="28" t="s">
        <v>411</v>
      </c>
      <c r="E146" s="28">
        <v>516</v>
      </c>
      <c r="F146" s="28" t="s">
        <v>223</v>
      </c>
      <c r="G146" s="28">
        <v>28457.4</v>
      </c>
    </row>
    <row r="147" spans="2:7" ht="14" x14ac:dyDescent="0.15">
      <c r="B147" s="30">
        <v>3</v>
      </c>
      <c r="C147" s="28" t="s">
        <v>299</v>
      </c>
      <c r="D147" s="28"/>
      <c r="E147" s="28">
        <v>2</v>
      </c>
      <c r="F147" s="28"/>
      <c r="G147" s="28">
        <v>386000</v>
      </c>
    </row>
    <row r="148" spans="2:7" ht="28" x14ac:dyDescent="0.15">
      <c r="B148" s="30">
        <v>4</v>
      </c>
      <c r="C148" s="28" t="s">
        <v>303</v>
      </c>
      <c r="D148" s="28" t="s">
        <v>418</v>
      </c>
      <c r="E148" s="28" t="s">
        <v>374</v>
      </c>
      <c r="F148" s="28"/>
      <c r="G148" s="28">
        <v>2100000</v>
      </c>
    </row>
    <row r="149" spans="2:7" ht="14" x14ac:dyDescent="0.15">
      <c r="B149" s="30">
        <v>5</v>
      </c>
      <c r="C149" s="28" t="s">
        <v>401</v>
      </c>
      <c r="D149" s="28" t="s">
        <v>400</v>
      </c>
      <c r="E149" s="28"/>
      <c r="F149" s="28"/>
      <c r="G149" s="28">
        <v>300000</v>
      </c>
    </row>
    <row r="150" spans="2:7" ht="14" x14ac:dyDescent="0.15">
      <c r="B150" s="30">
        <v>6</v>
      </c>
      <c r="C150" s="28" t="s">
        <v>302</v>
      </c>
      <c r="D150" s="28" t="s">
        <v>248</v>
      </c>
      <c r="E150" s="28">
        <v>4000</v>
      </c>
      <c r="F150" s="28" t="s">
        <v>247</v>
      </c>
      <c r="G150" s="28">
        <v>1200000</v>
      </c>
    </row>
    <row r="151" spans="2:7" x14ac:dyDescent="0.15">
      <c r="B151" s="497" t="s">
        <v>415</v>
      </c>
      <c r="C151" s="498"/>
      <c r="D151" s="498"/>
      <c r="E151" s="498"/>
      <c r="F151" s="498"/>
      <c r="G151" s="499"/>
    </row>
    <row r="152" spans="2:7" x14ac:dyDescent="0.15">
      <c r="B152" s="497" t="s">
        <v>416</v>
      </c>
      <c r="C152" s="498"/>
      <c r="D152" s="498"/>
      <c r="E152" s="498"/>
      <c r="F152" s="498"/>
      <c r="G152" s="499"/>
    </row>
    <row r="153" spans="2:7" ht="14" x14ac:dyDescent="0.15">
      <c r="B153" s="28" t="s">
        <v>216</v>
      </c>
      <c r="C153" s="28" t="s">
        <v>372</v>
      </c>
      <c r="D153" s="28" t="s">
        <v>68</v>
      </c>
      <c r="E153" s="28" t="s">
        <v>202</v>
      </c>
      <c r="F153" s="28" t="s">
        <v>20</v>
      </c>
      <c r="G153" s="28" t="s">
        <v>229</v>
      </c>
    </row>
    <row r="154" spans="2:7" ht="28" x14ac:dyDescent="0.15">
      <c r="B154" s="500">
        <v>1</v>
      </c>
      <c r="C154" s="506" t="s">
        <v>409</v>
      </c>
      <c r="D154" s="28" t="s">
        <v>233</v>
      </c>
      <c r="E154" s="28">
        <v>228</v>
      </c>
      <c r="F154" s="28" t="s">
        <v>223</v>
      </c>
      <c r="G154" s="28">
        <v>366160.70400000003</v>
      </c>
    </row>
    <row r="155" spans="2:7" ht="14" x14ac:dyDescent="0.15">
      <c r="B155" s="501"/>
      <c r="C155" s="507"/>
      <c r="D155" s="28" t="s">
        <v>377</v>
      </c>
      <c r="E155" s="28">
        <v>60</v>
      </c>
      <c r="F155" s="28" t="s">
        <v>223</v>
      </c>
      <c r="G155" s="28">
        <v>94637.4</v>
      </c>
    </row>
    <row r="156" spans="2:7" ht="14" x14ac:dyDescent="0.15">
      <c r="B156" s="501"/>
      <c r="C156" s="507"/>
      <c r="D156" s="28" t="s">
        <v>411</v>
      </c>
      <c r="E156" s="28">
        <v>288</v>
      </c>
      <c r="F156" s="28" t="s">
        <v>223</v>
      </c>
      <c r="G156" s="28">
        <v>39644.467199999999</v>
      </c>
    </row>
    <row r="157" spans="2:7" ht="14" x14ac:dyDescent="0.15">
      <c r="B157" s="502"/>
      <c r="C157" s="508"/>
      <c r="D157" s="28" t="s">
        <v>381</v>
      </c>
      <c r="E157" s="28">
        <v>288</v>
      </c>
      <c r="F157" s="28" t="s">
        <v>417</v>
      </c>
      <c r="G157" s="28">
        <v>72000</v>
      </c>
    </row>
    <row r="158" spans="2:7" ht="28" x14ac:dyDescent="0.15">
      <c r="B158" s="500">
        <v>2</v>
      </c>
      <c r="C158" s="500" t="s">
        <v>410</v>
      </c>
      <c r="D158" s="28" t="s">
        <v>233</v>
      </c>
      <c r="E158" s="28">
        <v>228</v>
      </c>
      <c r="F158" s="28" t="s">
        <v>223</v>
      </c>
      <c r="G158" s="28">
        <v>69158.100000000006</v>
      </c>
    </row>
    <row r="159" spans="2:7" ht="14" x14ac:dyDescent="0.15">
      <c r="B159" s="501"/>
      <c r="C159" s="501"/>
      <c r="D159" s="28" t="s">
        <v>377</v>
      </c>
      <c r="E159" s="28">
        <v>60</v>
      </c>
      <c r="F159" s="28" t="s">
        <v>223</v>
      </c>
      <c r="G159" s="28">
        <v>4963.5</v>
      </c>
    </row>
    <row r="160" spans="2:7" ht="14" x14ac:dyDescent="0.15">
      <c r="B160" s="502"/>
      <c r="C160" s="502"/>
      <c r="D160" s="28" t="s">
        <v>411</v>
      </c>
      <c r="E160" s="28">
        <v>288</v>
      </c>
      <c r="F160" s="28" t="s">
        <v>223</v>
      </c>
      <c r="G160" s="28">
        <v>15883.2</v>
      </c>
    </row>
    <row r="161" spans="2:7" ht="14" x14ac:dyDescent="0.15">
      <c r="B161" s="30">
        <v>3</v>
      </c>
      <c r="C161" s="28" t="s">
        <v>299</v>
      </c>
      <c r="D161" s="28"/>
      <c r="E161" s="28">
        <v>1</v>
      </c>
      <c r="F161" s="28" t="s">
        <v>247</v>
      </c>
      <c r="G161" s="28">
        <v>221394.16</v>
      </c>
    </row>
    <row r="162" spans="2:7" ht="28" x14ac:dyDescent="0.15">
      <c r="B162" s="30">
        <v>4</v>
      </c>
      <c r="C162" s="28" t="s">
        <v>303</v>
      </c>
      <c r="D162" s="28" t="s">
        <v>418</v>
      </c>
      <c r="E162" s="28" t="s">
        <v>374</v>
      </c>
      <c r="F162" s="28" t="s">
        <v>247</v>
      </c>
      <c r="G162" s="28">
        <v>1350000</v>
      </c>
    </row>
    <row r="163" spans="2:7" ht="14" x14ac:dyDescent="0.15">
      <c r="B163" s="30">
        <v>5</v>
      </c>
      <c r="C163" s="28" t="s">
        <v>401</v>
      </c>
      <c r="D163" s="28" t="s">
        <v>400</v>
      </c>
      <c r="E163" s="28"/>
      <c r="F163" s="28"/>
      <c r="G163" s="28">
        <v>200000</v>
      </c>
    </row>
    <row r="164" spans="2:7" ht="14" x14ac:dyDescent="0.15">
      <c r="B164" s="30">
        <v>6</v>
      </c>
      <c r="C164" s="28" t="s">
        <v>302</v>
      </c>
      <c r="D164" s="28" t="s">
        <v>248</v>
      </c>
      <c r="E164" s="28">
        <v>4000</v>
      </c>
      <c r="F164" s="28" t="s">
        <v>247</v>
      </c>
      <c r="G164" s="28">
        <v>1200000</v>
      </c>
    </row>
    <row r="165" spans="2:7" x14ac:dyDescent="0.15">
      <c r="B165" s="28"/>
      <c r="C165" s="28"/>
      <c r="D165" s="28"/>
      <c r="E165" s="28"/>
      <c r="F165" s="28"/>
      <c r="G165" s="28"/>
    </row>
    <row r="166" spans="2:7" x14ac:dyDescent="0.15">
      <c r="B166" s="28"/>
      <c r="C166" s="28"/>
      <c r="D166" s="28"/>
      <c r="E166" s="28"/>
      <c r="F166" s="28"/>
      <c r="G166" s="28">
        <f>SUM(G6:G164)</f>
        <v>161053989.56462499</v>
      </c>
    </row>
    <row r="167" spans="2:7" x14ac:dyDescent="0.15">
      <c r="B167" s="25"/>
      <c r="C167" s="25"/>
      <c r="D167" s="25"/>
      <c r="E167" s="25"/>
      <c r="F167" s="25"/>
      <c r="G167" s="25"/>
    </row>
    <row r="168" spans="2:7" x14ac:dyDescent="0.15">
      <c r="B168" s="25"/>
      <c r="C168" s="25"/>
      <c r="D168" s="25"/>
      <c r="E168" s="25"/>
      <c r="F168" s="25"/>
      <c r="G168" s="25"/>
    </row>
    <row r="169" spans="2:7" x14ac:dyDescent="0.15">
      <c r="B169" s="25"/>
      <c r="C169" s="25"/>
      <c r="D169" s="25"/>
      <c r="E169" s="25"/>
      <c r="F169" s="25"/>
      <c r="G169" s="25"/>
    </row>
    <row r="170" spans="2:7" x14ac:dyDescent="0.15">
      <c r="B170" s="25"/>
      <c r="C170" s="25"/>
      <c r="D170" s="25"/>
      <c r="E170" s="25"/>
      <c r="F170" s="25"/>
      <c r="G170" s="25"/>
    </row>
    <row r="171" spans="2:7" x14ac:dyDescent="0.15">
      <c r="B171" s="25"/>
      <c r="C171" s="25"/>
      <c r="D171" s="25"/>
      <c r="E171" s="25"/>
      <c r="F171" s="25"/>
      <c r="G171" s="25"/>
    </row>
    <row r="172" spans="2:7" x14ac:dyDescent="0.15">
      <c r="B172" s="25"/>
      <c r="C172" s="25"/>
      <c r="D172" s="25"/>
      <c r="E172" s="25"/>
      <c r="F172" s="25"/>
      <c r="G172" s="25"/>
    </row>
    <row r="173" spans="2:7" x14ac:dyDescent="0.15">
      <c r="B173" s="25"/>
      <c r="C173" s="25"/>
      <c r="D173" s="25"/>
      <c r="E173" s="25"/>
      <c r="F173" s="25"/>
      <c r="G173" s="25"/>
    </row>
    <row r="174" spans="2:7" x14ac:dyDescent="0.15">
      <c r="B174" s="25"/>
      <c r="C174" s="25"/>
      <c r="D174" s="25"/>
      <c r="E174" s="25"/>
      <c r="F174" s="25"/>
      <c r="G174" s="25"/>
    </row>
    <row r="175" spans="2:7" x14ac:dyDescent="0.15">
      <c r="B175" s="25"/>
      <c r="C175" s="25"/>
      <c r="D175" s="25"/>
      <c r="E175" s="25"/>
      <c r="F175" s="25"/>
      <c r="G175" s="25"/>
    </row>
    <row r="176" spans="2:7" x14ac:dyDescent="0.15">
      <c r="B176" s="25"/>
      <c r="C176" s="25"/>
      <c r="D176" s="25"/>
      <c r="E176" s="25"/>
      <c r="F176" s="25"/>
      <c r="G176" s="25"/>
    </row>
    <row r="177" spans="2:7" x14ac:dyDescent="0.15">
      <c r="B177" s="25"/>
      <c r="C177" s="25"/>
      <c r="D177" s="25"/>
      <c r="E177" s="25"/>
      <c r="F177" s="25"/>
      <c r="G177" s="25"/>
    </row>
    <row r="178" spans="2:7" x14ac:dyDescent="0.15">
      <c r="B178" s="25"/>
      <c r="C178" s="25"/>
      <c r="D178" s="25"/>
      <c r="E178" s="25"/>
      <c r="F178" s="25"/>
      <c r="G178" s="25"/>
    </row>
    <row r="179" spans="2:7" x14ac:dyDescent="0.15">
      <c r="B179" s="25"/>
      <c r="C179" s="25"/>
      <c r="D179" s="25"/>
      <c r="E179" s="25"/>
      <c r="F179" s="25"/>
      <c r="G179" s="25"/>
    </row>
    <row r="180" spans="2:7" x14ac:dyDescent="0.15">
      <c r="B180" s="25"/>
      <c r="C180" s="25"/>
      <c r="D180" s="25"/>
      <c r="E180" s="25"/>
      <c r="F180" s="25"/>
      <c r="G180" s="25"/>
    </row>
    <row r="181" spans="2:7" x14ac:dyDescent="0.15">
      <c r="B181" s="25"/>
      <c r="C181" s="25"/>
      <c r="D181" s="25"/>
      <c r="E181" s="25"/>
      <c r="F181" s="25"/>
      <c r="G181" s="25"/>
    </row>
    <row r="182" spans="2:7" x14ac:dyDescent="0.15">
      <c r="B182" s="25"/>
      <c r="C182" s="25"/>
      <c r="D182" s="25"/>
      <c r="E182" s="25"/>
      <c r="F182" s="25"/>
      <c r="G182" s="25"/>
    </row>
    <row r="183" spans="2:7" x14ac:dyDescent="0.15">
      <c r="B183" s="25"/>
      <c r="C183" s="25"/>
      <c r="D183" s="25"/>
      <c r="E183" s="25"/>
      <c r="F183" s="25"/>
      <c r="G183" s="25"/>
    </row>
    <row r="184" spans="2:7" x14ac:dyDescent="0.15">
      <c r="B184" s="25"/>
      <c r="C184" s="25"/>
      <c r="D184" s="25"/>
      <c r="E184" s="25"/>
      <c r="F184" s="25"/>
      <c r="G184" s="25"/>
    </row>
    <row r="185" spans="2:7" x14ac:dyDescent="0.15">
      <c r="B185" s="25"/>
      <c r="C185" s="25"/>
      <c r="D185" s="25"/>
      <c r="E185" s="25"/>
      <c r="F185" s="25"/>
      <c r="G185" s="25"/>
    </row>
    <row r="186" spans="2:7" x14ac:dyDescent="0.15">
      <c r="B186" s="25"/>
      <c r="C186" s="25"/>
      <c r="D186" s="25"/>
      <c r="E186" s="25"/>
      <c r="F186" s="25"/>
      <c r="G186" s="25"/>
    </row>
    <row r="187" spans="2:7" x14ac:dyDescent="0.15">
      <c r="B187" s="25"/>
      <c r="C187" s="25"/>
      <c r="D187" s="25"/>
      <c r="E187" s="25"/>
      <c r="F187" s="25"/>
      <c r="G187" s="25"/>
    </row>
    <row r="188" spans="2:7" x14ac:dyDescent="0.15">
      <c r="B188" s="25"/>
      <c r="C188" s="25"/>
      <c r="D188" s="25"/>
      <c r="E188" s="25"/>
      <c r="F188" s="25"/>
      <c r="G188" s="25"/>
    </row>
    <row r="189" spans="2:7" x14ac:dyDescent="0.15">
      <c r="B189" s="25"/>
      <c r="C189" s="25"/>
      <c r="D189" s="25"/>
      <c r="E189" s="25"/>
      <c r="F189" s="25"/>
      <c r="G189" s="25"/>
    </row>
    <row r="190" spans="2:7" x14ac:dyDescent="0.15">
      <c r="B190" s="25"/>
      <c r="C190" s="25"/>
      <c r="D190" s="25"/>
      <c r="E190" s="25"/>
      <c r="F190" s="25"/>
      <c r="G190" s="25"/>
    </row>
    <row r="191" spans="2:7" x14ac:dyDescent="0.15">
      <c r="B191" s="25"/>
      <c r="C191" s="25"/>
      <c r="D191" s="25"/>
      <c r="E191" s="25"/>
      <c r="F191" s="25"/>
      <c r="G191" s="25"/>
    </row>
    <row r="192" spans="2:7" x14ac:dyDescent="0.15">
      <c r="B192" s="25"/>
      <c r="C192" s="25"/>
      <c r="D192" s="25"/>
      <c r="E192" s="25"/>
      <c r="F192" s="25"/>
      <c r="G192" s="25"/>
    </row>
    <row r="193" spans="2:7" x14ac:dyDescent="0.15">
      <c r="B193" s="25"/>
      <c r="C193" s="25"/>
      <c r="D193" s="25"/>
      <c r="E193" s="25"/>
      <c r="F193" s="25"/>
      <c r="G193" s="25"/>
    </row>
    <row r="194" spans="2:7" x14ac:dyDescent="0.15">
      <c r="B194" s="25"/>
      <c r="C194" s="25"/>
      <c r="D194" s="25"/>
      <c r="E194" s="25"/>
      <c r="F194" s="25"/>
      <c r="G194" s="25"/>
    </row>
    <row r="195" spans="2:7" x14ac:dyDescent="0.15">
      <c r="B195" s="25"/>
      <c r="C195" s="25"/>
      <c r="D195" s="25"/>
      <c r="E195" s="25"/>
      <c r="F195" s="25"/>
      <c r="G195" s="25"/>
    </row>
    <row r="196" spans="2:7" x14ac:dyDescent="0.15">
      <c r="B196" s="25"/>
      <c r="C196" s="25"/>
      <c r="D196" s="25"/>
      <c r="E196" s="25"/>
      <c r="F196" s="25"/>
      <c r="G196" s="25"/>
    </row>
    <row r="197" spans="2:7" x14ac:dyDescent="0.15">
      <c r="B197" s="25"/>
      <c r="C197" s="25"/>
      <c r="D197" s="25"/>
      <c r="E197" s="25"/>
      <c r="F197" s="25"/>
      <c r="G197" s="25"/>
    </row>
    <row r="198" spans="2:7" x14ac:dyDescent="0.15">
      <c r="B198" s="25"/>
      <c r="C198" s="25"/>
      <c r="D198" s="25"/>
      <c r="E198" s="25"/>
      <c r="F198" s="25"/>
      <c r="G198" s="25"/>
    </row>
    <row r="199" spans="2:7" x14ac:dyDescent="0.15">
      <c r="B199" s="25"/>
      <c r="C199" s="25"/>
      <c r="D199" s="25"/>
      <c r="E199" s="25"/>
      <c r="F199" s="25"/>
      <c r="G199" s="25"/>
    </row>
    <row r="200" spans="2:7" x14ac:dyDescent="0.15">
      <c r="B200" s="25"/>
      <c r="C200" s="25"/>
      <c r="D200" s="25"/>
      <c r="E200" s="25"/>
      <c r="F200" s="25"/>
      <c r="G200" s="25"/>
    </row>
    <row r="201" spans="2:7" x14ac:dyDescent="0.15">
      <c r="B201" s="25"/>
      <c r="C201" s="25"/>
      <c r="D201" s="25"/>
      <c r="E201" s="25"/>
      <c r="F201" s="25"/>
      <c r="G201" s="25"/>
    </row>
    <row r="202" spans="2:7" x14ac:dyDescent="0.15">
      <c r="B202" s="25"/>
      <c r="C202" s="25"/>
      <c r="D202" s="25"/>
      <c r="E202" s="25"/>
      <c r="F202" s="25"/>
      <c r="G202" s="25"/>
    </row>
    <row r="203" spans="2:7" x14ac:dyDescent="0.15">
      <c r="B203" s="25"/>
      <c r="C203" s="25"/>
      <c r="D203" s="25"/>
      <c r="E203" s="25"/>
      <c r="F203" s="25"/>
      <c r="G203" s="25"/>
    </row>
    <row r="204" spans="2:7" x14ac:dyDescent="0.15">
      <c r="B204" s="25"/>
      <c r="C204" s="25"/>
      <c r="D204" s="25"/>
      <c r="E204" s="25"/>
      <c r="F204" s="25"/>
      <c r="G204" s="25"/>
    </row>
    <row r="205" spans="2:7" x14ac:dyDescent="0.15">
      <c r="B205" s="25"/>
      <c r="C205" s="25"/>
      <c r="D205" s="25"/>
      <c r="E205" s="25"/>
      <c r="F205" s="25"/>
      <c r="G205" s="25"/>
    </row>
    <row r="206" spans="2:7" x14ac:dyDescent="0.15">
      <c r="B206" s="25"/>
      <c r="C206" s="25"/>
      <c r="D206" s="25"/>
      <c r="E206" s="25"/>
      <c r="F206" s="25"/>
      <c r="G206" s="25"/>
    </row>
    <row r="207" spans="2:7" x14ac:dyDescent="0.15">
      <c r="B207" s="25"/>
      <c r="C207" s="25"/>
      <c r="D207" s="25"/>
      <c r="E207" s="25"/>
      <c r="F207" s="25"/>
      <c r="G207" s="25"/>
    </row>
    <row r="208" spans="2:7" x14ac:dyDescent="0.15">
      <c r="B208" s="25"/>
      <c r="C208" s="25"/>
      <c r="D208" s="25"/>
      <c r="E208" s="25"/>
      <c r="F208" s="25"/>
      <c r="G208" s="25"/>
    </row>
    <row r="209" spans="2:7" x14ac:dyDescent="0.15">
      <c r="B209" s="25"/>
      <c r="C209" s="25"/>
      <c r="D209" s="25"/>
      <c r="E209" s="25"/>
      <c r="F209" s="25"/>
      <c r="G209" s="25"/>
    </row>
    <row r="210" spans="2:7" x14ac:dyDescent="0.15">
      <c r="B210" s="25"/>
      <c r="C210" s="25"/>
      <c r="D210" s="25"/>
      <c r="E210" s="25"/>
      <c r="F210" s="25"/>
      <c r="G210" s="25"/>
    </row>
    <row r="211" spans="2:7" x14ac:dyDescent="0.15">
      <c r="B211" s="25"/>
      <c r="C211" s="25"/>
      <c r="D211" s="25"/>
      <c r="E211" s="25"/>
      <c r="F211" s="25"/>
      <c r="G211" s="25"/>
    </row>
    <row r="212" spans="2:7" x14ac:dyDescent="0.15">
      <c r="B212" s="25"/>
      <c r="C212" s="25"/>
      <c r="D212" s="25"/>
      <c r="E212" s="25"/>
      <c r="F212" s="25"/>
      <c r="G212" s="25"/>
    </row>
    <row r="213" spans="2:7" x14ac:dyDescent="0.15">
      <c r="B213" s="25"/>
      <c r="C213" s="25"/>
      <c r="D213" s="25"/>
      <c r="E213" s="25"/>
      <c r="F213" s="25"/>
      <c r="G213" s="25"/>
    </row>
    <row r="214" spans="2:7" x14ac:dyDescent="0.15">
      <c r="B214" s="25"/>
      <c r="C214" s="25"/>
      <c r="D214" s="25"/>
      <c r="E214" s="25"/>
      <c r="F214" s="25"/>
      <c r="G214" s="25"/>
    </row>
    <row r="215" spans="2:7" x14ac:dyDescent="0.15">
      <c r="B215" s="25"/>
      <c r="C215" s="25"/>
      <c r="D215" s="25"/>
      <c r="E215" s="25"/>
      <c r="F215" s="25"/>
      <c r="G215" s="25"/>
    </row>
    <row r="216" spans="2:7" x14ac:dyDescent="0.15">
      <c r="B216" s="25"/>
      <c r="C216" s="25"/>
      <c r="D216" s="25"/>
      <c r="E216" s="25"/>
      <c r="F216" s="25"/>
      <c r="G216" s="25"/>
    </row>
    <row r="217" spans="2:7" x14ac:dyDescent="0.15">
      <c r="B217" s="25"/>
      <c r="C217" s="25"/>
      <c r="D217" s="25"/>
      <c r="E217" s="25"/>
      <c r="F217" s="25"/>
      <c r="G217" s="25"/>
    </row>
    <row r="218" spans="2:7" x14ac:dyDescent="0.15">
      <c r="B218" s="25"/>
      <c r="C218" s="25"/>
      <c r="D218" s="25"/>
      <c r="E218" s="25"/>
      <c r="F218" s="25"/>
      <c r="G218" s="25"/>
    </row>
    <row r="219" spans="2:7" x14ac:dyDescent="0.15">
      <c r="B219" s="25"/>
      <c r="C219" s="25"/>
      <c r="D219" s="25"/>
      <c r="E219" s="25"/>
      <c r="F219" s="25"/>
      <c r="G219" s="25"/>
    </row>
    <row r="220" spans="2:7" x14ac:dyDescent="0.15">
      <c r="B220" s="25"/>
      <c r="C220" s="25"/>
      <c r="D220" s="25"/>
      <c r="E220" s="25"/>
      <c r="F220" s="25"/>
      <c r="G220" s="25"/>
    </row>
    <row r="221" spans="2:7" x14ac:dyDescent="0.15">
      <c r="B221" s="25"/>
      <c r="C221" s="25"/>
      <c r="D221" s="25"/>
      <c r="E221" s="25"/>
      <c r="F221" s="25"/>
      <c r="G221" s="25"/>
    </row>
    <row r="222" spans="2:7" x14ac:dyDescent="0.15">
      <c r="B222" s="25"/>
      <c r="C222" s="25"/>
      <c r="D222" s="25"/>
      <c r="E222" s="25"/>
      <c r="F222" s="25"/>
      <c r="G222" s="25"/>
    </row>
    <row r="223" spans="2:7" x14ac:dyDescent="0.15">
      <c r="B223" s="25"/>
      <c r="C223" s="25"/>
      <c r="D223" s="25"/>
      <c r="E223" s="25"/>
      <c r="F223" s="25"/>
      <c r="G223" s="25"/>
    </row>
    <row r="224" spans="2:7" x14ac:dyDescent="0.15">
      <c r="B224" s="25"/>
      <c r="C224" s="25"/>
      <c r="D224" s="25"/>
      <c r="E224" s="25"/>
      <c r="F224" s="25"/>
      <c r="G224" s="25"/>
    </row>
    <row r="225" spans="2:7" x14ac:dyDescent="0.15">
      <c r="B225" s="25"/>
      <c r="C225" s="25"/>
      <c r="D225" s="25"/>
      <c r="E225" s="25"/>
      <c r="F225" s="25"/>
      <c r="G225" s="25"/>
    </row>
    <row r="226" spans="2:7" x14ac:dyDescent="0.15">
      <c r="B226" s="25"/>
      <c r="C226" s="25"/>
      <c r="D226" s="25"/>
      <c r="E226" s="25"/>
      <c r="F226" s="25"/>
      <c r="G226" s="25"/>
    </row>
    <row r="227" spans="2:7" x14ac:dyDescent="0.15">
      <c r="B227" s="25"/>
      <c r="C227" s="25"/>
      <c r="D227" s="25"/>
      <c r="E227" s="25"/>
      <c r="F227" s="25"/>
      <c r="G227" s="25"/>
    </row>
    <row r="228" spans="2:7" x14ac:dyDescent="0.15">
      <c r="B228" s="25"/>
      <c r="C228" s="25"/>
      <c r="D228" s="25"/>
      <c r="E228" s="25"/>
      <c r="F228" s="25"/>
      <c r="G228" s="25"/>
    </row>
    <row r="229" spans="2:7" x14ac:dyDescent="0.15">
      <c r="B229" s="25"/>
      <c r="C229" s="25"/>
      <c r="D229" s="25"/>
      <c r="E229" s="25"/>
      <c r="F229" s="25"/>
      <c r="G229" s="25"/>
    </row>
    <row r="230" spans="2:7" x14ac:dyDescent="0.15">
      <c r="B230" s="25"/>
      <c r="C230" s="25"/>
      <c r="D230" s="25"/>
      <c r="E230" s="25"/>
      <c r="F230" s="25"/>
      <c r="G230" s="25"/>
    </row>
    <row r="231" spans="2:7" x14ac:dyDescent="0.15">
      <c r="B231" s="25"/>
      <c r="C231" s="25"/>
      <c r="D231" s="25"/>
      <c r="E231" s="25"/>
      <c r="F231" s="25"/>
      <c r="G231" s="25"/>
    </row>
    <row r="232" spans="2:7" x14ac:dyDescent="0.15">
      <c r="B232" s="25"/>
      <c r="C232" s="25"/>
      <c r="D232" s="25"/>
      <c r="E232" s="25"/>
      <c r="F232" s="25"/>
      <c r="G232" s="25"/>
    </row>
    <row r="233" spans="2:7" x14ac:dyDescent="0.15">
      <c r="B233" s="25"/>
      <c r="C233" s="25"/>
      <c r="D233" s="25"/>
      <c r="E233" s="25"/>
      <c r="F233" s="25"/>
      <c r="G233" s="25"/>
    </row>
    <row r="234" spans="2:7" x14ac:dyDescent="0.15">
      <c r="B234" s="25"/>
      <c r="C234" s="25"/>
      <c r="D234" s="25"/>
      <c r="E234" s="25"/>
      <c r="F234" s="25"/>
      <c r="G234" s="25"/>
    </row>
    <row r="235" spans="2:7" x14ac:dyDescent="0.15">
      <c r="B235" s="25"/>
      <c r="C235" s="25"/>
      <c r="D235" s="25"/>
      <c r="E235" s="25"/>
      <c r="F235" s="25"/>
      <c r="G235" s="25"/>
    </row>
    <row r="236" spans="2:7" x14ac:dyDescent="0.15">
      <c r="B236" s="26"/>
      <c r="C236" s="26"/>
      <c r="D236" s="26"/>
      <c r="E236" s="26"/>
      <c r="F236" s="26"/>
      <c r="G236" s="26"/>
    </row>
    <row r="237" spans="2:7" x14ac:dyDescent="0.15">
      <c r="B237" s="26"/>
      <c r="C237" s="26"/>
      <c r="D237" s="26"/>
      <c r="E237" s="26"/>
      <c r="F237" s="26"/>
      <c r="G237" s="26"/>
    </row>
    <row r="238" spans="2:7" x14ac:dyDescent="0.15">
      <c r="B238" s="26"/>
      <c r="C238" s="26"/>
      <c r="D238" s="26"/>
      <c r="E238" s="26"/>
      <c r="F238" s="26"/>
      <c r="G238" s="26"/>
    </row>
    <row r="239" spans="2:7" x14ac:dyDescent="0.15">
      <c r="B239" s="26"/>
      <c r="C239" s="26"/>
      <c r="D239" s="26"/>
      <c r="E239" s="26"/>
      <c r="F239" s="26"/>
      <c r="G239" s="26"/>
    </row>
    <row r="240" spans="2:7" x14ac:dyDescent="0.15">
      <c r="B240" s="26"/>
      <c r="C240" s="26"/>
      <c r="D240" s="26"/>
      <c r="E240" s="26"/>
      <c r="F240" s="26"/>
      <c r="G240" s="26"/>
    </row>
    <row r="241" spans="2:7" x14ac:dyDescent="0.15">
      <c r="B241" s="26"/>
      <c r="C241" s="26"/>
      <c r="D241" s="26"/>
      <c r="E241" s="26"/>
      <c r="F241" s="26"/>
      <c r="G241" s="26"/>
    </row>
    <row r="242" spans="2:7" x14ac:dyDescent="0.15">
      <c r="B242" s="26"/>
      <c r="C242" s="26"/>
      <c r="D242" s="26"/>
      <c r="E242" s="26"/>
      <c r="F242" s="26"/>
      <c r="G242" s="26"/>
    </row>
    <row r="243" spans="2:7" x14ac:dyDescent="0.15">
      <c r="B243" s="26"/>
      <c r="C243" s="26"/>
      <c r="D243" s="26"/>
      <c r="E243" s="26"/>
      <c r="F243" s="26"/>
      <c r="G243" s="26"/>
    </row>
    <row r="244" spans="2:7" x14ac:dyDescent="0.15">
      <c r="B244" s="26"/>
      <c r="C244" s="26"/>
      <c r="D244" s="26"/>
      <c r="E244" s="26"/>
      <c r="F244" s="26"/>
      <c r="G244" s="26"/>
    </row>
    <row r="245" spans="2:7" x14ac:dyDescent="0.15">
      <c r="B245" s="26"/>
      <c r="C245" s="26"/>
      <c r="D245" s="26"/>
      <c r="E245" s="26"/>
      <c r="F245" s="26"/>
      <c r="G245" s="26"/>
    </row>
    <row r="246" spans="2:7" x14ac:dyDescent="0.15">
      <c r="B246" s="26"/>
      <c r="C246" s="26"/>
      <c r="D246" s="26"/>
      <c r="E246" s="26"/>
      <c r="F246" s="26"/>
      <c r="G246" s="26"/>
    </row>
    <row r="247" spans="2:7" x14ac:dyDescent="0.15">
      <c r="B247" s="26"/>
      <c r="C247" s="26"/>
      <c r="D247" s="26"/>
      <c r="E247" s="26"/>
      <c r="F247" s="26"/>
      <c r="G247" s="26"/>
    </row>
    <row r="248" spans="2:7" x14ac:dyDescent="0.15">
      <c r="B248" s="24"/>
      <c r="C248" s="24"/>
      <c r="D248" s="24"/>
      <c r="E248" s="24"/>
      <c r="F248" s="24"/>
      <c r="G248" s="24"/>
    </row>
    <row r="249" spans="2:7" x14ac:dyDescent="0.15">
      <c r="B249" s="24"/>
      <c r="C249" s="24"/>
      <c r="D249" s="24"/>
      <c r="E249" s="24"/>
      <c r="F249" s="24"/>
      <c r="G249" s="24"/>
    </row>
    <row r="250" spans="2:7" x14ac:dyDescent="0.15">
      <c r="B250" s="24"/>
      <c r="C250" s="24"/>
      <c r="D250" s="24"/>
      <c r="E250" s="24"/>
      <c r="F250" s="24"/>
      <c r="G250" s="24"/>
    </row>
    <row r="251" spans="2:7" x14ac:dyDescent="0.15">
      <c r="B251" s="24"/>
      <c r="C251" s="24"/>
      <c r="D251" s="24"/>
      <c r="E251" s="24"/>
      <c r="F251" s="24"/>
      <c r="G251" s="24"/>
    </row>
    <row r="252" spans="2:7" x14ac:dyDescent="0.15">
      <c r="B252" s="24"/>
      <c r="C252" s="24"/>
      <c r="D252" s="24"/>
      <c r="E252" s="24"/>
      <c r="F252" s="24"/>
      <c r="G252" s="24"/>
    </row>
    <row r="253" spans="2:7" x14ac:dyDescent="0.15">
      <c r="B253" s="24"/>
      <c r="C253" s="24"/>
      <c r="D253" s="24"/>
      <c r="E253" s="24"/>
      <c r="F253" s="24"/>
      <c r="G253" s="24"/>
    </row>
    <row r="254" spans="2:7" x14ac:dyDescent="0.15">
      <c r="B254" s="24"/>
      <c r="C254" s="24"/>
      <c r="D254" s="24"/>
      <c r="E254" s="24"/>
      <c r="F254" s="24"/>
      <c r="G254" s="24"/>
    </row>
    <row r="255" spans="2:7" x14ac:dyDescent="0.15">
      <c r="B255" s="24"/>
      <c r="C255" s="24"/>
      <c r="D255" s="24"/>
      <c r="E255" s="24"/>
      <c r="F255" s="24"/>
      <c r="G255" s="24"/>
    </row>
    <row r="256" spans="2:7" x14ac:dyDescent="0.15">
      <c r="B256" s="24"/>
      <c r="C256" s="24"/>
      <c r="D256" s="24"/>
      <c r="E256" s="24"/>
      <c r="F256" s="24"/>
      <c r="G256" s="24"/>
    </row>
    <row r="257" spans="2:7" x14ac:dyDescent="0.15">
      <c r="B257" s="24"/>
      <c r="C257" s="24"/>
      <c r="D257" s="24"/>
      <c r="E257" s="24"/>
      <c r="F257" s="24"/>
      <c r="G257" s="24"/>
    </row>
    <row r="258" spans="2:7" x14ac:dyDescent="0.15">
      <c r="B258" s="24"/>
      <c r="C258" s="24"/>
      <c r="D258" s="24"/>
      <c r="E258" s="24"/>
      <c r="F258" s="24"/>
      <c r="G258" s="24"/>
    </row>
    <row r="259" spans="2:7" x14ac:dyDescent="0.15">
      <c r="B259" s="24"/>
      <c r="C259" s="24"/>
      <c r="D259" s="24"/>
      <c r="E259" s="24"/>
      <c r="F259" s="24"/>
      <c r="G259" s="24"/>
    </row>
    <row r="260" spans="2:7" x14ac:dyDescent="0.15">
      <c r="B260" s="24"/>
      <c r="C260" s="24"/>
      <c r="D260" s="24"/>
      <c r="E260" s="24"/>
      <c r="F260" s="24"/>
      <c r="G260" s="24"/>
    </row>
    <row r="261" spans="2:7" x14ac:dyDescent="0.15">
      <c r="B261" s="24"/>
      <c r="C261" s="24"/>
      <c r="D261" s="24"/>
      <c r="E261" s="24"/>
      <c r="F261" s="24"/>
      <c r="G261" s="24"/>
    </row>
    <row r="262" spans="2:7" x14ac:dyDescent="0.15">
      <c r="B262" s="24"/>
      <c r="C262" s="24"/>
      <c r="D262" s="24"/>
      <c r="E262" s="24"/>
      <c r="F262" s="24"/>
      <c r="G262" s="24"/>
    </row>
    <row r="263" spans="2:7" x14ac:dyDescent="0.15">
      <c r="B263" s="24"/>
      <c r="C263" s="24"/>
      <c r="D263" s="24"/>
      <c r="E263" s="24"/>
      <c r="F263" s="24"/>
      <c r="G263" s="24"/>
    </row>
    <row r="264" spans="2:7" x14ac:dyDescent="0.15">
      <c r="B264" s="24"/>
      <c r="C264" s="24"/>
      <c r="D264" s="24"/>
      <c r="E264" s="24"/>
      <c r="F264" s="24"/>
      <c r="G264" s="24"/>
    </row>
    <row r="265" spans="2:7" x14ac:dyDescent="0.15">
      <c r="B265" s="24"/>
      <c r="C265" s="24"/>
      <c r="D265" s="24"/>
      <c r="E265" s="24"/>
      <c r="F265" s="24"/>
      <c r="G265" s="24"/>
    </row>
    <row r="266" spans="2:7" x14ac:dyDescent="0.15">
      <c r="B266" s="24"/>
      <c r="C266" s="24"/>
      <c r="D266" s="24"/>
      <c r="E266" s="24"/>
      <c r="F266" s="24"/>
      <c r="G266" s="24"/>
    </row>
  </sheetData>
  <mergeCells count="53">
    <mergeCell ref="B110:B116"/>
    <mergeCell ref="C110:C116"/>
    <mergeCell ref="B117:B119"/>
    <mergeCell ref="C117:C119"/>
    <mergeCell ref="B152:G152"/>
    <mergeCell ref="B121:G121"/>
    <mergeCell ref="B125:G125"/>
    <mergeCell ref="B158:B160"/>
    <mergeCell ref="C158:C160"/>
    <mergeCell ref="B129:G129"/>
    <mergeCell ref="B140:B143"/>
    <mergeCell ref="C140:C143"/>
    <mergeCell ref="B144:B146"/>
    <mergeCell ref="B136:G136"/>
    <mergeCell ref="B137:G137"/>
    <mergeCell ref="B138:G138"/>
    <mergeCell ref="B151:G151"/>
    <mergeCell ref="C144:C146"/>
    <mergeCell ref="C154:C157"/>
    <mergeCell ref="B154:B157"/>
    <mergeCell ref="B133:G133"/>
    <mergeCell ref="B83:B92"/>
    <mergeCell ref="C83:C92"/>
    <mergeCell ref="B93:B102"/>
    <mergeCell ref="C93:C102"/>
    <mergeCell ref="B103:B109"/>
    <mergeCell ref="C103:C109"/>
    <mergeCell ref="B78:B82"/>
    <mergeCell ref="C78:C82"/>
    <mergeCell ref="B58:C58"/>
    <mergeCell ref="B59:C59"/>
    <mergeCell ref="B60:G60"/>
    <mergeCell ref="B68:G68"/>
    <mergeCell ref="C32:C42"/>
    <mergeCell ref="C52:C54"/>
    <mergeCell ref="B52:B54"/>
    <mergeCell ref="B70:B76"/>
    <mergeCell ref="C70:C76"/>
    <mergeCell ref="B49:B51"/>
    <mergeCell ref="C49:C51"/>
    <mergeCell ref="B46:G46"/>
    <mergeCell ref="B32:B42"/>
    <mergeCell ref="B3:G3"/>
    <mergeCell ref="B4:G4"/>
    <mergeCell ref="B5:G5"/>
    <mergeCell ref="B20:G20"/>
    <mergeCell ref="B30:G30"/>
    <mergeCell ref="B7:B13"/>
    <mergeCell ref="C7:C13"/>
    <mergeCell ref="B14:B18"/>
    <mergeCell ref="C14:C18"/>
    <mergeCell ref="B22:B26"/>
    <mergeCell ref="C22:C2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C3:M33"/>
  <sheetViews>
    <sheetView workbookViewId="0">
      <selection activeCell="K70" sqref="K70"/>
    </sheetView>
  </sheetViews>
  <sheetFormatPr baseColWidth="10" defaultColWidth="8.83203125" defaultRowHeight="13" x14ac:dyDescent="0.15"/>
  <cols>
    <col min="3" max="3" width="24.33203125" customWidth="1"/>
    <col min="4" max="13" width="9.33203125" bestFit="1" customWidth="1"/>
  </cols>
  <sheetData>
    <row r="3" spans="3:13" x14ac:dyDescent="0.15">
      <c r="C3" s="2" t="s">
        <v>51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3:13" ht="14" x14ac:dyDescent="0.15">
      <c r="C4" s="15" t="s">
        <v>70</v>
      </c>
      <c r="D4" s="33">
        <v>0.7</v>
      </c>
      <c r="E4" s="33">
        <v>0.8</v>
      </c>
      <c r="F4" s="33">
        <v>0.9</v>
      </c>
      <c r="G4" s="33">
        <v>0.95</v>
      </c>
      <c r="H4" s="33">
        <v>0.95</v>
      </c>
      <c r="I4" s="33">
        <v>0.95</v>
      </c>
      <c r="J4" s="33">
        <v>0.95</v>
      </c>
      <c r="K4" s="33">
        <v>0.95</v>
      </c>
      <c r="L4" s="33">
        <v>0.95</v>
      </c>
      <c r="M4" s="33">
        <v>0.95</v>
      </c>
    </row>
    <row r="5" spans="3:13" ht="14" x14ac:dyDescent="0.15">
      <c r="C5" s="15" t="s">
        <v>71</v>
      </c>
      <c r="D5" s="2"/>
      <c r="E5" s="2"/>
      <c r="F5" s="2"/>
      <c r="G5" s="2"/>
      <c r="H5" s="2"/>
      <c r="I5" s="2"/>
      <c r="J5" s="2"/>
      <c r="K5" s="2"/>
      <c r="L5" s="2"/>
      <c r="M5" s="2"/>
    </row>
    <row r="6" spans="3:13" ht="14" x14ac:dyDescent="0.15">
      <c r="C6" s="15" t="s">
        <v>319</v>
      </c>
      <c r="D6" s="21">
        <v>3085.11</v>
      </c>
      <c r="E6" s="21">
        <v>3525.84</v>
      </c>
      <c r="F6" s="21">
        <v>3966.57</v>
      </c>
      <c r="G6" s="21">
        <v>4186.9350000000004</v>
      </c>
      <c r="H6" s="21">
        <v>4186.9350000000004</v>
      </c>
      <c r="I6" s="21">
        <v>4186.9350000000004</v>
      </c>
      <c r="J6" s="21">
        <v>4186.9350000000004</v>
      </c>
      <c r="K6" s="21">
        <v>4186.9350000000004</v>
      </c>
      <c r="L6" s="21">
        <v>4186.9350000000004</v>
      </c>
      <c r="M6" s="21">
        <v>4186.9350000000004</v>
      </c>
    </row>
    <row r="7" spans="3:13" ht="14" x14ac:dyDescent="0.15">
      <c r="C7" s="15" t="s">
        <v>320</v>
      </c>
      <c r="D7" s="21">
        <v>31.849999999999998</v>
      </c>
      <c r="E7" s="21">
        <v>36.4</v>
      </c>
      <c r="F7" s="21">
        <v>40.950000000000003</v>
      </c>
      <c r="G7" s="21">
        <v>43.225000000000001</v>
      </c>
      <c r="H7" s="21">
        <v>43.225000000000001</v>
      </c>
      <c r="I7" s="21">
        <v>43.225000000000001</v>
      </c>
      <c r="J7" s="21">
        <v>43.225000000000001</v>
      </c>
      <c r="K7" s="21">
        <v>43.225000000000001</v>
      </c>
      <c r="L7" s="21">
        <v>43.225000000000001</v>
      </c>
      <c r="M7" s="21">
        <v>43.225000000000001</v>
      </c>
    </row>
    <row r="8" spans="3:13" ht="14" x14ac:dyDescent="0.15">
      <c r="C8" s="15" t="s">
        <v>174</v>
      </c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</row>
    <row r="9" spans="3:13" ht="28" x14ac:dyDescent="0.15">
      <c r="C9" s="15" t="s">
        <v>197</v>
      </c>
      <c r="D9" s="21">
        <v>0</v>
      </c>
      <c r="E9" s="21">
        <v>0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21">
        <v>0</v>
      </c>
      <c r="M9" s="21">
        <v>0</v>
      </c>
    </row>
    <row r="10" spans="3:13" ht="14" x14ac:dyDescent="0.15">
      <c r="C10" s="15" t="s">
        <v>71</v>
      </c>
      <c r="D10" s="21">
        <v>3116.96</v>
      </c>
      <c r="E10" s="21">
        <v>3562.2400000000002</v>
      </c>
      <c r="F10" s="21">
        <v>4007.52</v>
      </c>
      <c r="G10" s="21">
        <v>4230.1600000000008</v>
      </c>
      <c r="H10" s="21">
        <v>4230.1600000000008</v>
      </c>
      <c r="I10" s="21">
        <v>4230.1600000000008</v>
      </c>
      <c r="J10" s="21">
        <v>4230.1600000000008</v>
      </c>
      <c r="K10" s="21">
        <v>4230.1600000000008</v>
      </c>
      <c r="L10" s="21">
        <v>4230.1600000000008</v>
      </c>
      <c r="M10" s="21">
        <v>4230.1600000000008</v>
      </c>
    </row>
    <row r="11" spans="3:13" x14ac:dyDescent="0.15">
      <c r="C11" s="15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3:13" ht="14" x14ac:dyDescent="0.15">
      <c r="C12" s="15" t="s">
        <v>72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</row>
    <row r="13" spans="3:13" ht="14" x14ac:dyDescent="0.15">
      <c r="C13" s="15" t="s">
        <v>73</v>
      </c>
      <c r="D13" s="21">
        <v>1733.328947368421</v>
      </c>
      <c r="E13" s="21">
        <v>1980.9473684210527</v>
      </c>
      <c r="F13" s="21">
        <v>2228.5657894736842</v>
      </c>
      <c r="G13" s="21">
        <v>2352.375</v>
      </c>
      <c r="H13" s="21">
        <v>2352.375</v>
      </c>
      <c r="I13" s="21">
        <v>2352.375</v>
      </c>
      <c r="J13" s="21">
        <v>2352.375</v>
      </c>
      <c r="K13" s="21">
        <v>2352.375</v>
      </c>
      <c r="L13" s="21">
        <v>2352.375</v>
      </c>
      <c r="M13" s="21">
        <v>2352.375</v>
      </c>
    </row>
    <row r="14" spans="3:13" ht="28" x14ac:dyDescent="0.15">
      <c r="C14" s="15" t="s">
        <v>430</v>
      </c>
      <c r="D14" s="21">
        <v>10.08</v>
      </c>
      <c r="E14" s="21">
        <v>11.520000000000001</v>
      </c>
      <c r="F14" s="21">
        <v>12.96</v>
      </c>
      <c r="G14" s="21">
        <v>13.68</v>
      </c>
      <c r="H14" s="21">
        <v>13.68</v>
      </c>
      <c r="I14" s="21">
        <v>13.68</v>
      </c>
      <c r="J14" s="21">
        <v>13.68</v>
      </c>
      <c r="K14" s="21">
        <v>13.68</v>
      </c>
      <c r="L14" s="21">
        <v>13.68</v>
      </c>
      <c r="M14" s="21">
        <v>13.68</v>
      </c>
    </row>
    <row r="15" spans="3:13" ht="14" x14ac:dyDescent="0.15">
      <c r="C15" s="15" t="s">
        <v>175</v>
      </c>
      <c r="D15" s="21">
        <v>23.242799999999999</v>
      </c>
      <c r="E15" s="21">
        <v>26.563200000000002</v>
      </c>
      <c r="F15" s="21">
        <v>29.883600000000001</v>
      </c>
      <c r="G15" s="21">
        <v>31.543799999999997</v>
      </c>
      <c r="H15" s="21">
        <v>31.543799999999997</v>
      </c>
      <c r="I15" s="21">
        <v>31.543799999999997</v>
      </c>
      <c r="J15" s="21">
        <v>31.543799999999997</v>
      </c>
      <c r="K15" s="21">
        <v>31.543799999999997</v>
      </c>
      <c r="L15" s="21">
        <v>31.543799999999997</v>
      </c>
      <c r="M15" s="21">
        <v>31.543799999999997</v>
      </c>
    </row>
    <row r="16" spans="3:13" ht="14" x14ac:dyDescent="0.15">
      <c r="C16" s="15" t="s">
        <v>74</v>
      </c>
      <c r="D16" s="21">
        <v>66.36</v>
      </c>
      <c r="E16" s="21">
        <v>69.677999999999997</v>
      </c>
      <c r="F16" s="21">
        <v>73.161900000000003</v>
      </c>
      <c r="G16" s="21">
        <v>76.819995000000006</v>
      </c>
      <c r="H16" s="21">
        <v>80.66099475</v>
      </c>
      <c r="I16" s="21">
        <v>84.694044487500008</v>
      </c>
      <c r="J16" s="21">
        <v>84.694044487500008</v>
      </c>
      <c r="K16" s="21">
        <v>84.694044487500008</v>
      </c>
      <c r="L16" s="21">
        <v>84.694044487500008</v>
      </c>
      <c r="M16" s="21">
        <v>84.694044487500008</v>
      </c>
    </row>
    <row r="17" spans="3:13" ht="14" x14ac:dyDescent="0.15">
      <c r="C17" s="15" t="s">
        <v>75</v>
      </c>
      <c r="D17" s="21">
        <v>18.689999999999998</v>
      </c>
      <c r="E17" s="21">
        <v>21.36</v>
      </c>
      <c r="F17" s="21">
        <v>24.03</v>
      </c>
      <c r="G17" s="21">
        <v>25.364999999999998</v>
      </c>
      <c r="H17" s="21">
        <v>25.364999999999998</v>
      </c>
      <c r="I17" s="21">
        <v>25.364999999999998</v>
      </c>
      <c r="J17" s="21">
        <v>25.364999999999998</v>
      </c>
      <c r="K17" s="21">
        <v>25.364999999999998</v>
      </c>
      <c r="L17" s="21">
        <v>25.364999999999998</v>
      </c>
      <c r="M17" s="21">
        <v>25.364999999999998</v>
      </c>
    </row>
    <row r="18" spans="3:13" ht="14" x14ac:dyDescent="0.15">
      <c r="C18" s="15" t="s">
        <v>176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</row>
    <row r="19" spans="3:13" ht="14" x14ac:dyDescent="0.15">
      <c r="C19" s="15" t="s">
        <v>76</v>
      </c>
      <c r="D19" s="21">
        <v>281.93660526315784</v>
      </c>
      <c r="E19" s="21">
        <v>322.21326315789474</v>
      </c>
      <c r="F19" s="21">
        <v>362.48992105263159</v>
      </c>
      <c r="G19" s="21">
        <v>382.62824999999992</v>
      </c>
      <c r="H19" s="21">
        <v>382.62824999999992</v>
      </c>
      <c r="I19" s="21">
        <v>382.62824999999992</v>
      </c>
      <c r="J19" s="21">
        <v>382.62824999999992</v>
      </c>
      <c r="K19" s="21">
        <v>382.62824999999992</v>
      </c>
      <c r="L19" s="21">
        <v>382.62824999999992</v>
      </c>
      <c r="M19" s="21">
        <v>382.62824999999992</v>
      </c>
    </row>
    <row r="20" spans="3:13" ht="14" x14ac:dyDescent="0.15">
      <c r="C20" s="15" t="s">
        <v>77</v>
      </c>
      <c r="D20" s="21">
        <v>20.097852818779096</v>
      </c>
      <c r="E20" s="21">
        <v>17.151320802118761</v>
      </c>
      <c r="F20" s="21">
        <v>14.643361292649649</v>
      </c>
      <c r="G20" s="21">
        <v>12.508358779058472</v>
      </c>
      <c r="H20" s="21">
        <v>10.690531558490656</v>
      </c>
      <c r="I20" s="21">
        <v>9.1424570911934673</v>
      </c>
      <c r="J20" s="21">
        <v>7.823818530667034</v>
      </c>
      <c r="K20" s="21">
        <v>6.7003392540619364</v>
      </c>
      <c r="L20" s="21">
        <v>5.742877193797856</v>
      </c>
      <c r="M20" s="21">
        <v>4.9266550011811265</v>
      </c>
    </row>
    <row r="21" spans="3:13" ht="14" x14ac:dyDescent="0.15">
      <c r="C21" s="15" t="s">
        <v>322</v>
      </c>
      <c r="D21" s="21">
        <v>0.3</v>
      </c>
      <c r="E21" s="21">
        <v>0.3</v>
      </c>
      <c r="F21" s="21">
        <v>0.3</v>
      </c>
      <c r="G21" s="21">
        <v>0.3</v>
      </c>
      <c r="H21" s="21">
        <v>0.3</v>
      </c>
      <c r="I21" s="21">
        <v>0.36</v>
      </c>
      <c r="J21" s="21">
        <v>0.36</v>
      </c>
      <c r="K21" s="21">
        <v>0.36</v>
      </c>
      <c r="L21" s="21">
        <v>0.36</v>
      </c>
      <c r="M21" s="21">
        <v>0.36</v>
      </c>
    </row>
    <row r="22" spans="3:13" ht="14" x14ac:dyDescent="0.15">
      <c r="C22" s="15" t="s">
        <v>321</v>
      </c>
      <c r="D22" s="21">
        <v>15.584800000000001</v>
      </c>
      <c r="E22" s="21">
        <v>17.811200000000003</v>
      </c>
      <c r="F22" s="21">
        <v>20.037600000000001</v>
      </c>
      <c r="G22" s="21">
        <v>21.150800000000004</v>
      </c>
      <c r="H22" s="21">
        <v>21.150800000000004</v>
      </c>
      <c r="I22" s="21">
        <v>21.150800000000004</v>
      </c>
      <c r="J22" s="21">
        <v>21.150800000000004</v>
      </c>
      <c r="K22" s="21">
        <v>21.150800000000004</v>
      </c>
      <c r="L22" s="21">
        <v>21.150800000000004</v>
      </c>
      <c r="M22" s="21">
        <v>21.150800000000004</v>
      </c>
    </row>
    <row r="23" spans="3:13" ht="14" x14ac:dyDescent="0.15">
      <c r="C23" s="15" t="s">
        <v>78</v>
      </c>
      <c r="D23" s="21">
        <v>2169.6210054503581</v>
      </c>
      <c r="E23" s="21">
        <v>2467.5443523810668</v>
      </c>
      <c r="F23" s="21">
        <v>2766.0721718189661</v>
      </c>
      <c r="G23" s="21">
        <v>2916.3712037790579</v>
      </c>
      <c r="H23" s="21">
        <v>2918.3943763084903</v>
      </c>
      <c r="I23" s="21">
        <v>2920.9393515786928</v>
      </c>
      <c r="J23" s="21">
        <v>2919.620713018166</v>
      </c>
      <c r="K23" s="21">
        <v>2918.4972337415611</v>
      </c>
      <c r="L23" s="21">
        <v>2917.5397716812972</v>
      </c>
      <c r="M23" s="21">
        <v>2916.7235494886804</v>
      </c>
    </row>
    <row r="24" spans="3:13" x14ac:dyDescent="0.15">
      <c r="C24" s="15"/>
      <c r="D24" s="21"/>
      <c r="E24" s="21"/>
      <c r="F24" s="21"/>
      <c r="G24" s="21"/>
      <c r="H24" s="21"/>
      <c r="I24" s="21"/>
      <c r="J24" s="21"/>
      <c r="K24" s="21"/>
      <c r="L24" s="21"/>
      <c r="M24" s="21"/>
    </row>
    <row r="25" spans="3:13" ht="14" x14ac:dyDescent="0.15">
      <c r="C25" s="15" t="s">
        <v>79</v>
      </c>
      <c r="D25" s="21">
        <v>947.33899454964194</v>
      </c>
      <c r="E25" s="21">
        <v>1094.6956476189334</v>
      </c>
      <c r="F25" s="21">
        <v>1241.4478281810339</v>
      </c>
      <c r="G25" s="21">
        <v>1313.7887962209429</v>
      </c>
      <c r="H25" s="21">
        <v>1311.7656236915104</v>
      </c>
      <c r="I25" s="21">
        <v>1309.2206484213079</v>
      </c>
      <c r="J25" s="21">
        <v>1310.5392869818347</v>
      </c>
      <c r="K25" s="21">
        <v>1311.6627662584397</v>
      </c>
      <c r="L25" s="21">
        <v>1312.6202283187035</v>
      </c>
      <c r="M25" s="21">
        <v>1313.4364505113203</v>
      </c>
    </row>
    <row r="26" spans="3:13" ht="28" x14ac:dyDescent="0.15">
      <c r="C26" s="15" t="s">
        <v>80</v>
      </c>
      <c r="D26" s="21">
        <v>92</v>
      </c>
      <c r="E26" s="21">
        <v>86.25</v>
      </c>
      <c r="F26" s="21">
        <v>70.916666666666643</v>
      </c>
      <c r="G26" s="21">
        <v>55.583333333333307</v>
      </c>
      <c r="H26" s="21">
        <v>40.249999999999979</v>
      </c>
      <c r="I26" s="21">
        <v>24.916666666666647</v>
      </c>
      <c r="J26" s="21">
        <v>9.5833333333333091</v>
      </c>
      <c r="K26" s="21">
        <v>-2.4513724383723458E-14</v>
      </c>
      <c r="L26" s="21">
        <v>-2.4513724383723458E-14</v>
      </c>
      <c r="M26" s="21">
        <v>-2.4513724383723458E-14</v>
      </c>
    </row>
    <row r="27" spans="3:13" ht="28" x14ac:dyDescent="0.15">
      <c r="C27" s="15" t="s">
        <v>81</v>
      </c>
      <c r="D27" s="21">
        <v>31.667865871710521</v>
      </c>
      <c r="E27" s="21">
        <v>36.19184671052632</v>
      </c>
      <c r="F27" s="21">
        <v>40.715827549342116</v>
      </c>
      <c r="G27" s="21">
        <v>42.977817968750003</v>
      </c>
      <c r="H27" s="21">
        <v>42.977817968750003</v>
      </c>
      <c r="I27" s="21">
        <v>42.977817968750003</v>
      </c>
      <c r="J27" s="21">
        <v>42.977817968750003</v>
      </c>
      <c r="K27" s="21">
        <v>42.977817968750003</v>
      </c>
      <c r="L27" s="21">
        <v>42.977817968750003</v>
      </c>
      <c r="M27" s="21">
        <v>42.977817968750003</v>
      </c>
    </row>
    <row r="28" spans="3:13" ht="14" x14ac:dyDescent="0.15">
      <c r="C28" s="15" t="s">
        <v>39</v>
      </c>
      <c r="D28" s="21">
        <v>199.21813550766032</v>
      </c>
      <c r="E28" s="21">
        <v>199.21813550766032</v>
      </c>
      <c r="F28" s="21">
        <v>199.21813550766032</v>
      </c>
      <c r="G28" s="21">
        <v>199.21813550766032</v>
      </c>
      <c r="H28" s="21">
        <v>199.21813550766032</v>
      </c>
      <c r="I28" s="21">
        <v>199.21813550766032</v>
      </c>
      <c r="J28" s="21">
        <v>199.21813550766032</v>
      </c>
      <c r="K28" s="21">
        <v>199.21813550766032</v>
      </c>
      <c r="L28" s="21">
        <v>199.21813550766032</v>
      </c>
      <c r="M28" s="21">
        <v>140.08053219878937</v>
      </c>
    </row>
    <row r="29" spans="3:13" ht="14" x14ac:dyDescent="0.15">
      <c r="C29" s="15" t="s">
        <v>82</v>
      </c>
      <c r="D29" s="21">
        <v>624.45299317027116</v>
      </c>
      <c r="E29" s="21">
        <v>773.03566540074678</v>
      </c>
      <c r="F29" s="21">
        <v>930.59719845736481</v>
      </c>
      <c r="G29" s="21">
        <v>1016.0095094111992</v>
      </c>
      <c r="H29" s="21">
        <v>1029.3196702151001</v>
      </c>
      <c r="I29" s="21">
        <v>1042.1080282782309</v>
      </c>
      <c r="J29" s="21">
        <v>1058.7600001720912</v>
      </c>
      <c r="K29" s="21">
        <v>1069.4668127820294</v>
      </c>
      <c r="L29" s="21">
        <v>1070.4242748422932</v>
      </c>
      <c r="M29" s="21">
        <v>1130.3781003437809</v>
      </c>
    </row>
    <row r="30" spans="3:13" ht="14" x14ac:dyDescent="0.15">
      <c r="C30" s="15" t="s">
        <v>83</v>
      </c>
      <c r="D30" s="21">
        <v>162.28262392374964</v>
      </c>
      <c r="E30" s="21">
        <v>230.31644368248286</v>
      </c>
      <c r="F30" s="21">
        <v>298.77868828785694</v>
      </c>
      <c r="G30" s="21">
        <v>340.48714107095617</v>
      </c>
      <c r="H30" s="21">
        <v>355.79205293806621</v>
      </c>
      <c r="I30" s="21">
        <v>369.30771192739286</v>
      </c>
      <c r="J30" s="21">
        <v>382.76624364525401</v>
      </c>
      <c r="K30" s="21">
        <v>393.03895331185822</v>
      </c>
      <c r="L30" s="21">
        <v>399.00731984957304</v>
      </c>
      <c r="M30" s="21">
        <v>404.08549687417701</v>
      </c>
    </row>
    <row r="31" spans="3:13" ht="14" x14ac:dyDescent="0.15">
      <c r="C31" s="15" t="s">
        <v>84</v>
      </c>
      <c r="D31" s="21">
        <v>462.17036924652155</v>
      </c>
      <c r="E31" s="21">
        <v>542.71922171826395</v>
      </c>
      <c r="F31" s="21">
        <v>631.81851016950782</v>
      </c>
      <c r="G31" s="21">
        <v>675.52236834024302</v>
      </c>
      <c r="H31" s="21">
        <v>673.52761727703387</v>
      </c>
      <c r="I31" s="21">
        <v>672.8003163508381</v>
      </c>
      <c r="J31" s="21">
        <v>675.99375652683716</v>
      </c>
      <c r="K31" s="21">
        <v>676.42785947017114</v>
      </c>
      <c r="L31" s="21">
        <v>671.41695499272021</v>
      </c>
      <c r="M31" s="21">
        <v>726.29260346960393</v>
      </c>
    </row>
    <row r="32" spans="3:13" x14ac:dyDescent="0.15">
      <c r="C32" s="15"/>
      <c r="D32" s="21"/>
      <c r="E32" s="21"/>
      <c r="F32" s="21"/>
      <c r="G32" s="21"/>
      <c r="H32" s="21"/>
      <c r="I32" s="21"/>
      <c r="J32" s="21"/>
      <c r="K32" s="21"/>
      <c r="L32" s="21"/>
      <c r="M32" s="21"/>
    </row>
    <row r="33" spans="3:13" ht="14" x14ac:dyDescent="0.15">
      <c r="C33" s="15" t="s">
        <v>85</v>
      </c>
      <c r="D33" s="21">
        <v>661.38850475418189</v>
      </c>
      <c r="E33" s="21">
        <v>741.9373572259243</v>
      </c>
      <c r="F33" s="21">
        <v>831.03664567716817</v>
      </c>
      <c r="G33" s="21">
        <v>874.74050384790337</v>
      </c>
      <c r="H33" s="21">
        <v>872.74575278469422</v>
      </c>
      <c r="I33" s="21">
        <v>872.01845185849845</v>
      </c>
      <c r="J33" s="21">
        <v>875.21189203449751</v>
      </c>
      <c r="K33" s="21">
        <v>875.64599497783149</v>
      </c>
      <c r="L33" s="21">
        <v>870.63509050038056</v>
      </c>
      <c r="M33" s="21">
        <v>866.37313566839327</v>
      </c>
    </row>
  </sheetData>
  <pageMargins left="0.7" right="0.7" top="0.75" bottom="0.75" header="0.3" footer="0.3"/>
  <pageSetup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C2:M9"/>
  <sheetViews>
    <sheetView workbookViewId="0">
      <selection activeCell="K70" sqref="K70"/>
    </sheetView>
  </sheetViews>
  <sheetFormatPr baseColWidth="10" defaultColWidth="8.83203125" defaultRowHeight="13" x14ac:dyDescent="0.15"/>
  <cols>
    <col min="3" max="3" width="36.5" customWidth="1"/>
  </cols>
  <sheetData>
    <row r="2" spans="3:13" x14ac:dyDescent="0.15">
      <c r="C2" s="2" t="s">
        <v>51</v>
      </c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  <c r="J2" s="2">
        <v>7</v>
      </c>
      <c r="K2" s="2">
        <v>8</v>
      </c>
      <c r="L2" s="2">
        <v>9</v>
      </c>
      <c r="M2" s="2">
        <v>10</v>
      </c>
    </row>
    <row r="3" spans="3:13" x14ac:dyDescent="0.15">
      <c r="C3" s="2" t="s">
        <v>123</v>
      </c>
      <c r="D3" s="34">
        <v>0.30393043046739193</v>
      </c>
      <c r="E3" s="34">
        <v>0.30730541670941131</v>
      </c>
      <c r="F3" s="34">
        <v>0.30977957145093071</v>
      </c>
      <c r="G3" s="34">
        <v>0.3105766203219128</v>
      </c>
      <c r="H3" s="34">
        <v>0.31009834703451172</v>
      </c>
      <c r="I3" s="34">
        <v>0.30949672079101209</v>
      </c>
      <c r="J3" s="34">
        <v>0.30980844388435297</v>
      </c>
      <c r="K3" s="34">
        <v>0.3100740317762069</v>
      </c>
      <c r="L3" s="34">
        <v>0.31030037358367135</v>
      </c>
      <c r="M3" s="34">
        <v>0.31049332661443541</v>
      </c>
    </row>
    <row r="4" spans="3:13" x14ac:dyDescent="0.15">
      <c r="C4" s="2" t="s">
        <v>124</v>
      </c>
      <c r="D4" s="34">
        <v>0.14827600265852675</v>
      </c>
      <c r="E4" s="34">
        <v>0.15235335679748246</v>
      </c>
      <c r="F4" s="34">
        <v>0.15765823006984564</v>
      </c>
      <c r="G4" s="34">
        <v>0.15969191906222055</v>
      </c>
      <c r="H4" s="34">
        <v>0.1592203645434295</v>
      </c>
      <c r="I4" s="34">
        <v>0.15904843229353924</v>
      </c>
      <c r="J4" s="34">
        <v>0.15980335413479327</v>
      </c>
      <c r="K4" s="34">
        <v>0.15990597506244941</v>
      </c>
      <c r="L4" s="34">
        <v>0.15872140888115818</v>
      </c>
      <c r="M4" s="34">
        <v>0.17169388473949065</v>
      </c>
    </row>
    <row r="5" spans="3:13" x14ac:dyDescent="0.15">
      <c r="C5" s="2" t="s">
        <v>125</v>
      </c>
      <c r="D5" s="21">
        <v>0.36434251629414249</v>
      </c>
      <c r="E5" s="21">
        <v>0.24344624939879572</v>
      </c>
      <c r="F5" s="21">
        <v>0.15824629297066689</v>
      </c>
      <c r="G5" s="21">
        <v>9.8868055751979309E-2</v>
      </c>
      <c r="H5" s="21">
        <v>5.6505270548860481E-2</v>
      </c>
      <c r="I5" s="21">
        <v>2.4727423014603445E-2</v>
      </c>
      <c r="J5" s="21">
        <v>0</v>
      </c>
      <c r="K5" s="21">
        <v>0</v>
      </c>
      <c r="L5" s="21">
        <v>0</v>
      </c>
      <c r="M5" s="21">
        <v>0</v>
      </c>
    </row>
    <row r="6" spans="3:13" x14ac:dyDescent="0.15">
      <c r="C6" s="2" t="s">
        <v>126</v>
      </c>
      <c r="D6" s="21">
        <v>1.1351509363570016</v>
      </c>
      <c r="E6" s="21">
        <v>0.89648513660173335</v>
      </c>
      <c r="F6" s="21">
        <v>0.71479766409163681</v>
      </c>
      <c r="G6" s="21">
        <v>0.58892278460249681</v>
      </c>
      <c r="H6" s="21">
        <v>0.4881869225346212</v>
      </c>
      <c r="I6" s="21">
        <v>0.38729414342399149</v>
      </c>
      <c r="J6" s="21">
        <v>0.28516516823442634</v>
      </c>
      <c r="K6" s="21">
        <v>0.28492091554603538</v>
      </c>
      <c r="L6" s="21">
        <v>0.28471308622806091</v>
      </c>
      <c r="M6" s="21">
        <v>0.28453615407468774</v>
      </c>
    </row>
    <row r="7" spans="3:13" x14ac:dyDescent="0.15">
      <c r="C7" s="2" t="s">
        <v>127</v>
      </c>
      <c r="D7" s="21">
        <v>7.6603488535363269</v>
      </c>
      <c r="E7" s="21">
        <v>8.9405352583988957</v>
      </c>
      <c r="F7" s="21">
        <v>11.120846460519225</v>
      </c>
      <c r="G7" s="21">
        <v>13.329681916907285</v>
      </c>
      <c r="H7" s="21">
        <v>15.761143998561232</v>
      </c>
      <c r="I7" s="21">
        <v>19.283166452350724</v>
      </c>
      <c r="J7" s="21">
        <v>24.933610747028865</v>
      </c>
      <c r="K7" s="21">
        <v>30.519529102482018</v>
      </c>
      <c r="L7" s="21">
        <v>30.541807154405454</v>
      </c>
      <c r="M7" s="21">
        <v>30.560798862947063</v>
      </c>
    </row>
    <row r="8" spans="3:13" x14ac:dyDescent="0.15">
      <c r="C8" s="2" t="s">
        <v>128</v>
      </c>
      <c r="D8" s="21">
        <v>7.6603488535363269</v>
      </c>
      <c r="E8" s="21">
        <v>4.2799135061940641</v>
      </c>
      <c r="F8" s="21">
        <v>5.0678408519285245</v>
      </c>
      <c r="G8" s="21">
        <v>5.6654594363745865</v>
      </c>
      <c r="H8" s="21">
        <v>6.0572527242511534</v>
      </c>
      <c r="I8" s="21">
        <v>6.5061613331444335</v>
      </c>
      <c r="J8" s="21">
        <v>7.0499094663949515</v>
      </c>
      <c r="K8" s="21">
        <v>30.519529102482018</v>
      </c>
      <c r="L8" s="21">
        <v>30.541807154405454</v>
      </c>
      <c r="M8" s="21">
        <v>30.560798862947063</v>
      </c>
    </row>
    <row r="9" spans="3:13" x14ac:dyDescent="0.15">
      <c r="C9" s="2" t="s">
        <v>129</v>
      </c>
      <c r="D9" s="21">
        <v>5.8416944286937662</v>
      </c>
      <c r="E9" s="21"/>
      <c r="F9" s="21"/>
      <c r="G9" s="21"/>
      <c r="H9" s="21"/>
      <c r="I9" s="21"/>
      <c r="J9" s="21"/>
      <c r="K9" s="21"/>
      <c r="L9" s="21"/>
      <c r="M9" s="2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C3:N26"/>
  <sheetViews>
    <sheetView workbookViewId="0">
      <selection activeCell="K70" sqref="K70"/>
    </sheetView>
  </sheetViews>
  <sheetFormatPr baseColWidth="10" defaultColWidth="8.83203125" defaultRowHeight="13" x14ac:dyDescent="0.15"/>
  <cols>
    <col min="3" max="3" width="23" bestFit="1" customWidth="1"/>
    <col min="4" max="4" width="6.6640625" bestFit="1" customWidth="1"/>
    <col min="5" max="5" width="5.33203125" bestFit="1" customWidth="1"/>
    <col min="6" max="14" width="6.6640625" bestFit="1" customWidth="1"/>
  </cols>
  <sheetData>
    <row r="3" spans="3:14" ht="14" x14ac:dyDescent="0.15">
      <c r="C3" s="15" t="s">
        <v>91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3:14" x14ac:dyDescent="0.15">
      <c r="C4" s="35" t="s">
        <v>51</v>
      </c>
      <c r="D4" s="36">
        <v>0</v>
      </c>
      <c r="E4" s="36">
        <v>1</v>
      </c>
      <c r="F4" s="36">
        <v>2</v>
      </c>
      <c r="G4" s="36">
        <v>3</v>
      </c>
      <c r="H4" s="36">
        <v>4</v>
      </c>
      <c r="I4" s="36">
        <v>5</v>
      </c>
      <c r="J4" s="36">
        <v>6</v>
      </c>
      <c r="K4" s="36">
        <v>7</v>
      </c>
      <c r="L4" s="36">
        <v>8</v>
      </c>
      <c r="M4" s="36">
        <v>9</v>
      </c>
      <c r="N4" s="36">
        <v>10</v>
      </c>
    </row>
    <row r="5" spans="3:14" x14ac:dyDescent="0.15">
      <c r="C5" s="35" t="s">
        <v>92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</row>
    <row r="6" spans="3:14" x14ac:dyDescent="0.15">
      <c r="C6" s="509" t="s">
        <v>93</v>
      </c>
      <c r="D6" s="510"/>
      <c r="E6" s="510"/>
      <c r="F6" s="510"/>
      <c r="G6" s="510"/>
      <c r="H6" s="510"/>
      <c r="I6" s="510"/>
      <c r="J6" s="510"/>
      <c r="K6" s="510"/>
      <c r="L6" s="510"/>
      <c r="M6" s="510"/>
      <c r="N6" s="511"/>
    </row>
    <row r="7" spans="3:14" ht="14" x14ac:dyDescent="0.15">
      <c r="C7" s="37" t="s">
        <v>94</v>
      </c>
      <c r="D7" s="38"/>
      <c r="E7" s="38">
        <v>462.17036924652155</v>
      </c>
      <c r="F7" s="38">
        <v>542.71922171826395</v>
      </c>
      <c r="G7" s="38">
        <v>631.81851016950782</v>
      </c>
      <c r="H7" s="38">
        <v>675.52236834024302</v>
      </c>
      <c r="I7" s="38">
        <v>673.52761727703387</v>
      </c>
      <c r="J7" s="38">
        <v>672.8003163508381</v>
      </c>
      <c r="K7" s="38">
        <v>675.99375652683716</v>
      </c>
      <c r="L7" s="38">
        <v>676.42785947017114</v>
      </c>
      <c r="M7" s="38">
        <v>671.41695499272021</v>
      </c>
      <c r="N7" s="38">
        <v>726.29260346960393</v>
      </c>
    </row>
    <row r="8" spans="3:14" ht="14" x14ac:dyDescent="0.15">
      <c r="C8" s="37" t="s">
        <v>95</v>
      </c>
      <c r="D8" s="38"/>
      <c r="E8" s="38">
        <v>199.21813550766032</v>
      </c>
      <c r="F8" s="38">
        <v>199.21813550766032</v>
      </c>
      <c r="G8" s="38">
        <v>199.21813550766032</v>
      </c>
      <c r="H8" s="38">
        <v>199.21813550766032</v>
      </c>
      <c r="I8" s="38">
        <v>199.21813550766032</v>
      </c>
      <c r="J8" s="38">
        <v>199.21813550766032</v>
      </c>
      <c r="K8" s="38">
        <v>199.21813550766032</v>
      </c>
      <c r="L8" s="38">
        <v>199.21813550766032</v>
      </c>
      <c r="M8" s="38">
        <v>199.21813550766032</v>
      </c>
      <c r="N8" s="38">
        <v>140.08053219878937</v>
      </c>
    </row>
    <row r="9" spans="3:14" ht="14" x14ac:dyDescent="0.15">
      <c r="C9" s="37" t="s">
        <v>85</v>
      </c>
      <c r="D9" s="38"/>
      <c r="E9" s="38">
        <v>661.38850475418189</v>
      </c>
      <c r="F9" s="38">
        <v>741.9373572259243</v>
      </c>
      <c r="G9" s="38">
        <v>831.03664567716817</v>
      </c>
      <c r="H9" s="38">
        <v>874.74050384790337</v>
      </c>
      <c r="I9" s="38">
        <v>872.74575278469422</v>
      </c>
      <c r="J9" s="38">
        <v>872.01845185849845</v>
      </c>
      <c r="K9" s="38">
        <v>875.21189203449751</v>
      </c>
      <c r="L9" s="38">
        <v>875.64599497783149</v>
      </c>
      <c r="M9" s="38">
        <v>870.63509050038056</v>
      </c>
      <c r="N9" s="38">
        <v>866.37313566839327</v>
      </c>
    </row>
    <row r="10" spans="3:14" x14ac:dyDescent="0.15">
      <c r="C10" s="37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</row>
    <row r="11" spans="3:14" x14ac:dyDescent="0.15">
      <c r="C11" s="512" t="s">
        <v>96</v>
      </c>
      <c r="D11" s="513"/>
      <c r="E11" s="513"/>
      <c r="F11" s="513"/>
      <c r="G11" s="513"/>
      <c r="H11" s="513"/>
      <c r="I11" s="513"/>
      <c r="J11" s="513"/>
      <c r="K11" s="513"/>
      <c r="L11" s="513"/>
      <c r="M11" s="513"/>
      <c r="N11" s="514"/>
    </row>
    <row r="12" spans="3:14" ht="14" x14ac:dyDescent="0.15">
      <c r="C12" s="37" t="s">
        <v>28</v>
      </c>
      <c r="D12" s="38">
        <v>733.56568740995908</v>
      </c>
      <c r="E12" s="38"/>
      <c r="F12" s="38"/>
      <c r="G12" s="38"/>
      <c r="H12" s="38"/>
      <c r="I12" s="38"/>
      <c r="J12" s="38"/>
      <c r="K12" s="38"/>
      <c r="L12" s="38"/>
      <c r="M12" s="38"/>
      <c r="N12" s="38"/>
    </row>
    <row r="13" spans="3:14" ht="14" x14ac:dyDescent="0.15">
      <c r="C13" s="37" t="s">
        <v>97</v>
      </c>
      <c r="D13" s="38">
        <v>1000</v>
      </c>
      <c r="E13" s="38"/>
      <c r="F13" s="38"/>
      <c r="G13" s="38"/>
      <c r="H13" s="38"/>
      <c r="I13" s="38"/>
      <c r="J13" s="38"/>
      <c r="K13" s="38"/>
      <c r="L13" s="38"/>
      <c r="M13" s="38"/>
      <c r="N13" s="38"/>
    </row>
    <row r="14" spans="3:14" ht="14" x14ac:dyDescent="0.15">
      <c r="C14" s="37" t="s">
        <v>98</v>
      </c>
      <c r="D14" s="38">
        <v>800</v>
      </c>
      <c r="E14" s="38"/>
      <c r="F14" s="38"/>
      <c r="G14" s="38"/>
      <c r="H14" s="38"/>
      <c r="I14" s="38"/>
      <c r="J14" s="38"/>
      <c r="K14" s="38"/>
      <c r="L14" s="38"/>
      <c r="M14" s="38"/>
      <c r="N14" s="38"/>
    </row>
    <row r="15" spans="3:14" ht="28" x14ac:dyDescent="0.15">
      <c r="C15" s="37" t="s">
        <v>99</v>
      </c>
      <c r="D15" s="38">
        <v>0</v>
      </c>
      <c r="E15" s="38">
        <v>275.37274671052626</v>
      </c>
      <c r="F15" s="38">
        <v>39.338963815789555</v>
      </c>
      <c r="G15" s="38">
        <v>39.338963815789498</v>
      </c>
      <c r="H15" s="38">
        <v>19.669481907894692</v>
      </c>
      <c r="I15" s="38">
        <v>0</v>
      </c>
      <c r="J15" s="38">
        <v>0</v>
      </c>
      <c r="K15" s="38">
        <v>0</v>
      </c>
      <c r="L15" s="38">
        <v>0</v>
      </c>
      <c r="M15" s="38">
        <v>0</v>
      </c>
      <c r="N15" s="38">
        <v>0</v>
      </c>
    </row>
    <row r="16" spans="3:14" ht="14" x14ac:dyDescent="0.15">
      <c r="C16" s="37" t="s">
        <v>100</v>
      </c>
      <c r="D16" s="38">
        <v>2533.5656874099591</v>
      </c>
      <c r="E16" s="38">
        <v>936.76125146470815</v>
      </c>
      <c r="F16" s="38">
        <v>781.2763210417138</v>
      </c>
      <c r="G16" s="38">
        <v>870.37560949295766</v>
      </c>
      <c r="H16" s="38">
        <v>894.40998575579806</v>
      </c>
      <c r="I16" s="38">
        <v>872.74575278469422</v>
      </c>
      <c r="J16" s="38">
        <v>872.01845185849845</v>
      </c>
      <c r="K16" s="38">
        <v>875.21189203449751</v>
      </c>
      <c r="L16" s="38">
        <v>875.64599497783149</v>
      </c>
      <c r="M16" s="38">
        <v>870.63509050038056</v>
      </c>
      <c r="N16" s="38">
        <v>866.37313566839327</v>
      </c>
    </row>
    <row r="17" spans="3:14" x14ac:dyDescent="0.15">
      <c r="C17" s="37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</row>
    <row r="18" spans="3:14" x14ac:dyDescent="0.15">
      <c r="C18" s="512" t="s">
        <v>101</v>
      </c>
      <c r="D18" s="513"/>
      <c r="E18" s="513"/>
      <c r="F18" s="513"/>
      <c r="G18" s="513"/>
      <c r="H18" s="513"/>
      <c r="I18" s="513"/>
      <c r="J18" s="513"/>
      <c r="K18" s="513"/>
      <c r="L18" s="513"/>
      <c r="M18" s="513"/>
      <c r="N18" s="514"/>
    </row>
    <row r="19" spans="3:14" ht="14" x14ac:dyDescent="0.15">
      <c r="C19" s="37" t="s">
        <v>102</v>
      </c>
      <c r="D19" s="38">
        <v>2441.7747718397836</v>
      </c>
      <c r="E19" s="38"/>
      <c r="F19" s="38"/>
      <c r="G19" s="38"/>
      <c r="H19" s="38"/>
      <c r="I19" s="38"/>
      <c r="J19" s="38"/>
      <c r="K19" s="38"/>
      <c r="L19" s="38"/>
      <c r="M19" s="38"/>
      <c r="N19" s="38"/>
    </row>
    <row r="20" spans="3:14" ht="14" x14ac:dyDescent="0.15">
      <c r="C20" s="37" t="s">
        <v>103</v>
      </c>
      <c r="D20" s="38"/>
      <c r="E20" s="38">
        <v>367.16366228070171</v>
      </c>
      <c r="F20" s="38">
        <v>52.451951754386016</v>
      </c>
      <c r="G20" s="38">
        <v>52.451951754386016</v>
      </c>
      <c r="H20" s="38">
        <v>26.225975877192923</v>
      </c>
      <c r="I20" s="38">
        <v>0</v>
      </c>
      <c r="J20" s="38">
        <v>0</v>
      </c>
      <c r="K20" s="38">
        <v>0</v>
      </c>
      <c r="L20" s="38">
        <v>0</v>
      </c>
      <c r="M20" s="38">
        <v>0</v>
      </c>
      <c r="N20" s="38">
        <v>0</v>
      </c>
    </row>
    <row r="21" spans="3:14" ht="14" x14ac:dyDescent="0.15">
      <c r="C21" s="37" t="s">
        <v>104</v>
      </c>
      <c r="D21" s="38"/>
      <c r="E21" s="38">
        <v>0</v>
      </c>
      <c r="F21" s="38">
        <v>133.33333333333334</v>
      </c>
      <c r="G21" s="38">
        <v>133.33333333333334</v>
      </c>
      <c r="H21" s="38">
        <v>133.33333333333334</v>
      </c>
      <c r="I21" s="38">
        <v>133.33333333333334</v>
      </c>
      <c r="J21" s="38">
        <v>133.33333333333334</v>
      </c>
      <c r="K21" s="38">
        <v>133.33333333333334</v>
      </c>
      <c r="L21" s="38">
        <v>0</v>
      </c>
      <c r="M21" s="38">
        <v>0</v>
      </c>
      <c r="N21" s="38">
        <v>0</v>
      </c>
    </row>
    <row r="22" spans="3:14" ht="14" x14ac:dyDescent="0.15">
      <c r="C22" s="37" t="s">
        <v>105</v>
      </c>
      <c r="D22" s="38">
        <v>2441.7747718397836</v>
      </c>
      <c r="E22" s="38">
        <v>367.16366228070171</v>
      </c>
      <c r="F22" s="38">
        <v>185.78528508771936</v>
      </c>
      <c r="G22" s="38">
        <v>185.78528508771936</v>
      </c>
      <c r="H22" s="38">
        <v>159.55930921052627</v>
      </c>
      <c r="I22" s="38">
        <v>133.33333333333334</v>
      </c>
      <c r="J22" s="38">
        <v>133.33333333333334</v>
      </c>
      <c r="K22" s="38">
        <v>133.33333333333334</v>
      </c>
      <c r="L22" s="38">
        <v>0</v>
      </c>
      <c r="M22" s="38">
        <v>0</v>
      </c>
      <c r="N22" s="38">
        <v>0</v>
      </c>
    </row>
    <row r="23" spans="3:14" x14ac:dyDescent="0.15">
      <c r="C23" s="37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</row>
    <row r="24" spans="3:14" ht="14" x14ac:dyDescent="0.15">
      <c r="C24" s="37" t="s">
        <v>106</v>
      </c>
      <c r="D24" s="38">
        <v>0</v>
      </c>
      <c r="E24" s="38">
        <v>91.790915570175457</v>
      </c>
      <c r="F24" s="38">
        <v>661.38850475418189</v>
      </c>
      <c r="G24" s="38">
        <v>1256.8795407081764</v>
      </c>
      <c r="H24" s="38">
        <v>1941.4698651134147</v>
      </c>
      <c r="I24" s="38">
        <v>2676.3205416586866</v>
      </c>
      <c r="J24" s="38">
        <v>3415.7329611100477</v>
      </c>
      <c r="K24" s="38">
        <v>4154.418079635213</v>
      </c>
      <c r="L24" s="38">
        <v>4896.2966383363773</v>
      </c>
      <c r="M24" s="38">
        <v>5771.9426333142092</v>
      </c>
      <c r="N24" s="38">
        <v>6642.5777238145893</v>
      </c>
    </row>
    <row r="25" spans="3:14" ht="14" x14ac:dyDescent="0.15">
      <c r="C25" s="37" t="s">
        <v>107</v>
      </c>
      <c r="D25" s="38">
        <v>91.790915570175457</v>
      </c>
      <c r="E25" s="38">
        <v>569.59758918400644</v>
      </c>
      <c r="F25" s="38">
        <v>595.49103595399447</v>
      </c>
      <c r="G25" s="38">
        <v>684.59032440523833</v>
      </c>
      <c r="H25" s="38">
        <v>734.85067654527177</v>
      </c>
      <c r="I25" s="38">
        <v>739.41241945136085</v>
      </c>
      <c r="J25" s="38">
        <v>738.68511852516508</v>
      </c>
      <c r="K25" s="38">
        <v>741.87855870116414</v>
      </c>
      <c r="L25" s="38">
        <v>875.64599497783149</v>
      </c>
      <c r="M25" s="38">
        <v>870.63509050038056</v>
      </c>
      <c r="N25" s="38">
        <v>866.37313566839327</v>
      </c>
    </row>
    <row r="26" spans="3:14" ht="14" x14ac:dyDescent="0.15">
      <c r="C26" s="37" t="s">
        <v>108</v>
      </c>
      <c r="D26" s="38">
        <v>91.790915570175457</v>
      </c>
      <c r="E26" s="38">
        <v>661.38850475418189</v>
      </c>
      <c r="F26" s="38">
        <v>1256.8795407081764</v>
      </c>
      <c r="G26" s="38">
        <v>1941.4698651134147</v>
      </c>
      <c r="H26" s="38">
        <v>2676.3205416586866</v>
      </c>
      <c r="I26" s="38">
        <v>3415.7329611100477</v>
      </c>
      <c r="J26" s="38">
        <v>4154.418079635213</v>
      </c>
      <c r="K26" s="38">
        <v>4896.2966383363773</v>
      </c>
      <c r="L26" s="38">
        <v>5771.9426333142092</v>
      </c>
      <c r="M26" s="38">
        <v>6642.5777238145893</v>
      </c>
      <c r="N26" s="38">
        <v>7508.9508594829822</v>
      </c>
    </row>
  </sheetData>
  <mergeCells count="3">
    <mergeCell ref="C6:N6"/>
    <mergeCell ref="C11:N11"/>
    <mergeCell ref="C18:N1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C3:N19"/>
  <sheetViews>
    <sheetView workbookViewId="0">
      <selection activeCell="K70" sqref="K70"/>
    </sheetView>
  </sheetViews>
  <sheetFormatPr baseColWidth="10" defaultColWidth="8.83203125" defaultRowHeight="13" x14ac:dyDescent="0.15"/>
  <cols>
    <col min="3" max="3" width="21.1640625" bestFit="1" customWidth="1"/>
    <col min="4" max="14" width="6.6640625" customWidth="1"/>
  </cols>
  <sheetData>
    <row r="3" spans="3:14" x14ac:dyDescent="0.15">
      <c r="C3" s="3" t="s">
        <v>431</v>
      </c>
      <c r="D3" s="39">
        <v>0</v>
      </c>
      <c r="E3" s="39">
        <v>1</v>
      </c>
      <c r="F3" s="39">
        <v>2</v>
      </c>
      <c r="G3" s="39">
        <v>3</v>
      </c>
      <c r="H3" s="39">
        <v>4</v>
      </c>
      <c r="I3" s="39">
        <v>5</v>
      </c>
      <c r="J3" s="39">
        <v>6</v>
      </c>
      <c r="K3" s="39">
        <v>7</v>
      </c>
      <c r="L3" s="39">
        <v>8</v>
      </c>
      <c r="M3" s="39">
        <v>9</v>
      </c>
      <c r="N3" s="39">
        <v>10</v>
      </c>
    </row>
    <row r="4" spans="3:14" x14ac:dyDescent="0.15">
      <c r="C4" s="2" t="s">
        <v>110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3:14" x14ac:dyDescent="0.15">
      <c r="C5" s="2" t="s">
        <v>111</v>
      </c>
      <c r="D5" s="39">
        <v>733.56568740995908</v>
      </c>
      <c r="E5" s="39">
        <v>733.56568740995908</v>
      </c>
      <c r="F5" s="39">
        <v>733.56568740995908</v>
      </c>
      <c r="G5" s="39">
        <v>733.56568740995908</v>
      </c>
      <c r="H5" s="39">
        <v>733.56568740995908</v>
      </c>
      <c r="I5" s="39">
        <v>733.56568740995908</v>
      </c>
      <c r="J5" s="39">
        <v>733.56568740995908</v>
      </c>
      <c r="K5" s="39">
        <v>733.56568740995908</v>
      </c>
      <c r="L5" s="39">
        <v>733.56568740995908</v>
      </c>
      <c r="M5" s="39">
        <v>733.56568740995908</v>
      </c>
      <c r="N5" s="39">
        <v>733.56568740995908</v>
      </c>
    </row>
    <row r="6" spans="3:14" x14ac:dyDescent="0.15">
      <c r="C6" s="2" t="s">
        <v>112</v>
      </c>
      <c r="D6" s="39">
        <v>0</v>
      </c>
      <c r="E6" s="39">
        <v>462.17036924652155</v>
      </c>
      <c r="F6" s="39">
        <v>1004.8895909647855</v>
      </c>
      <c r="G6" s="39">
        <v>1636.7081011342934</v>
      </c>
      <c r="H6" s="39">
        <v>2312.2304694745362</v>
      </c>
      <c r="I6" s="39">
        <v>2985.7580867515699</v>
      </c>
      <c r="J6" s="39">
        <v>3658.5584031024082</v>
      </c>
      <c r="K6" s="39">
        <v>4334.5521596292456</v>
      </c>
      <c r="L6" s="39">
        <v>5010.9800190994165</v>
      </c>
      <c r="M6" s="39">
        <v>5682.3969740921366</v>
      </c>
      <c r="N6" s="39">
        <v>6408.6895775617404</v>
      </c>
    </row>
    <row r="7" spans="3:14" x14ac:dyDescent="0.15">
      <c r="C7" s="2" t="s">
        <v>113</v>
      </c>
      <c r="D7" s="39">
        <v>1000</v>
      </c>
      <c r="E7" s="39">
        <v>1000</v>
      </c>
      <c r="F7" s="39">
        <v>1000</v>
      </c>
      <c r="G7" s="39">
        <v>1000</v>
      </c>
      <c r="H7" s="39">
        <v>1000</v>
      </c>
      <c r="I7" s="39">
        <v>1000</v>
      </c>
      <c r="J7" s="39">
        <v>1000</v>
      </c>
      <c r="K7" s="39">
        <v>1000</v>
      </c>
      <c r="L7" s="39">
        <v>1000</v>
      </c>
      <c r="M7" s="39">
        <v>1000</v>
      </c>
      <c r="N7" s="39">
        <v>1000</v>
      </c>
    </row>
    <row r="8" spans="3:14" x14ac:dyDescent="0.15">
      <c r="C8" s="2" t="s">
        <v>114</v>
      </c>
      <c r="D8" s="39">
        <v>1733.5656874099591</v>
      </c>
      <c r="E8" s="39">
        <v>2195.7360566564807</v>
      </c>
      <c r="F8" s="39">
        <v>2738.4552783747445</v>
      </c>
      <c r="G8" s="39">
        <v>3370.2737885442525</v>
      </c>
      <c r="H8" s="39">
        <v>4045.7961568844953</v>
      </c>
      <c r="I8" s="39">
        <v>4719.3237741615285</v>
      </c>
      <c r="J8" s="39">
        <v>5392.1240905123668</v>
      </c>
      <c r="K8" s="39">
        <v>6068.1178470392042</v>
      </c>
      <c r="L8" s="39">
        <v>6744.545706509376</v>
      </c>
      <c r="M8" s="39">
        <v>7415.9626615020952</v>
      </c>
      <c r="N8" s="39">
        <v>8142.2552649716999</v>
      </c>
    </row>
    <row r="9" spans="3:14" x14ac:dyDescent="0.15">
      <c r="C9" s="2" t="s">
        <v>98</v>
      </c>
      <c r="D9" s="39">
        <v>800</v>
      </c>
      <c r="E9" s="39">
        <v>800</v>
      </c>
      <c r="F9" s="39">
        <v>666.66666666666663</v>
      </c>
      <c r="G9" s="39">
        <v>533.33333333333326</v>
      </c>
      <c r="H9" s="39">
        <v>399.99999999999989</v>
      </c>
      <c r="I9" s="39">
        <v>266.66666666666652</v>
      </c>
      <c r="J9" s="39">
        <v>133.33333333333317</v>
      </c>
      <c r="K9" s="39">
        <v>0</v>
      </c>
      <c r="L9" s="39">
        <v>0</v>
      </c>
      <c r="M9" s="39">
        <v>0</v>
      </c>
      <c r="N9" s="39">
        <v>0</v>
      </c>
    </row>
    <row r="10" spans="3:14" x14ac:dyDescent="0.15">
      <c r="C10" s="2" t="s">
        <v>115</v>
      </c>
      <c r="D10" s="39">
        <v>0</v>
      </c>
      <c r="E10" s="39">
        <v>275.37274671052626</v>
      </c>
      <c r="F10" s="39">
        <v>314.71171052631581</v>
      </c>
      <c r="G10" s="39">
        <v>354.05067434210531</v>
      </c>
      <c r="H10" s="39">
        <v>373.72015625</v>
      </c>
      <c r="I10" s="39">
        <v>373.72015625</v>
      </c>
      <c r="J10" s="39">
        <v>373.72015625</v>
      </c>
      <c r="K10" s="39">
        <v>373.72015625</v>
      </c>
      <c r="L10" s="39">
        <v>373.72015625</v>
      </c>
      <c r="M10" s="39">
        <v>373.72015625</v>
      </c>
      <c r="N10" s="39">
        <v>373.72015625</v>
      </c>
    </row>
    <row r="11" spans="3:14" x14ac:dyDescent="0.15">
      <c r="C11" s="2" t="s">
        <v>116</v>
      </c>
      <c r="D11" s="39">
        <v>2533.5656874099591</v>
      </c>
      <c r="E11" s="39">
        <v>3271.1088033670071</v>
      </c>
      <c r="F11" s="39">
        <v>3719.833655567727</v>
      </c>
      <c r="G11" s="39">
        <v>4257.6577962196916</v>
      </c>
      <c r="H11" s="39">
        <v>4819.5163131344952</v>
      </c>
      <c r="I11" s="39">
        <v>5359.710597078195</v>
      </c>
      <c r="J11" s="39">
        <v>5899.1775800957003</v>
      </c>
      <c r="K11" s="39">
        <v>6441.8380032892046</v>
      </c>
      <c r="L11" s="39">
        <v>7118.2658627593764</v>
      </c>
      <c r="M11" s="39">
        <v>7789.6828177520956</v>
      </c>
      <c r="N11" s="39">
        <v>8515.9754212216994</v>
      </c>
    </row>
    <row r="12" spans="3:14" x14ac:dyDescent="0.15">
      <c r="C12" s="2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</row>
    <row r="13" spans="3:14" x14ac:dyDescent="0.15">
      <c r="C13" s="2" t="s">
        <v>37</v>
      </c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</row>
    <row r="14" spans="3:14" x14ac:dyDescent="0.15">
      <c r="C14" s="2" t="s">
        <v>117</v>
      </c>
      <c r="D14" s="39">
        <v>2441.7747718397836</v>
      </c>
      <c r="E14" s="39">
        <v>2441.7747718397836</v>
      </c>
      <c r="F14" s="39">
        <v>2441.7747718397836</v>
      </c>
      <c r="G14" s="39">
        <v>2441.7747718397836</v>
      </c>
      <c r="H14" s="39">
        <v>2441.7747718397836</v>
      </c>
      <c r="I14" s="39">
        <v>2441.7747718397836</v>
      </c>
      <c r="J14" s="39">
        <v>2441.7747718397836</v>
      </c>
      <c r="K14" s="39">
        <v>2441.7747718397836</v>
      </c>
      <c r="L14" s="39">
        <v>2441.7747718397836</v>
      </c>
      <c r="M14" s="39">
        <v>2441.7747718397836</v>
      </c>
      <c r="N14" s="39">
        <v>2441.7747718397836</v>
      </c>
    </row>
    <row r="15" spans="3:14" x14ac:dyDescent="0.15">
      <c r="C15" s="2" t="s">
        <v>118</v>
      </c>
      <c r="D15" s="39">
        <v>0</v>
      </c>
      <c r="E15" s="39">
        <v>199.21813550766032</v>
      </c>
      <c r="F15" s="39">
        <v>398.43627101532064</v>
      </c>
      <c r="G15" s="39">
        <v>597.65440652298093</v>
      </c>
      <c r="H15" s="39">
        <v>796.87254203064128</v>
      </c>
      <c r="I15" s="39">
        <v>996.09067753830163</v>
      </c>
      <c r="J15" s="39">
        <v>1195.3088130459619</v>
      </c>
      <c r="K15" s="39">
        <v>1394.5269485536221</v>
      </c>
      <c r="L15" s="39">
        <v>1593.7450840612823</v>
      </c>
      <c r="M15" s="39">
        <v>1792.9632195689426</v>
      </c>
      <c r="N15" s="39">
        <v>1933.0437517677319</v>
      </c>
    </row>
    <row r="16" spans="3:14" x14ac:dyDescent="0.15">
      <c r="C16" s="2" t="s">
        <v>119</v>
      </c>
      <c r="D16" s="39">
        <v>2441.7747718397836</v>
      </c>
      <c r="E16" s="39">
        <v>2242.5566363321232</v>
      </c>
      <c r="F16" s="39">
        <v>2043.3385008244629</v>
      </c>
      <c r="G16" s="39">
        <v>1844.1203653168027</v>
      </c>
      <c r="H16" s="39">
        <v>1644.9022298091422</v>
      </c>
      <c r="I16" s="39">
        <v>1445.684094301482</v>
      </c>
      <c r="J16" s="39">
        <v>1246.4659587938218</v>
      </c>
      <c r="K16" s="39">
        <v>1047.2478232861615</v>
      </c>
      <c r="L16" s="39">
        <v>848.02968777850128</v>
      </c>
      <c r="M16" s="39">
        <v>648.81155227084105</v>
      </c>
      <c r="N16" s="39">
        <v>508.73102007205171</v>
      </c>
    </row>
    <row r="17" spans="3:14" x14ac:dyDescent="0.15">
      <c r="C17" s="2" t="s">
        <v>63</v>
      </c>
      <c r="D17" s="39">
        <v>0</v>
      </c>
      <c r="E17" s="39">
        <v>367.16366228070171</v>
      </c>
      <c r="F17" s="39">
        <v>419.61561403508773</v>
      </c>
      <c r="G17" s="39">
        <v>472.06756578947375</v>
      </c>
      <c r="H17" s="39">
        <v>498.29354166666667</v>
      </c>
      <c r="I17" s="39">
        <v>498.29354166666667</v>
      </c>
      <c r="J17" s="39">
        <v>498.29354166666667</v>
      </c>
      <c r="K17" s="39">
        <v>498.29354166666667</v>
      </c>
      <c r="L17" s="39">
        <v>498.29354166666667</v>
      </c>
      <c r="M17" s="39">
        <v>498.29354166666667</v>
      </c>
      <c r="N17" s="39">
        <v>498.29354166666667</v>
      </c>
    </row>
    <row r="18" spans="3:14" x14ac:dyDescent="0.15">
      <c r="C18" s="2" t="s">
        <v>120</v>
      </c>
      <c r="D18" s="39">
        <v>91.790915570175457</v>
      </c>
      <c r="E18" s="39">
        <v>661.38850475418189</v>
      </c>
      <c r="F18" s="39">
        <v>1256.8795407081764</v>
      </c>
      <c r="G18" s="39">
        <v>1941.4698651134147</v>
      </c>
      <c r="H18" s="39">
        <v>2676.3205416586866</v>
      </c>
      <c r="I18" s="39">
        <v>3415.7329611100477</v>
      </c>
      <c r="J18" s="39">
        <v>4154.418079635213</v>
      </c>
      <c r="K18" s="39">
        <v>4896.2966383363773</v>
      </c>
      <c r="L18" s="39">
        <v>5771.9426333142092</v>
      </c>
      <c r="M18" s="39">
        <v>6642.5777238145893</v>
      </c>
      <c r="N18" s="39">
        <v>7508.9508594829822</v>
      </c>
    </row>
    <row r="19" spans="3:14" x14ac:dyDescent="0.15">
      <c r="C19" s="2" t="s">
        <v>121</v>
      </c>
      <c r="D19" s="39">
        <v>2533.5656874099591</v>
      </c>
      <c r="E19" s="39">
        <v>3271.1088033670067</v>
      </c>
      <c r="F19" s="39">
        <v>3719.833655567727</v>
      </c>
      <c r="G19" s="39">
        <v>4257.6577962196916</v>
      </c>
      <c r="H19" s="39">
        <v>4819.5163131344962</v>
      </c>
      <c r="I19" s="39">
        <v>5359.7105970781959</v>
      </c>
      <c r="J19" s="39">
        <v>5899.1775800957012</v>
      </c>
      <c r="K19" s="39">
        <v>6441.8380032892055</v>
      </c>
      <c r="L19" s="39">
        <v>7118.2658627593773</v>
      </c>
      <c r="M19" s="39">
        <v>7789.6828177520965</v>
      </c>
      <c r="N19" s="39">
        <v>8515.9754212217013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1</vt:i4>
      </vt:variant>
    </vt:vector>
  </HeadingPairs>
  <TitlesOfParts>
    <vt:vector size="18" baseType="lpstr">
      <vt:lpstr>Basic Infrastructure</vt:lpstr>
      <vt:lpstr>Core Equipment </vt:lpstr>
      <vt:lpstr>Other Equipment</vt:lpstr>
      <vt:lpstr>Growing cost  assum</vt:lpstr>
      <vt:lpstr>Fin Assumptions</vt:lpstr>
      <vt:lpstr>Project Cost</vt:lpstr>
      <vt:lpstr>P&amp;L</vt:lpstr>
      <vt:lpstr>Debt</vt:lpstr>
      <vt:lpstr>Dep.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'Other Equipment'!Impression_des_titres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Singh/ IL&amp;FSCDI</dc:creator>
  <cp:lastModifiedBy>Microsoft Office User</cp:lastModifiedBy>
  <cp:lastPrinted>2009-01-28T16:17:31Z</cp:lastPrinted>
  <dcterms:created xsi:type="dcterms:W3CDTF">2009-01-28T15:51:36Z</dcterms:created>
  <dcterms:modified xsi:type="dcterms:W3CDTF">2023-07-22T11:17:09Z</dcterms:modified>
</cp:coreProperties>
</file>