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00 aaa TRAVAIL #\00 ECTI Eau_Energie\BAGHARA Tchad Artine\Phase 2\0 Dossier Redaction\Dossier en finalisation\modeles xls\"/>
    </mc:Choice>
  </mc:AlternateContent>
  <xr:revisionPtr revIDLastSave="0" documentId="13_ncr:1_{A2210539-C00D-416C-AE81-F2017DA8D5AF}" xr6:coauthVersionLast="47" xr6:coauthVersionMax="47" xr10:uidLastSave="{00000000-0000-0000-0000-000000000000}"/>
  <bookViews>
    <workbookView xWindow="-110" yWindow="-110" windowWidth="19420" windowHeight="10420" activeTab="2" xr2:uid="{E7EA91A0-C176-4E98-8905-64216025820C}"/>
  </bookViews>
  <sheets>
    <sheet name="Hypothèses Nour 3Moissons" sheetId="3" r:id="rId1"/>
    <sheet name="Hypothèses Nour Haraz" sheetId="2" r:id="rId2"/>
    <sheet name="VAN Nour  Baghar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0" i="2" l="1"/>
  <c r="E49" i="2"/>
  <c r="E30" i="3"/>
  <c r="E29" i="3"/>
  <c r="C45" i="4"/>
  <c r="D35" i="4"/>
  <c r="D36" i="4" s="1"/>
  <c r="E36" i="4" s="1"/>
  <c r="F36" i="4" s="1"/>
  <c r="G36" i="4" s="1"/>
  <c r="H36" i="4" s="1"/>
  <c r="I36" i="4" s="1"/>
  <c r="J36" i="4" s="1"/>
  <c r="K36" i="4" s="1"/>
  <c r="L36" i="4" s="1"/>
  <c r="M36" i="4" s="1"/>
  <c r="N36" i="4" s="1"/>
  <c r="O36" i="4" s="1"/>
  <c r="P36" i="4" s="1"/>
  <c r="Q36" i="4" s="1"/>
  <c r="R36" i="4" s="1"/>
  <c r="S36" i="4" s="1"/>
  <c r="T36" i="4" s="1"/>
  <c r="U36" i="4" s="1"/>
  <c r="V36" i="4" s="1"/>
  <c r="W36" i="4" s="1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F26" i="4"/>
  <c r="C34" i="3"/>
  <c r="F30" i="4"/>
  <c r="G30" i="4"/>
  <c r="C11" i="3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D18" i="4"/>
  <c r="C18" i="4"/>
  <c r="E27" i="3"/>
  <c r="F27" i="3" s="1"/>
  <c r="D27" i="3"/>
  <c r="D10" i="4" s="1"/>
  <c r="C27" i="3"/>
  <c r="C10" i="4" s="1"/>
  <c r="C9" i="3"/>
  <c r="C10" i="3"/>
  <c r="E10" i="4" l="1"/>
  <c r="J10" i="4" s="1"/>
  <c r="M34" i="3"/>
  <c r="N34" i="3" s="1"/>
  <c r="M33" i="3"/>
  <c r="N33" i="3" s="1"/>
  <c r="M32" i="3"/>
  <c r="N32" i="3" s="1"/>
  <c r="M31" i="3"/>
  <c r="N31" i="3" s="1"/>
  <c r="M30" i="3"/>
  <c r="N30" i="3" s="1"/>
  <c r="M29" i="3"/>
  <c r="N29" i="3" s="1"/>
  <c r="M28" i="3"/>
  <c r="M27" i="3"/>
  <c r="M26" i="3"/>
  <c r="M25" i="3"/>
  <c r="K19" i="3"/>
  <c r="N19" i="3"/>
  <c r="N10" i="4" l="1"/>
  <c r="V10" i="4"/>
  <c r="I10" i="4"/>
  <c r="H10" i="4"/>
  <c r="P10" i="4"/>
  <c r="W10" i="4"/>
  <c r="U10" i="4"/>
  <c r="F10" i="4"/>
  <c r="K10" i="4"/>
  <c r="S10" i="4"/>
  <c r="O10" i="4"/>
  <c r="Q10" i="4"/>
  <c r="M10" i="4"/>
  <c r="R10" i="4"/>
  <c r="T10" i="4"/>
  <c r="G10" i="4"/>
  <c r="L10" i="4"/>
  <c r="N35" i="3"/>
  <c r="N36" i="3" s="1"/>
  <c r="M35" i="3"/>
  <c r="M36" i="3" s="1"/>
  <c r="C45" i="2"/>
  <c r="C19" i="2"/>
  <c r="C21" i="3"/>
  <c r="C31" i="2"/>
  <c r="C11" i="2"/>
  <c r="C10" i="2"/>
  <c r="C37" i="2" s="1"/>
  <c r="C39" i="2" l="1"/>
  <c r="I16" i="4"/>
  <c r="M16" i="4"/>
  <c r="Q16" i="4"/>
  <c r="U16" i="4"/>
  <c r="D16" i="4"/>
  <c r="H16" i="4"/>
  <c r="T16" i="4"/>
  <c r="F16" i="4"/>
  <c r="J16" i="4"/>
  <c r="N16" i="4"/>
  <c r="R16" i="4"/>
  <c r="V16" i="4"/>
  <c r="C16" i="4"/>
  <c r="L16" i="4"/>
  <c r="E16" i="4"/>
  <c r="G16" i="4"/>
  <c r="K16" i="4"/>
  <c r="O16" i="4"/>
  <c r="S16" i="4"/>
  <c r="W16" i="4"/>
  <c r="P16" i="4"/>
  <c r="C28" i="2"/>
  <c r="C33" i="2" s="1"/>
  <c r="D14" i="4"/>
  <c r="C25" i="2"/>
  <c r="C14" i="4"/>
  <c r="D5" i="4"/>
  <c r="E5" i="4"/>
  <c r="E30" i="4" s="1"/>
  <c r="C5" i="4"/>
  <c r="N37" i="3"/>
  <c r="C12" i="3" s="1"/>
  <c r="C23" i="3"/>
  <c r="C46" i="2"/>
  <c r="S17" i="4" l="1"/>
  <c r="S19" i="4" s="1"/>
  <c r="E17" i="4"/>
  <c r="E19" i="4" s="1"/>
  <c r="R17" i="4"/>
  <c r="R19" i="4" s="1"/>
  <c r="T17" i="4"/>
  <c r="T19" i="4" s="1"/>
  <c r="Q17" i="4"/>
  <c r="Q19" i="4" s="1"/>
  <c r="O17" i="4"/>
  <c r="O19" i="4" s="1"/>
  <c r="L17" i="4"/>
  <c r="L19" i="4" s="1"/>
  <c r="N17" i="4"/>
  <c r="N19" i="4" s="1"/>
  <c r="H17" i="4"/>
  <c r="H19" i="4" s="1"/>
  <c r="M17" i="4"/>
  <c r="M19" i="4" s="1"/>
  <c r="P17" i="4"/>
  <c r="P19" i="4" s="1"/>
  <c r="K17" i="4"/>
  <c r="K19" i="4" s="1"/>
  <c r="C17" i="4"/>
  <c r="C19" i="4" s="1"/>
  <c r="J17" i="4"/>
  <c r="J19" i="4" s="1"/>
  <c r="D17" i="4"/>
  <c r="D19" i="4" s="1"/>
  <c r="I17" i="4"/>
  <c r="I19" i="4" s="1"/>
  <c r="W17" i="4"/>
  <c r="W19" i="4" s="1"/>
  <c r="G17" i="4"/>
  <c r="G19" i="4" s="1"/>
  <c r="V17" i="4"/>
  <c r="V19" i="4" s="1"/>
  <c r="F17" i="4"/>
  <c r="F19" i="4" s="1"/>
  <c r="U17" i="4"/>
  <c r="U19" i="4" s="1"/>
  <c r="C15" i="4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D30" i="4"/>
  <c r="C30" i="4"/>
  <c r="C8" i="4"/>
  <c r="C31" i="3"/>
  <c r="C6" i="4"/>
  <c r="D6" i="4"/>
  <c r="C35" i="2"/>
  <c r="C36" i="2" s="1"/>
  <c r="C9" i="4" l="1"/>
  <c r="C11" i="4" s="1"/>
  <c r="C22" i="4" s="1"/>
  <c r="D8" i="4"/>
  <c r="D9" i="4" s="1"/>
  <c r="C23" i="4"/>
  <c r="E6" i="4"/>
  <c r="D23" i="4"/>
  <c r="E8" i="4"/>
  <c r="E9" i="4" s="1"/>
  <c r="D11" i="4"/>
  <c r="D22" i="4" s="1"/>
  <c r="C40" i="2"/>
  <c r="C38" i="2"/>
  <c r="C41" i="2" s="1"/>
  <c r="C24" i="4" l="1"/>
  <c r="C33" i="4"/>
  <c r="C34" i="4" s="1"/>
  <c r="C37" i="4" s="1"/>
  <c r="D24" i="4"/>
  <c r="F6" i="4"/>
  <c r="E23" i="4"/>
  <c r="E11" i="4"/>
  <c r="E22" i="4" s="1"/>
  <c r="L8" i="4"/>
  <c r="W8" i="4"/>
  <c r="K8" i="4"/>
  <c r="O8" i="4"/>
  <c r="V8" i="4"/>
  <c r="P8" i="4"/>
  <c r="R8" i="4"/>
  <c r="H8" i="4"/>
  <c r="F8" i="4"/>
  <c r="U8" i="4"/>
  <c r="I8" i="4"/>
  <c r="T8" i="4"/>
  <c r="N8" i="4"/>
  <c r="S8" i="4"/>
  <c r="G8" i="4"/>
  <c r="J8" i="4"/>
  <c r="M8" i="4"/>
  <c r="Q8" i="4"/>
  <c r="J11" i="4" l="1"/>
  <c r="J22" i="4" s="1"/>
  <c r="J9" i="4"/>
  <c r="T9" i="4"/>
  <c r="T11" i="4" s="1"/>
  <c r="T22" i="4" s="1"/>
  <c r="H11" i="4"/>
  <c r="H22" i="4" s="1"/>
  <c r="H9" i="4"/>
  <c r="O9" i="4"/>
  <c r="O11" i="4" s="1"/>
  <c r="O22" i="4" s="1"/>
  <c r="G11" i="4"/>
  <c r="G22" i="4" s="1"/>
  <c r="G9" i="4"/>
  <c r="R9" i="4"/>
  <c r="R11" i="4" s="1"/>
  <c r="R22" i="4" s="1"/>
  <c r="Q11" i="4"/>
  <c r="Q22" i="4" s="1"/>
  <c r="Q9" i="4"/>
  <c r="S9" i="4"/>
  <c r="S11" i="4" s="1"/>
  <c r="S22" i="4" s="1"/>
  <c r="U11" i="4"/>
  <c r="U22" i="4" s="1"/>
  <c r="U9" i="4"/>
  <c r="P9" i="4"/>
  <c r="P11" i="4" s="1"/>
  <c r="P22" i="4" s="1"/>
  <c r="W11" i="4"/>
  <c r="W22" i="4" s="1"/>
  <c r="W9" i="4"/>
  <c r="M9" i="4"/>
  <c r="M11" i="4" s="1"/>
  <c r="M22" i="4" s="1"/>
  <c r="N11" i="4"/>
  <c r="N22" i="4" s="1"/>
  <c r="N9" i="4"/>
  <c r="F9" i="4"/>
  <c r="F11" i="4" s="1"/>
  <c r="F22" i="4" s="1"/>
  <c r="V11" i="4"/>
  <c r="V22" i="4" s="1"/>
  <c r="V9" i="4"/>
  <c r="L9" i="4"/>
  <c r="L11" i="4" s="1"/>
  <c r="L22" i="4" s="1"/>
  <c r="I11" i="4"/>
  <c r="I22" i="4" s="1"/>
  <c r="I9" i="4"/>
  <c r="K9" i="4"/>
  <c r="K11" i="4" s="1"/>
  <c r="K22" i="4" s="1"/>
  <c r="C50" i="4"/>
  <c r="C51" i="4" s="1"/>
  <c r="C46" i="4"/>
  <c r="C47" i="4" s="1"/>
  <c r="C41" i="4"/>
  <c r="C42" i="4" s="1"/>
  <c r="D33" i="4"/>
  <c r="D34" i="4" s="1"/>
  <c r="D37" i="4" s="1"/>
  <c r="E24" i="4"/>
  <c r="G6" i="4"/>
  <c r="F23" i="4"/>
  <c r="F24" i="4" l="1"/>
  <c r="D50" i="4"/>
  <c r="D51" i="4" s="1"/>
  <c r="D41" i="4"/>
  <c r="D42" i="4" s="1"/>
  <c r="D46" i="4"/>
  <c r="D47" i="4" s="1"/>
  <c r="F33" i="4"/>
  <c r="F34" i="4" s="1"/>
  <c r="F37" i="4" s="1"/>
  <c r="E33" i="4"/>
  <c r="E46" i="4" s="1"/>
  <c r="E47" i="4" s="1"/>
  <c r="H6" i="4"/>
  <c r="G23" i="4"/>
  <c r="G24" i="4" s="1"/>
  <c r="E41" i="4" l="1"/>
  <c r="G46" i="4"/>
  <c r="G47" i="4" s="1"/>
  <c r="F50" i="4"/>
  <c r="F51" i="4" s="1"/>
  <c r="F41" i="4"/>
  <c r="F42" i="4" s="1"/>
  <c r="E42" i="4"/>
  <c r="E50" i="4"/>
  <c r="E51" i="4" s="1"/>
  <c r="F46" i="4"/>
  <c r="F47" i="4" s="1"/>
  <c r="E34" i="4"/>
  <c r="E37" i="4" s="1"/>
  <c r="G33" i="4"/>
  <c r="G34" i="4" s="1"/>
  <c r="G37" i="4" s="1"/>
  <c r="H29" i="4"/>
  <c r="H30" i="4" s="1"/>
  <c r="I6" i="4"/>
  <c r="H23" i="4"/>
  <c r="H24" i="4" s="1"/>
  <c r="G41" i="4" l="1"/>
  <c r="G42" i="4" s="1"/>
  <c r="G50" i="4"/>
  <c r="G51" i="4" s="1"/>
  <c r="H33" i="4"/>
  <c r="H50" i="4" s="1"/>
  <c r="H51" i="4" s="1"/>
  <c r="I29" i="4"/>
  <c r="I30" i="4" s="1"/>
  <c r="J6" i="4"/>
  <c r="I23" i="4"/>
  <c r="I24" i="4" s="1"/>
  <c r="H46" i="4" l="1"/>
  <c r="H47" i="4" s="1"/>
  <c r="H41" i="4"/>
  <c r="H42" i="4" s="1"/>
  <c r="H34" i="4"/>
  <c r="H37" i="4" s="1"/>
  <c r="I33" i="4"/>
  <c r="J29" i="4"/>
  <c r="J30" i="4" s="1"/>
  <c r="K6" i="4"/>
  <c r="J23" i="4"/>
  <c r="J24" i="4" s="1"/>
  <c r="I46" i="4" l="1"/>
  <c r="I47" i="4" s="1"/>
  <c r="I41" i="4"/>
  <c r="I42" i="4" s="1"/>
  <c r="I50" i="4"/>
  <c r="I51" i="4" s="1"/>
  <c r="I34" i="4"/>
  <c r="I37" i="4" s="1"/>
  <c r="J33" i="4"/>
  <c r="J50" i="4" s="1"/>
  <c r="J51" i="4" s="1"/>
  <c r="K29" i="4"/>
  <c r="K30" i="4" s="1"/>
  <c r="L6" i="4"/>
  <c r="K23" i="4"/>
  <c r="K24" i="4" s="1"/>
  <c r="J41" i="4" l="1"/>
  <c r="J42" i="4" s="1"/>
  <c r="J46" i="4"/>
  <c r="J47" i="4" s="1"/>
  <c r="J34" i="4"/>
  <c r="J37" i="4" s="1"/>
  <c r="K33" i="4"/>
  <c r="K34" i="4" s="1"/>
  <c r="K37" i="4" s="1"/>
  <c r="L29" i="4"/>
  <c r="L30" i="4" s="1"/>
  <c r="M6" i="4"/>
  <c r="L23" i="4"/>
  <c r="L24" i="4" s="1"/>
  <c r="K50" i="4" l="1"/>
  <c r="K51" i="4" s="1"/>
  <c r="K41" i="4"/>
  <c r="K42" i="4" s="1"/>
  <c r="L46" i="4"/>
  <c r="L47" i="4" s="1"/>
  <c r="K46" i="4"/>
  <c r="K47" i="4" s="1"/>
  <c r="L33" i="4"/>
  <c r="L50" i="4" s="1"/>
  <c r="L51" i="4" s="1"/>
  <c r="M29" i="4"/>
  <c r="M30" i="4" s="1"/>
  <c r="N6" i="4"/>
  <c r="M23" i="4"/>
  <c r="M24" i="4" s="1"/>
  <c r="L41" i="4" l="1"/>
  <c r="L42" i="4" s="1"/>
  <c r="L34" i="4"/>
  <c r="L37" i="4" s="1"/>
  <c r="M33" i="4"/>
  <c r="M50" i="4" s="1"/>
  <c r="M51" i="4" s="1"/>
  <c r="N29" i="4"/>
  <c r="N30" i="4" s="1"/>
  <c r="O6" i="4"/>
  <c r="N23" i="4"/>
  <c r="N24" i="4" s="1"/>
  <c r="M46" i="4" l="1"/>
  <c r="M47" i="4" s="1"/>
  <c r="M41" i="4"/>
  <c r="M42" i="4" s="1"/>
  <c r="M34" i="4"/>
  <c r="M37" i="4" s="1"/>
  <c r="N33" i="4"/>
  <c r="N50" i="4" s="1"/>
  <c r="N51" i="4" s="1"/>
  <c r="O29" i="4"/>
  <c r="O30" i="4" s="1"/>
  <c r="P6" i="4"/>
  <c r="O23" i="4"/>
  <c r="O24" i="4" s="1"/>
  <c r="N41" i="4" l="1"/>
  <c r="N42" i="4" s="1"/>
  <c r="N46" i="4"/>
  <c r="N47" i="4" s="1"/>
  <c r="N34" i="4"/>
  <c r="N37" i="4" s="1"/>
  <c r="O33" i="4"/>
  <c r="O34" i="4" s="1"/>
  <c r="O37" i="4" s="1"/>
  <c r="P29" i="4"/>
  <c r="P30" i="4" s="1"/>
  <c r="Q6" i="4"/>
  <c r="P23" i="4"/>
  <c r="P24" i="4" s="1"/>
  <c r="O46" i="4" l="1"/>
  <c r="O47" i="4" s="1"/>
  <c r="O50" i="4"/>
  <c r="O51" i="4" s="1"/>
  <c r="O41" i="4"/>
  <c r="O42" i="4" s="1"/>
  <c r="P33" i="4"/>
  <c r="P41" i="4" s="1"/>
  <c r="Q29" i="4"/>
  <c r="Q30" i="4" s="1"/>
  <c r="R6" i="4"/>
  <c r="Q23" i="4"/>
  <c r="Q24" i="4" s="1"/>
  <c r="P46" i="4" l="1"/>
  <c r="P47" i="4" s="1"/>
  <c r="P42" i="4"/>
  <c r="P50" i="4"/>
  <c r="P51" i="4" s="1"/>
  <c r="P34" i="4"/>
  <c r="P37" i="4" s="1"/>
  <c r="Q33" i="4"/>
  <c r="R29" i="4"/>
  <c r="R30" i="4" s="1"/>
  <c r="S6" i="4"/>
  <c r="R23" i="4"/>
  <c r="R24" i="4" s="1"/>
  <c r="Q41" i="4" l="1"/>
  <c r="Q42" i="4" s="1"/>
  <c r="Q50" i="4"/>
  <c r="Q51" i="4" s="1"/>
  <c r="Q46" i="4"/>
  <c r="Q47" i="4" s="1"/>
  <c r="Q34" i="4"/>
  <c r="Q37" i="4" s="1"/>
  <c r="R33" i="4"/>
  <c r="R34" i="4" s="1"/>
  <c r="R37" i="4" s="1"/>
  <c r="S29" i="4"/>
  <c r="S30" i="4" s="1"/>
  <c r="T6" i="4"/>
  <c r="S23" i="4"/>
  <c r="S24" i="4" s="1"/>
  <c r="R41" i="4" l="1"/>
  <c r="R50" i="4"/>
  <c r="R51" i="4" s="1"/>
  <c r="S50" i="4"/>
  <c r="S51" i="4" s="1"/>
  <c r="R46" i="4"/>
  <c r="R47" i="4" s="1"/>
  <c r="R42" i="4"/>
  <c r="S33" i="4"/>
  <c r="S34" i="4" s="1"/>
  <c r="S37" i="4" s="1"/>
  <c r="T29" i="4"/>
  <c r="T30" i="4" s="1"/>
  <c r="U6" i="4"/>
  <c r="T23" i="4"/>
  <c r="T24" i="4" s="1"/>
  <c r="S41" i="4" l="1"/>
  <c r="S42" i="4" s="1"/>
  <c r="S46" i="4"/>
  <c r="S47" i="4" s="1"/>
  <c r="T33" i="4"/>
  <c r="U29" i="4"/>
  <c r="U30" i="4" s="1"/>
  <c r="V6" i="4"/>
  <c r="U23" i="4"/>
  <c r="U24" i="4" s="1"/>
  <c r="T46" i="4" l="1"/>
  <c r="T47" i="4" s="1"/>
  <c r="T41" i="4"/>
  <c r="T42" i="4" s="1"/>
  <c r="T50" i="4"/>
  <c r="T51" i="4" s="1"/>
  <c r="T34" i="4"/>
  <c r="T37" i="4" s="1"/>
  <c r="U33" i="4"/>
  <c r="U46" i="4" s="1"/>
  <c r="U47" i="4" s="1"/>
  <c r="V29" i="4"/>
  <c r="V30" i="4" s="1"/>
  <c r="W6" i="4"/>
  <c r="V23" i="4"/>
  <c r="V24" i="4" s="1"/>
  <c r="U50" i="4" l="1"/>
  <c r="U51" i="4" s="1"/>
  <c r="U41" i="4"/>
  <c r="U42" i="4" s="1"/>
  <c r="U34" i="4"/>
  <c r="U37" i="4" s="1"/>
  <c r="V33" i="4"/>
  <c r="W29" i="4"/>
  <c r="W30" i="4" s="1"/>
  <c r="W23" i="4"/>
  <c r="W24" i="4" s="1"/>
  <c r="V41" i="4" l="1"/>
  <c r="V42" i="4" s="1"/>
  <c r="D54" i="4" s="1"/>
  <c r="V50" i="4"/>
  <c r="V51" i="4" s="1"/>
  <c r="V46" i="4"/>
  <c r="V47" i="4" s="1"/>
  <c r="V34" i="4"/>
  <c r="V37" i="4" s="1"/>
  <c r="W33" i="4"/>
  <c r="W34" i="4" s="1"/>
  <c r="W37" i="4" s="1"/>
  <c r="W41" i="4" l="1"/>
  <c r="W42" i="4" s="1"/>
  <c r="D55" i="4" s="1"/>
  <c r="W50" i="4"/>
  <c r="W51" i="4" s="1"/>
  <c r="F54" i="4" s="1"/>
  <c r="W46" i="4"/>
  <c r="W47" i="4" s="1"/>
  <c r="C54" i="4"/>
  <c r="C55" i="4"/>
  <c r="F55" i="4" l="1"/>
  <c r="E55" i="4"/>
  <c r="E5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utilisateur</author>
  </authors>
  <commentList>
    <comment ref="K16" authorId="0" shapeId="0" xr:uid="{4B1F7D25-2513-4319-BC9E-6D4B7BBDBC85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(250000x10x100/3600x4)x2 = 35kW
</t>
        </r>
      </text>
    </comment>
    <comment ref="K32" authorId="0" shapeId="0" xr:uid="{4556BA3A-68DC-4B04-BBE1-4B56B681E215}">
      <text>
        <r>
          <rPr>
            <b/>
            <sz val="9"/>
            <color indexed="81"/>
            <rFont val="Tahoma"/>
            <family val="2"/>
          </rPr>
          <t>utilisateur:</t>
        </r>
        <r>
          <rPr>
            <sz val="9"/>
            <color indexed="81"/>
            <rFont val="Tahoma"/>
            <family val="2"/>
          </rPr>
          <t xml:space="preserve">
(500000x10x100/3600x4) = 35kW
</t>
        </r>
      </text>
    </comment>
  </commentList>
</comments>
</file>

<file path=xl/sharedStrings.xml><?xml version="1.0" encoding="utf-8"?>
<sst xmlns="http://schemas.openxmlformats.org/spreadsheetml/2006/main" count="254" uniqueCount="184">
  <si>
    <t>unités</t>
  </si>
  <si>
    <t>kWc</t>
  </si>
  <si>
    <t>kWh</t>
  </si>
  <si>
    <t>Courant</t>
  </si>
  <si>
    <t>h/an</t>
  </si>
  <si>
    <t>Ensoleillement</t>
  </si>
  <si>
    <t>Coefficient pertes</t>
  </si>
  <si>
    <t xml:space="preserve">Net </t>
  </si>
  <si>
    <t>h équiv./an</t>
  </si>
  <si>
    <t>Investissement Nour Energie en € par ferme 3Moissons</t>
  </si>
  <si>
    <t>Photovoltaïque 80kWc</t>
  </si>
  <si>
    <t>Réseau 400V triphasé</t>
  </si>
  <si>
    <t>m²</t>
  </si>
  <si>
    <t>Groupe diesel 70kVA (100Cv)</t>
  </si>
  <si>
    <t>années</t>
  </si>
  <si>
    <t xml:space="preserve">du CAPEX </t>
  </si>
  <si>
    <t xml:space="preserve">O&amp;M </t>
  </si>
  <si>
    <t xml:space="preserve">Coûts OPEX </t>
  </si>
  <si>
    <t>Durée</t>
  </si>
  <si>
    <t>Amortissement  CAPEX PV</t>
  </si>
  <si>
    <t xml:space="preserve">Montant </t>
  </si>
  <si>
    <t>€</t>
  </si>
  <si>
    <t>Pièces de rechange</t>
  </si>
  <si>
    <t>€/an</t>
  </si>
  <si>
    <t>Fee Nour Energie</t>
  </si>
  <si>
    <t>du coût complet</t>
  </si>
  <si>
    <t xml:space="preserve">Productible </t>
  </si>
  <si>
    <t>kWh/an</t>
  </si>
  <si>
    <t>€/kWh</t>
  </si>
  <si>
    <t>Utilisations d'électricité pour une ferme CAP 3Moissons</t>
  </si>
  <si>
    <t>Usages</t>
  </si>
  <si>
    <t>Surface</t>
  </si>
  <si>
    <t>Puissance kW</t>
  </si>
  <si>
    <t>Disponibilité</t>
  </si>
  <si>
    <t>Utilisations</t>
  </si>
  <si>
    <t>Stockage kWh</t>
  </si>
  <si>
    <t>Agroforesterie &amp; haie vive</t>
  </si>
  <si>
    <t>5 ha</t>
  </si>
  <si>
    <t>2h/24h</t>
  </si>
  <si>
    <t>Pompage solaire</t>
  </si>
  <si>
    <t>Verger pour arbre fruitier</t>
  </si>
  <si>
    <t>Irrigation pour culture de contre-saison</t>
  </si>
  <si>
    <t>15 ha</t>
  </si>
  <si>
    <t>4h/24h</t>
  </si>
  <si>
    <t>Irrigation pour culture fourragère</t>
  </si>
  <si>
    <t>10 ha</t>
  </si>
  <si>
    <t>Hangar et aire de stockage</t>
  </si>
  <si>
    <t>300 m²</t>
  </si>
  <si>
    <t>16h/24h</t>
  </si>
  <si>
    <t>Treuil, éclairage</t>
  </si>
  <si>
    <t>Magasin du groupement</t>
  </si>
  <si>
    <t>100 m²</t>
  </si>
  <si>
    <t>local et petit bureau</t>
  </si>
  <si>
    <t>70 m²</t>
  </si>
  <si>
    <t>10h/24h</t>
  </si>
  <si>
    <t>IT, Eclairage, divers</t>
  </si>
  <si>
    <t>Pompage mutualisé 500m3 à 60 à 100m</t>
  </si>
  <si>
    <t>Pompage triphasé</t>
  </si>
  <si>
    <t>Protection périmétrique, sécurité, incendie</t>
  </si>
  <si>
    <t>24h/24</t>
  </si>
  <si>
    <t>Surveillance</t>
  </si>
  <si>
    <t>Divers air comprimé, lavage, froid</t>
  </si>
  <si>
    <t>Services techniques</t>
  </si>
  <si>
    <t>Stockage d'électricité</t>
  </si>
  <si>
    <t>Consommations d'électricité d'une ferme CAP 3Moissons</t>
  </si>
  <si>
    <t>H équiv./jour</t>
  </si>
  <si>
    <t>kWh Saison sèche</t>
  </si>
  <si>
    <t>kWh Saison humide</t>
  </si>
  <si>
    <t>Pompage mutualisé 500m3 à 60/100m</t>
  </si>
  <si>
    <t>Total kWh /j</t>
  </si>
  <si>
    <t>Total saison</t>
  </si>
  <si>
    <t>Total Annuel kWh</t>
  </si>
  <si>
    <t>Haraz Goz Aïche</t>
  </si>
  <si>
    <t>Batterie 2MWh</t>
  </si>
  <si>
    <t>Tvx amont / Logistique</t>
  </si>
  <si>
    <t>Réseau 15kV/400V triphasé</t>
  </si>
  <si>
    <t xml:space="preserve">Total Nour pour Haraz </t>
  </si>
  <si>
    <t>€/an Haraz</t>
  </si>
  <si>
    <t>Montant Nour pour Haraz</t>
  </si>
  <si>
    <t>Coût total annuel Haraz</t>
  </si>
  <si>
    <t>Consommation Terap Industries</t>
  </si>
  <si>
    <t>Commercialisable hors Haraz</t>
  </si>
  <si>
    <t>Consommation Terap Agro</t>
  </si>
  <si>
    <t>Consommation totale Haraz</t>
  </si>
  <si>
    <t>Batterie Plomb Gel 20,5kWh</t>
  </si>
  <si>
    <t>Total électricité</t>
  </si>
  <si>
    <t>Verger</t>
  </si>
  <si>
    <t>Ensoleillement équivalent</t>
  </si>
  <si>
    <t>Nombre de fermes 3Moissons</t>
  </si>
  <si>
    <t>Puissance photovoltaique</t>
  </si>
  <si>
    <t>V triphasé</t>
  </si>
  <si>
    <t>Stockage en batteries</t>
  </si>
  <si>
    <t>Courant électrique</t>
  </si>
  <si>
    <t>Surface panneaux PV</t>
  </si>
  <si>
    <t>Batterie 20kWh Plomb gel</t>
  </si>
  <si>
    <t>15 kV et 400V</t>
  </si>
  <si>
    <t>50Hz triphasés</t>
  </si>
  <si>
    <t>Investissement Nour Energie pour Haraz en €</t>
  </si>
  <si>
    <t>site</t>
  </si>
  <si>
    <t>Puissance photovoltaïque</t>
  </si>
  <si>
    <t xml:space="preserve">Stockage en battetie </t>
  </si>
  <si>
    <t xml:space="preserve">Groupe électrogènes diesel </t>
  </si>
  <si>
    <t>kVA</t>
  </si>
  <si>
    <t>Facturation cible vers Haraz</t>
  </si>
  <si>
    <t>Cost + fee facturé à Haraz</t>
  </si>
  <si>
    <t>Montant fee Nour sur Haraz</t>
  </si>
  <si>
    <t>Potentiel max vente hors Haraz</t>
  </si>
  <si>
    <t>Photovoltaïque 3MWc</t>
  </si>
  <si>
    <t xml:space="preserve">3Groupesdiesel  400kVA x 3 </t>
  </si>
  <si>
    <t>Supervision Nour O&amp;M</t>
  </si>
  <si>
    <t xml:space="preserve">Consommation moyenne Haraz </t>
  </si>
  <si>
    <t xml:space="preserve">Prix equilibre sur conso moy Haraz </t>
  </si>
  <si>
    <t>Total Nour pour 50 CAP 3Moissons</t>
  </si>
  <si>
    <t>Total CAPEX Nour 1 CAP 3Moissons</t>
  </si>
  <si>
    <t>Prix de vente kWh Nour à 3Moissons</t>
  </si>
  <si>
    <t xml:space="preserve">Nb annuel d'électrification ferme 3Moissons </t>
  </si>
  <si>
    <t xml:space="preserve">Année </t>
  </si>
  <si>
    <t>année n</t>
  </si>
  <si>
    <t>kWh vendus par CAP 3Moissons</t>
  </si>
  <si>
    <t>Chiffres d'affaires O&amp;M</t>
  </si>
  <si>
    <t>Nour pour Haraz</t>
  </si>
  <si>
    <t>CAPEX Nour pour 3Moissons</t>
  </si>
  <si>
    <t>kWh vendus à 3Moissons</t>
  </si>
  <si>
    <t>kWh vendus à Haraz</t>
  </si>
  <si>
    <t>Chiffres d'affaires kWh 3Moissons</t>
  </si>
  <si>
    <t>Chiffres d'affaires kWh Haraz</t>
  </si>
  <si>
    <t>Chiffres d'affaires O&amp;M Haraz</t>
  </si>
  <si>
    <t>Nour pour 3Moissons</t>
  </si>
  <si>
    <t>CAPEX Nour pour Haraz</t>
  </si>
  <si>
    <t>Prix de vente kWh Nour à Haraz</t>
  </si>
  <si>
    <t>Services O&amp;M pour Haraz</t>
  </si>
  <si>
    <t>CA total Nour pour 3Moissons en €</t>
  </si>
  <si>
    <t>CA total Nour pour Haraz en €</t>
  </si>
  <si>
    <t>Services O&amp;M vendus par CAP 3Moissons</t>
  </si>
  <si>
    <t>Cumul CAPEX pour 3Moissons</t>
  </si>
  <si>
    <t>Cumul CAPEX pour Haraz</t>
  </si>
  <si>
    <t>CAPEX Vieillissement</t>
  </si>
  <si>
    <t>Impôts et taxes</t>
  </si>
  <si>
    <t>Coefficient vente surplus kWh PV</t>
  </si>
  <si>
    <t>Prix de vente surplus kWh hors 3Moissons</t>
  </si>
  <si>
    <t>O&amp;M vendus pour Baghara</t>
  </si>
  <si>
    <t>de 10 à 20 ans</t>
  </si>
  <si>
    <t>après 20 ans</t>
  </si>
  <si>
    <t>de 5 à 10 ans</t>
  </si>
  <si>
    <t>CAPEX vieillisement</t>
  </si>
  <si>
    <t>Nour pour Baghara (3M + Haraz)</t>
  </si>
  <si>
    <t>CAPEX annuel pour Baghara</t>
  </si>
  <si>
    <t>CA Nour kW pour Baghara  en €</t>
  </si>
  <si>
    <t>CA total Nour pour Baghara</t>
  </si>
  <si>
    <t>Nb total fermes CAP 3Moissons électrifiées</t>
  </si>
  <si>
    <t>Potentiel ventes surplus  kWh hors 3Moissons</t>
  </si>
  <si>
    <t>Upside CA ventes surplus kWh hors 3M</t>
  </si>
  <si>
    <t>Prix de vente kWh Nour hors Haraz</t>
  </si>
  <si>
    <t>Nombre de fermes CAP 3Moissons année 3</t>
  </si>
  <si>
    <t>Productible PV une CAP 3Moissons</t>
  </si>
  <si>
    <t>soit 6h/jour</t>
  </si>
  <si>
    <t>soit 5h/j</t>
  </si>
  <si>
    <t>Upside CA surplus kWh hors Baghara</t>
  </si>
  <si>
    <t>Cash net généré</t>
  </si>
  <si>
    <t>Impôts et taxes annuel</t>
  </si>
  <si>
    <t>Coeff actualisation</t>
  </si>
  <si>
    <t>CMPC (WACC) et coeffactualisation</t>
  </si>
  <si>
    <t>Cash net actualisé</t>
  </si>
  <si>
    <t>TRI du projet Nour Energies</t>
  </si>
  <si>
    <t>VAN (NPV) projet Nour €</t>
  </si>
  <si>
    <t>Delta BFR (stock+clients-fournisseurs))</t>
  </si>
  <si>
    <t>Sensibilité CAPEX +10%</t>
  </si>
  <si>
    <t>Sensibilité Chiffres d'affaires -10%</t>
  </si>
  <si>
    <t>Aucune</t>
  </si>
  <si>
    <t>CA-10%</t>
  </si>
  <si>
    <t>CAPEX+10%</t>
  </si>
  <si>
    <t>Cash net généré 110% CAPEX</t>
  </si>
  <si>
    <t>Cash net actualisé 110% CAPEX</t>
  </si>
  <si>
    <t>Cash net généré 90% CA</t>
  </si>
  <si>
    <t>Cash net actualisé 90% CA</t>
  </si>
  <si>
    <t>Cash net généré 500% Taxes</t>
  </si>
  <si>
    <t>Cash net actualisé 500% Taxes</t>
  </si>
  <si>
    <t>Taxes x5</t>
  </si>
  <si>
    <t>Sensibilités</t>
  </si>
  <si>
    <t>Année / Rubrique</t>
  </si>
  <si>
    <t>Sensibilité taxes x 5</t>
  </si>
  <si>
    <t>Stress test Prix-50%</t>
  </si>
  <si>
    <t>Cash net généré prix divisés par 2</t>
  </si>
  <si>
    <t>Cash net actualisé prix divisés par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</si>
</sst>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 Light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ashDot">
        <color auto="1"/>
      </bottom>
      <diagonal/>
    </border>
    <border>
      <left style="thin">
        <color auto="1"/>
      </left>
      <right style="thin">
        <color auto="1"/>
      </right>
      <top/>
      <bottom style="dashDot">
        <color auto="1"/>
      </bottom>
      <diagonal/>
    </border>
    <border>
      <left style="thin">
        <color auto="1"/>
      </left>
      <right style="double">
        <color auto="1"/>
      </right>
      <top/>
      <bottom style="dashDot">
        <color auto="1"/>
      </bottom>
      <diagonal/>
    </border>
    <border>
      <left style="double">
        <color auto="1"/>
      </left>
      <right/>
      <top style="dashDot">
        <color auto="1"/>
      </top>
      <bottom style="double">
        <color auto="1"/>
      </bottom>
      <diagonal/>
    </border>
    <border>
      <left/>
      <right/>
      <top style="dashDot">
        <color auto="1"/>
      </top>
      <bottom style="double">
        <color auto="1"/>
      </bottom>
      <diagonal/>
    </border>
    <border>
      <left/>
      <right style="double">
        <color auto="1"/>
      </right>
      <top style="dashDot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0" fontId="0" fillId="0" borderId="0" xfId="0" applyAlignment="1">
      <alignment horizontal="justify" vertical="center"/>
    </xf>
    <xf numFmtId="3" fontId="0" fillId="0" borderId="0" xfId="0" applyNumberFormat="1" applyAlignment="1">
      <alignment horizontal="justify" vertical="center"/>
    </xf>
    <xf numFmtId="0" fontId="1" fillId="0" borderId="0" xfId="0" applyFont="1" applyAlignment="1">
      <alignment horizontal="justify" vertical="center"/>
    </xf>
    <xf numFmtId="3" fontId="1" fillId="0" borderId="0" xfId="0" applyNumberFormat="1" applyFont="1" applyAlignment="1">
      <alignment horizontal="justify" vertical="center"/>
    </xf>
    <xf numFmtId="0" fontId="0" fillId="2" borderId="0" xfId="0" applyFill="1"/>
    <xf numFmtId="10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4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/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0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3" xfId="0" applyFont="1" applyBorder="1"/>
    <xf numFmtId="0" fontId="0" fillId="0" borderId="14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" fillId="0" borderId="17" xfId="0" applyFont="1" applyBorder="1"/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20" xfId="0" applyFont="1" applyBorder="1"/>
    <xf numFmtId="0" fontId="0" fillId="0" borderId="21" xfId="0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0" borderId="20" xfId="0" applyBorder="1"/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3" fontId="1" fillId="0" borderId="0" xfId="0" applyNumberFormat="1" applyFont="1"/>
    <xf numFmtId="0" fontId="0" fillId="0" borderId="19" xfId="0" applyBorder="1"/>
    <xf numFmtId="0" fontId="0" fillId="0" borderId="28" xfId="0" applyBorder="1"/>
    <xf numFmtId="0" fontId="1" fillId="0" borderId="1" xfId="0" applyFont="1" applyBorder="1"/>
    <xf numFmtId="0" fontId="10" fillId="0" borderId="1" xfId="0" applyFont="1" applyBorder="1"/>
    <xf numFmtId="0" fontId="11" fillId="0" borderId="2" xfId="0" applyFont="1" applyBorder="1"/>
    <xf numFmtId="0" fontId="11" fillId="0" borderId="3" xfId="0" applyFont="1" applyBorder="1"/>
    <xf numFmtId="0" fontId="11" fillId="0" borderId="20" xfId="0" applyFont="1" applyBorder="1" applyAlignment="1">
      <alignment horizontal="justify" vertical="center"/>
    </xf>
    <xf numFmtId="3" fontId="11" fillId="0" borderId="0" xfId="0" applyNumberFormat="1" applyFont="1" applyAlignment="1">
      <alignment horizontal="justify" vertical="center"/>
    </xf>
    <xf numFmtId="0" fontId="11" fillId="0" borderId="19" xfId="0" applyFont="1" applyBorder="1"/>
    <xf numFmtId="0" fontId="10" fillId="0" borderId="22" xfId="0" applyFont="1" applyBorder="1" applyAlignment="1">
      <alignment horizontal="justify" vertical="center"/>
    </xf>
    <xf numFmtId="3" fontId="10" fillId="0" borderId="27" xfId="0" applyNumberFormat="1" applyFont="1" applyBorder="1" applyAlignment="1">
      <alignment horizontal="justify" vertical="center"/>
    </xf>
    <xf numFmtId="0" fontId="11" fillId="0" borderId="28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horizontal="right"/>
    </xf>
    <xf numFmtId="3" fontId="0" fillId="0" borderId="27" xfId="0" applyNumberFormat="1" applyBorder="1"/>
    <xf numFmtId="3" fontId="0" fillId="0" borderId="0" xfId="0" applyNumberFormat="1" applyAlignment="1">
      <alignment vertical="center"/>
    </xf>
    <xf numFmtId="4" fontId="0" fillId="0" borderId="0" xfId="0" applyNumberFormat="1"/>
    <xf numFmtId="0" fontId="10" fillId="0" borderId="20" xfId="0" applyFont="1" applyBorder="1" applyAlignment="1">
      <alignment horizontal="justify" vertical="center"/>
    </xf>
    <xf numFmtId="3" fontId="10" fillId="0" borderId="0" xfId="0" applyNumberFormat="1" applyFont="1" applyAlignment="1">
      <alignment horizontal="justify" vertical="center"/>
    </xf>
    <xf numFmtId="1" fontId="0" fillId="0" borderId="0" xfId="0" applyNumberFormat="1"/>
    <xf numFmtId="0" fontId="1" fillId="2" borderId="0" xfId="0" applyFont="1" applyFill="1"/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3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4" fillId="0" borderId="0" xfId="0" applyFont="1"/>
    <xf numFmtId="10" fontId="0" fillId="2" borderId="0" xfId="0" applyNumberFormat="1" applyFill="1"/>
    <xf numFmtId="9" fontId="11" fillId="0" borderId="0" xfId="1" applyFont="1" applyAlignment="1">
      <alignment horizontal="right" vertical="center"/>
    </xf>
    <xf numFmtId="0" fontId="15" fillId="0" borderId="0" xfId="0" applyFont="1"/>
    <xf numFmtId="0" fontId="16" fillId="0" borderId="0" xfId="0" applyFont="1"/>
    <xf numFmtId="3" fontId="15" fillId="0" borderId="0" xfId="0" applyNumberFormat="1" applyFont="1"/>
    <xf numFmtId="0" fontId="17" fillId="0" borderId="0" xfId="0" applyFont="1"/>
    <xf numFmtId="3" fontId="17" fillId="0" borderId="0" xfId="0" applyNumberFormat="1" applyFont="1"/>
    <xf numFmtId="3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right" vertical="center"/>
    </xf>
    <xf numFmtId="9" fontId="11" fillId="0" borderId="0" xfId="1" applyFont="1" applyBorder="1" applyAlignment="1">
      <alignment horizontal="right" vertical="center"/>
    </xf>
    <xf numFmtId="0" fontId="6" fillId="0" borderId="26" xfId="0" applyFont="1" applyBorder="1" applyAlignment="1">
      <alignment horizontal="center" vertical="center"/>
    </xf>
    <xf numFmtId="0" fontId="0" fillId="4" borderId="0" xfId="0" applyFill="1"/>
    <xf numFmtId="3" fontId="0" fillId="4" borderId="0" xfId="0" applyNumberFormat="1" applyFill="1"/>
    <xf numFmtId="0" fontId="0" fillId="5" borderId="0" xfId="0" applyFill="1"/>
    <xf numFmtId="10" fontId="0" fillId="5" borderId="0" xfId="1" applyNumberFormat="1" applyFont="1" applyFill="1"/>
    <xf numFmtId="10" fontId="17" fillId="0" borderId="0" xfId="1" applyNumberFormat="1" applyFont="1" applyFill="1"/>
    <xf numFmtId="0" fontId="14" fillId="5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6" fillId="0" borderId="24" xfId="0" applyFont="1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0" fontId="18" fillId="6" borderId="0" xfId="0" applyFont="1" applyFill="1"/>
    <xf numFmtId="0" fontId="19" fillId="6" borderId="0" xfId="0" applyFont="1" applyFill="1"/>
    <xf numFmtId="3" fontId="19" fillId="6" borderId="0" xfId="0" applyNumberFormat="1" applyFont="1" applyFill="1" applyAlignment="1">
      <alignment vertical="center"/>
    </xf>
    <xf numFmtId="10" fontId="19" fillId="6" borderId="0" xfId="0" applyNumberFormat="1" applyFont="1" applyFill="1"/>
    <xf numFmtId="3" fontId="19" fillId="6" borderId="0" xfId="0" applyNumberFormat="1" applyFont="1" applyFill="1"/>
    <xf numFmtId="9" fontId="19" fillId="6" borderId="0" xfId="0" applyNumberFormat="1" applyFont="1" applyFill="1"/>
    <xf numFmtId="3" fontId="18" fillId="6" borderId="0" xfId="0" applyNumberFormat="1" applyFont="1" applyFill="1"/>
    <xf numFmtId="165" fontId="18" fillId="6" borderId="0" xfId="0" applyNumberFormat="1" applyFont="1" applyFill="1"/>
    <xf numFmtId="4" fontId="18" fillId="6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5FD2-80BD-46B5-895A-F9EACC2BCBFE}">
  <dimension ref="B2:N53"/>
  <sheetViews>
    <sheetView topLeftCell="A22" zoomScale="140" zoomScaleNormal="140" workbookViewId="0">
      <selection activeCell="F32" sqref="F32"/>
    </sheetView>
  </sheetViews>
  <sheetFormatPr baseColWidth="10" defaultRowHeight="14.5" x14ac:dyDescent="0.35"/>
  <cols>
    <col min="1" max="1" width="6.453125" customWidth="1"/>
    <col min="2" max="2" width="38" customWidth="1"/>
    <col min="3" max="3" width="14" customWidth="1"/>
    <col min="4" max="4" width="15.6328125" customWidth="1"/>
    <col min="9" max="9" width="39.36328125" customWidth="1"/>
    <col min="13" max="13" width="22.1796875" customWidth="1"/>
    <col min="14" max="14" width="22.453125" customWidth="1"/>
  </cols>
  <sheetData>
    <row r="2" spans="2:14" ht="15" thickBot="1" x14ac:dyDescent="0.4"/>
    <row r="3" spans="2:14" ht="21" customHeight="1" thickTop="1" x14ac:dyDescent="0.35">
      <c r="B3" t="s">
        <v>88</v>
      </c>
      <c r="C3">
        <v>50</v>
      </c>
      <c r="D3" t="s">
        <v>0</v>
      </c>
      <c r="I3" s="93" t="s">
        <v>29</v>
      </c>
      <c r="J3" s="94"/>
      <c r="K3" s="94"/>
      <c r="L3" s="94"/>
      <c r="M3" s="94"/>
      <c r="N3" s="95"/>
    </row>
    <row r="4" spans="2:14" x14ac:dyDescent="0.35">
      <c r="B4" t="s">
        <v>89</v>
      </c>
      <c r="C4">
        <v>80</v>
      </c>
      <c r="D4" t="s">
        <v>1</v>
      </c>
      <c r="I4" s="10" t="s">
        <v>30</v>
      </c>
      <c r="J4" s="11" t="s">
        <v>31</v>
      </c>
      <c r="K4" s="11" t="s">
        <v>32</v>
      </c>
      <c r="L4" s="11" t="s">
        <v>33</v>
      </c>
      <c r="M4" s="11" t="s">
        <v>34</v>
      </c>
      <c r="N4" s="12" t="s">
        <v>35</v>
      </c>
    </row>
    <row r="5" spans="2:14" ht="15.5" x14ac:dyDescent="0.35">
      <c r="B5" t="s">
        <v>91</v>
      </c>
      <c r="C5">
        <v>20</v>
      </c>
      <c r="D5" t="s">
        <v>2</v>
      </c>
      <c r="I5" s="13" t="s">
        <v>36</v>
      </c>
      <c r="J5" s="14" t="s">
        <v>37</v>
      </c>
      <c r="K5" s="14">
        <v>2</v>
      </c>
      <c r="L5" s="14" t="s">
        <v>38</v>
      </c>
      <c r="M5" s="14" t="s">
        <v>39</v>
      </c>
      <c r="N5" s="15">
        <v>0</v>
      </c>
    </row>
    <row r="6" spans="2:14" ht="15.5" x14ac:dyDescent="0.35">
      <c r="B6" t="s">
        <v>92</v>
      </c>
      <c r="C6">
        <v>400</v>
      </c>
      <c r="D6" t="s">
        <v>90</v>
      </c>
      <c r="I6" s="13" t="s">
        <v>40</v>
      </c>
      <c r="J6" s="14" t="s">
        <v>37</v>
      </c>
      <c r="K6" s="14">
        <v>5</v>
      </c>
      <c r="L6" s="14" t="s">
        <v>38</v>
      </c>
      <c r="M6" s="14" t="s">
        <v>39</v>
      </c>
      <c r="N6" s="15">
        <v>0</v>
      </c>
    </row>
    <row r="7" spans="2:14" ht="15.5" x14ac:dyDescent="0.35">
      <c r="B7" t="s">
        <v>5</v>
      </c>
      <c r="C7">
        <v>2200</v>
      </c>
      <c r="D7" t="s">
        <v>4</v>
      </c>
      <c r="I7" s="13" t="s">
        <v>41</v>
      </c>
      <c r="J7" s="14" t="s">
        <v>42</v>
      </c>
      <c r="K7" s="14">
        <v>3</v>
      </c>
      <c r="L7" s="14" t="s">
        <v>43</v>
      </c>
      <c r="M7" s="14" t="s">
        <v>39</v>
      </c>
      <c r="N7" s="15">
        <v>0</v>
      </c>
    </row>
    <row r="8" spans="2:14" ht="15.5" x14ac:dyDescent="0.35">
      <c r="B8" t="s">
        <v>6</v>
      </c>
      <c r="C8">
        <v>0.85</v>
      </c>
      <c r="I8" s="13" t="s">
        <v>44</v>
      </c>
      <c r="J8" s="14" t="s">
        <v>45</v>
      </c>
      <c r="K8" s="14">
        <v>10</v>
      </c>
      <c r="L8" s="14" t="s">
        <v>38</v>
      </c>
      <c r="M8" s="14" t="s">
        <v>39</v>
      </c>
      <c r="N8" s="15">
        <v>0</v>
      </c>
    </row>
    <row r="9" spans="2:14" ht="15.5" x14ac:dyDescent="0.35">
      <c r="B9" t="s">
        <v>87</v>
      </c>
      <c r="C9">
        <f>C7*C8</f>
        <v>1870</v>
      </c>
      <c r="D9" t="s">
        <v>8</v>
      </c>
      <c r="I9" s="13" t="s">
        <v>46</v>
      </c>
      <c r="J9" s="14" t="s">
        <v>47</v>
      </c>
      <c r="K9" s="14">
        <v>5</v>
      </c>
      <c r="L9" s="14" t="s">
        <v>48</v>
      </c>
      <c r="M9" s="14" t="s">
        <v>49</v>
      </c>
      <c r="N9" s="15">
        <v>2</v>
      </c>
    </row>
    <row r="10" spans="2:14" ht="15.5" x14ac:dyDescent="0.35">
      <c r="B10" t="s">
        <v>93</v>
      </c>
      <c r="C10" s="66">
        <f>C4*1000/150</f>
        <v>533.33333333333337</v>
      </c>
      <c r="D10" t="s">
        <v>12</v>
      </c>
      <c r="I10" s="13" t="s">
        <v>50</v>
      </c>
      <c r="J10" s="14" t="s">
        <v>51</v>
      </c>
      <c r="K10" s="14">
        <v>2</v>
      </c>
      <c r="L10" s="14" t="s">
        <v>48</v>
      </c>
      <c r="M10" s="14" t="s">
        <v>49</v>
      </c>
      <c r="N10" s="15">
        <v>2</v>
      </c>
    </row>
    <row r="11" spans="2:14" ht="15.5" x14ac:dyDescent="0.35">
      <c r="B11" t="s">
        <v>154</v>
      </c>
      <c r="C11" s="84">
        <f>C4*C7*C8</f>
        <v>149600</v>
      </c>
      <c r="D11" t="s">
        <v>27</v>
      </c>
      <c r="I11" s="13"/>
      <c r="J11" s="14"/>
      <c r="K11" s="14"/>
      <c r="L11" s="14"/>
      <c r="M11" s="14"/>
      <c r="N11" s="15"/>
    </row>
    <row r="12" spans="2:14" ht="15.5" x14ac:dyDescent="0.35">
      <c r="B12" t="s">
        <v>150</v>
      </c>
      <c r="C12" s="84">
        <f>(C11-N37)</f>
        <v>74100</v>
      </c>
      <c r="D12" t="s">
        <v>27</v>
      </c>
      <c r="I12" s="13"/>
      <c r="J12" s="14"/>
      <c r="K12" s="14"/>
      <c r="L12" s="14"/>
      <c r="M12" s="14"/>
      <c r="N12" s="15"/>
    </row>
    <row r="13" spans="2:14" ht="15.5" x14ac:dyDescent="0.35">
      <c r="B13" t="s">
        <v>138</v>
      </c>
      <c r="C13" s="85">
        <v>0.25</v>
      </c>
      <c r="D13" t="s">
        <v>155</v>
      </c>
      <c r="I13" s="13"/>
      <c r="J13" s="14"/>
      <c r="K13" s="14"/>
      <c r="L13" s="14"/>
      <c r="M13" s="14"/>
      <c r="N13" s="15"/>
    </row>
    <row r="14" spans="2:14" ht="15.5" x14ac:dyDescent="0.35">
      <c r="I14" s="13"/>
      <c r="J14" s="14"/>
      <c r="K14" s="14"/>
      <c r="L14" s="14"/>
      <c r="M14" s="14"/>
      <c r="N14" s="15"/>
    </row>
    <row r="15" spans="2:14" ht="16" thickBot="1" x14ac:dyDescent="0.4">
      <c r="I15" s="13" t="s">
        <v>52</v>
      </c>
      <c r="J15" s="14" t="s">
        <v>53</v>
      </c>
      <c r="K15" s="14">
        <v>3</v>
      </c>
      <c r="L15" s="14" t="s">
        <v>54</v>
      </c>
      <c r="M15" s="14" t="s">
        <v>55</v>
      </c>
      <c r="N15" s="15">
        <v>2</v>
      </c>
    </row>
    <row r="16" spans="2:14" ht="16" thickTop="1" x14ac:dyDescent="0.35">
      <c r="B16" s="49" t="s">
        <v>9</v>
      </c>
      <c r="C16" s="50"/>
      <c r="D16" s="51"/>
      <c r="I16" s="13" t="s">
        <v>56</v>
      </c>
      <c r="J16" s="14"/>
      <c r="K16" s="14">
        <v>35</v>
      </c>
      <c r="L16" s="14" t="s">
        <v>43</v>
      </c>
      <c r="M16" s="14" t="s">
        <v>57</v>
      </c>
      <c r="N16" s="15">
        <v>7</v>
      </c>
    </row>
    <row r="17" spans="2:14" ht="15.5" x14ac:dyDescent="0.35">
      <c r="B17" s="52" t="s">
        <v>10</v>
      </c>
      <c r="C17" s="53">
        <v>106000</v>
      </c>
      <c r="D17" s="54"/>
      <c r="I17" s="13" t="s">
        <v>58</v>
      </c>
      <c r="J17" s="14"/>
      <c r="K17" s="14">
        <v>2</v>
      </c>
      <c r="L17" s="14" t="s">
        <v>59</v>
      </c>
      <c r="M17" s="14" t="s">
        <v>60</v>
      </c>
      <c r="N17" s="15">
        <v>4</v>
      </c>
    </row>
    <row r="18" spans="2:14" ht="15.5" x14ac:dyDescent="0.35">
      <c r="B18" s="52" t="s">
        <v>13</v>
      </c>
      <c r="C18" s="53">
        <v>12000</v>
      </c>
      <c r="D18" s="54"/>
      <c r="I18" s="13" t="s">
        <v>61</v>
      </c>
      <c r="J18" s="14"/>
      <c r="K18" s="14">
        <v>8</v>
      </c>
      <c r="L18" s="14" t="s">
        <v>48</v>
      </c>
      <c r="M18" s="14" t="s">
        <v>62</v>
      </c>
      <c r="N18" s="15">
        <v>1</v>
      </c>
    </row>
    <row r="19" spans="2:14" x14ac:dyDescent="0.35">
      <c r="B19" s="52" t="s">
        <v>94</v>
      </c>
      <c r="C19" s="53">
        <v>8000</v>
      </c>
      <c r="D19" s="54"/>
      <c r="I19" s="16" t="s">
        <v>85</v>
      </c>
      <c r="J19" s="17"/>
      <c r="K19" s="18">
        <f>SUM(K5:K18)</f>
        <v>75</v>
      </c>
      <c r="L19" s="17"/>
      <c r="M19" s="17"/>
      <c r="N19" s="19">
        <f>SUM(N5:N18)</f>
        <v>18</v>
      </c>
    </row>
    <row r="20" spans="2:14" ht="15" thickBot="1" x14ac:dyDescent="0.4">
      <c r="B20" s="52" t="s">
        <v>11</v>
      </c>
      <c r="C20" s="53">
        <v>7000</v>
      </c>
      <c r="D20" s="54"/>
      <c r="I20" s="20" t="s">
        <v>63</v>
      </c>
      <c r="J20" s="21"/>
      <c r="K20" s="21"/>
      <c r="L20" s="96" t="s">
        <v>84</v>
      </c>
      <c r="M20" s="96"/>
      <c r="N20" s="97"/>
    </row>
    <row r="21" spans="2:14" ht="15" thickTop="1" x14ac:dyDescent="0.35">
      <c r="B21" s="64" t="s">
        <v>113</v>
      </c>
      <c r="C21" s="65">
        <f>SUM(C17:C20)</f>
        <v>133000</v>
      </c>
      <c r="D21" s="54"/>
    </row>
    <row r="22" spans="2:14" ht="15" thickBot="1" x14ac:dyDescent="0.4">
      <c r="B22" s="52" t="s">
        <v>153</v>
      </c>
      <c r="C22" s="53">
        <v>50</v>
      </c>
      <c r="D22" s="54"/>
    </row>
    <row r="23" spans="2:14" ht="32" thickTop="1" thickBot="1" x14ac:dyDescent="0.75">
      <c r="B23" s="55" t="s">
        <v>112</v>
      </c>
      <c r="C23" s="56">
        <f>C21*C22</f>
        <v>6650000</v>
      </c>
      <c r="D23" s="57"/>
      <c r="I23" s="98" t="s">
        <v>64</v>
      </c>
      <c r="J23" s="99"/>
      <c r="K23" s="99"/>
      <c r="L23" s="99"/>
      <c r="M23" s="99"/>
      <c r="N23" s="100"/>
    </row>
    <row r="24" spans="2:14" ht="15" thickTop="1" x14ac:dyDescent="0.35">
      <c r="I24" s="23" t="s">
        <v>64</v>
      </c>
      <c r="J24" s="24"/>
      <c r="K24" s="25" t="s">
        <v>32</v>
      </c>
      <c r="L24" s="25" t="s">
        <v>65</v>
      </c>
      <c r="M24" s="26" t="s">
        <v>66</v>
      </c>
      <c r="N24" s="26" t="s">
        <v>67</v>
      </c>
    </row>
    <row r="25" spans="2:14" ht="15.5" x14ac:dyDescent="0.35">
      <c r="B25" s="22" t="s">
        <v>116</v>
      </c>
      <c r="C25" s="22">
        <v>1</v>
      </c>
      <c r="D25" s="22">
        <v>2</v>
      </c>
      <c r="E25" s="22">
        <v>3</v>
      </c>
      <c r="F25" t="s">
        <v>117</v>
      </c>
      <c r="I25" s="27" t="s">
        <v>36</v>
      </c>
      <c r="J25" s="28"/>
      <c r="K25" s="14">
        <v>2</v>
      </c>
      <c r="L25" s="22">
        <v>2</v>
      </c>
      <c r="M25" s="29">
        <f>K25*L25</f>
        <v>4</v>
      </c>
      <c r="N25" s="30">
        <v>0</v>
      </c>
    </row>
    <row r="26" spans="2:14" ht="15.5" x14ac:dyDescent="0.35">
      <c r="B26" t="s">
        <v>115</v>
      </c>
      <c r="C26" s="68">
        <v>10</v>
      </c>
      <c r="D26" s="22">
        <v>20</v>
      </c>
      <c r="E26" s="22">
        <v>20</v>
      </c>
      <c r="F26" s="22">
        <v>0</v>
      </c>
      <c r="I26" s="31" t="s">
        <v>86</v>
      </c>
      <c r="J26" s="32"/>
      <c r="K26" s="14">
        <v>5</v>
      </c>
      <c r="L26" s="22">
        <v>1</v>
      </c>
      <c r="M26" s="14">
        <f t="shared" ref="M26:M34" si="0">K26*L26</f>
        <v>5</v>
      </c>
      <c r="N26" s="30">
        <v>0</v>
      </c>
    </row>
    <row r="27" spans="2:14" ht="15.5" x14ac:dyDescent="0.35">
      <c r="B27" s="1" t="s">
        <v>149</v>
      </c>
      <c r="C27" s="69">
        <f>C26</f>
        <v>10</v>
      </c>
      <c r="D27" s="69">
        <f>C26+D26</f>
        <v>30</v>
      </c>
      <c r="E27" s="69">
        <f>SUM(C26:E26)</f>
        <v>50</v>
      </c>
      <c r="F27" s="69">
        <f>E27</f>
        <v>50</v>
      </c>
      <c r="I27" s="31" t="s">
        <v>41</v>
      </c>
      <c r="J27" s="32"/>
      <c r="K27" s="14">
        <v>3</v>
      </c>
      <c r="L27" s="22">
        <v>4</v>
      </c>
      <c r="M27" s="14">
        <f t="shared" si="0"/>
        <v>12</v>
      </c>
      <c r="N27" s="30">
        <v>0</v>
      </c>
    </row>
    <row r="28" spans="2:14" ht="15.5" x14ac:dyDescent="0.35">
      <c r="I28" s="31" t="s">
        <v>44</v>
      </c>
      <c r="J28" s="32"/>
      <c r="K28" s="14">
        <v>5</v>
      </c>
      <c r="L28" s="22">
        <v>2</v>
      </c>
      <c r="M28" s="14">
        <f t="shared" si="0"/>
        <v>10</v>
      </c>
      <c r="N28" s="30">
        <v>0</v>
      </c>
    </row>
    <row r="29" spans="2:14" ht="15.5" x14ac:dyDescent="0.35">
      <c r="B29" s="67" t="s">
        <v>114</v>
      </c>
      <c r="C29" s="70">
        <v>0.25</v>
      </c>
      <c r="D29" s="67" t="s">
        <v>28</v>
      </c>
      <c r="E29" s="104">
        <f>C29/2</f>
        <v>0.125</v>
      </c>
      <c r="F29" s="103" t="s">
        <v>28</v>
      </c>
      <c r="I29" s="31" t="s">
        <v>46</v>
      </c>
      <c r="J29" s="32"/>
      <c r="K29" s="14">
        <v>5</v>
      </c>
      <c r="L29" s="22">
        <v>3</v>
      </c>
      <c r="M29" s="14">
        <f t="shared" si="0"/>
        <v>15</v>
      </c>
      <c r="N29" s="33">
        <f>M29*1.5</f>
        <v>22.5</v>
      </c>
    </row>
    <row r="30" spans="2:14" ht="15.5" x14ac:dyDescent="0.35">
      <c r="B30" s="67" t="s">
        <v>139</v>
      </c>
      <c r="C30" s="70">
        <v>0.25</v>
      </c>
      <c r="D30" s="67" t="s">
        <v>28</v>
      </c>
      <c r="E30" s="104">
        <f>C30/2</f>
        <v>0.125</v>
      </c>
      <c r="F30" s="103" t="s">
        <v>28</v>
      </c>
      <c r="I30" s="31" t="s">
        <v>50</v>
      </c>
      <c r="J30" s="32"/>
      <c r="K30" s="14">
        <v>2</v>
      </c>
      <c r="L30" s="22">
        <v>6</v>
      </c>
      <c r="M30" s="14">
        <f t="shared" si="0"/>
        <v>12</v>
      </c>
      <c r="N30" s="30">
        <f>M30</f>
        <v>12</v>
      </c>
    </row>
    <row r="31" spans="2:14" ht="15.5" x14ac:dyDescent="0.35">
      <c r="B31" s="72" t="s">
        <v>118</v>
      </c>
      <c r="C31" s="71">
        <f>N37</f>
        <v>75500</v>
      </c>
      <c r="D31" s="72" t="s">
        <v>27</v>
      </c>
      <c r="I31" s="31" t="s">
        <v>52</v>
      </c>
      <c r="J31" s="32"/>
      <c r="K31" s="14">
        <v>3</v>
      </c>
      <c r="L31" s="22">
        <v>6</v>
      </c>
      <c r="M31" s="14">
        <f t="shared" si="0"/>
        <v>18</v>
      </c>
      <c r="N31" s="30">
        <f>M31</f>
        <v>18</v>
      </c>
    </row>
    <row r="32" spans="2:14" ht="15.5" x14ac:dyDescent="0.35">
      <c r="I32" s="31" t="s">
        <v>68</v>
      </c>
      <c r="J32" s="32"/>
      <c r="K32" s="14">
        <v>35</v>
      </c>
      <c r="L32" s="22">
        <v>4</v>
      </c>
      <c r="M32" s="14">
        <f t="shared" si="0"/>
        <v>140</v>
      </c>
      <c r="N32" s="30">
        <f>M32/10</f>
        <v>14</v>
      </c>
    </row>
    <row r="33" spans="2:14" ht="15.5" x14ac:dyDescent="0.35">
      <c r="B33" s="74" t="s">
        <v>133</v>
      </c>
      <c r="C33" s="73">
        <v>1000</v>
      </c>
      <c r="D33" s="74" t="s">
        <v>23</v>
      </c>
      <c r="I33" s="31" t="s">
        <v>58</v>
      </c>
      <c r="J33" s="32"/>
      <c r="K33" s="14">
        <v>1</v>
      </c>
      <c r="L33" s="22">
        <v>24</v>
      </c>
      <c r="M33" s="14">
        <f t="shared" si="0"/>
        <v>24</v>
      </c>
      <c r="N33" s="30">
        <f>M33</f>
        <v>24</v>
      </c>
    </row>
    <row r="34" spans="2:14" ht="16" thickBot="1" x14ac:dyDescent="0.4">
      <c r="B34" s="34" t="s">
        <v>151</v>
      </c>
      <c r="C34" s="83">
        <f>$C$22*C12*C13*$C$30</f>
        <v>231562.5</v>
      </c>
      <c r="D34" t="s">
        <v>23</v>
      </c>
      <c r="I34" s="31" t="s">
        <v>61</v>
      </c>
      <c r="J34" s="36"/>
      <c r="K34" s="14">
        <v>8</v>
      </c>
      <c r="L34" s="22">
        <v>2</v>
      </c>
      <c r="M34" s="14">
        <f t="shared" si="0"/>
        <v>16</v>
      </c>
      <c r="N34" s="30">
        <f>M34</f>
        <v>16</v>
      </c>
    </row>
    <row r="35" spans="2:14" ht="15" thickTop="1" x14ac:dyDescent="0.35">
      <c r="I35" s="37"/>
      <c r="J35" s="38"/>
      <c r="K35" s="39"/>
      <c r="L35" s="40" t="s">
        <v>69</v>
      </c>
      <c r="M35" s="41">
        <f>SUM(M25:M34)</f>
        <v>256</v>
      </c>
      <c r="N35" s="42">
        <f>SUM(N25:N34)</f>
        <v>106.5</v>
      </c>
    </row>
    <row r="36" spans="2:14" ht="13" customHeight="1" x14ac:dyDescent="0.35">
      <c r="B36" s="1"/>
      <c r="J36" s="22"/>
      <c r="K36" s="30"/>
      <c r="L36" s="40" t="s">
        <v>70</v>
      </c>
      <c r="M36" s="41">
        <f>M35*245</f>
        <v>62720</v>
      </c>
      <c r="N36" s="26">
        <f>N35*120</f>
        <v>12780</v>
      </c>
    </row>
    <row r="37" spans="2:14" ht="13.5" customHeight="1" thickBot="1" x14ac:dyDescent="0.4">
      <c r="L37" s="101" t="s">
        <v>71</v>
      </c>
      <c r="M37" s="102"/>
      <c r="N37" s="86">
        <f>M36+N36</f>
        <v>75500</v>
      </c>
    </row>
    <row r="38" spans="2:14" ht="15" thickTop="1" x14ac:dyDescent="0.35">
      <c r="C38" s="8"/>
    </row>
    <row r="40" spans="2:14" x14ac:dyDescent="0.35">
      <c r="B40" s="1"/>
    </row>
    <row r="41" spans="2:14" x14ac:dyDescent="0.35">
      <c r="B41" t="s">
        <v>16</v>
      </c>
      <c r="C41" s="76">
        <v>0.01</v>
      </c>
      <c r="D41" t="s">
        <v>15</v>
      </c>
    </row>
    <row r="42" spans="2:14" x14ac:dyDescent="0.35">
      <c r="B42" t="s">
        <v>136</v>
      </c>
      <c r="C42" s="76">
        <v>1E-3</v>
      </c>
      <c r="D42" t="s">
        <v>143</v>
      </c>
    </row>
    <row r="43" spans="2:14" x14ac:dyDescent="0.35">
      <c r="B43" t="s">
        <v>136</v>
      </c>
      <c r="C43" s="76">
        <v>0.01</v>
      </c>
      <c r="D43" t="s">
        <v>141</v>
      </c>
    </row>
    <row r="44" spans="2:14" x14ac:dyDescent="0.35">
      <c r="B44" t="s">
        <v>136</v>
      </c>
      <c r="C44" s="76">
        <v>0.05</v>
      </c>
      <c r="D44" t="s">
        <v>142</v>
      </c>
      <c r="M44" s="66"/>
    </row>
    <row r="45" spans="2:14" x14ac:dyDescent="0.35">
      <c r="C45" s="22"/>
      <c r="D45" s="22"/>
      <c r="E45" s="22"/>
      <c r="F45" s="22"/>
      <c r="G45" s="22"/>
      <c r="H45" s="43"/>
    </row>
    <row r="46" spans="2:14" x14ac:dyDescent="0.35">
      <c r="C46" s="22"/>
      <c r="D46" s="22"/>
      <c r="E46" s="22"/>
      <c r="F46" s="22"/>
      <c r="G46" s="22"/>
      <c r="H46" s="43"/>
    </row>
    <row r="47" spans="2:14" ht="15.5" customHeight="1" x14ac:dyDescent="0.35">
      <c r="C47" s="22"/>
      <c r="D47" s="22"/>
      <c r="E47" s="22"/>
      <c r="F47" s="22"/>
      <c r="G47" s="22"/>
      <c r="H47" s="43"/>
    </row>
    <row r="48" spans="2:14" x14ac:dyDescent="0.35">
      <c r="C48" s="22"/>
      <c r="D48" s="22"/>
      <c r="E48" s="22"/>
      <c r="F48" s="22"/>
      <c r="G48" s="22"/>
      <c r="H48" s="43"/>
    </row>
    <row r="49" spans="3:8" x14ac:dyDescent="0.35">
      <c r="C49" s="22"/>
      <c r="D49" s="22"/>
      <c r="E49" s="22"/>
      <c r="F49" s="22"/>
      <c r="G49" s="22"/>
      <c r="H49" s="43"/>
    </row>
    <row r="50" spans="3:8" x14ac:dyDescent="0.35">
      <c r="C50" s="22"/>
      <c r="D50" s="22"/>
      <c r="E50" s="22"/>
      <c r="F50" s="22"/>
      <c r="G50" s="22"/>
      <c r="H50" s="43"/>
    </row>
    <row r="51" spans="3:8" x14ac:dyDescent="0.35">
      <c r="C51" s="22"/>
      <c r="D51" s="22"/>
      <c r="E51" s="22"/>
      <c r="F51" s="22"/>
      <c r="G51" s="22"/>
      <c r="H51" s="43"/>
    </row>
    <row r="52" spans="3:8" x14ac:dyDescent="0.35">
      <c r="C52" s="22"/>
      <c r="D52" s="22"/>
      <c r="E52" s="22"/>
      <c r="F52" s="22"/>
      <c r="G52" s="22"/>
      <c r="H52" s="43"/>
    </row>
    <row r="53" spans="3:8" x14ac:dyDescent="0.35">
      <c r="C53" s="22"/>
      <c r="D53" s="22"/>
      <c r="E53" s="22"/>
      <c r="F53" s="22"/>
      <c r="G53" s="22"/>
      <c r="H53" s="43"/>
    </row>
  </sheetData>
  <mergeCells count="4">
    <mergeCell ref="I3:N3"/>
    <mergeCell ref="L20:N20"/>
    <mergeCell ref="I23:N23"/>
    <mergeCell ref="L37:M37"/>
  </mergeCells>
  <phoneticPr fontId="1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FC38-7A98-449F-BC7C-84ED32788DCE}">
  <dimension ref="B2:F52"/>
  <sheetViews>
    <sheetView showGridLines="0" topLeftCell="A38" workbookViewId="0">
      <selection activeCell="D59" sqref="D59"/>
    </sheetView>
  </sheetViews>
  <sheetFormatPr baseColWidth="10" defaultRowHeight="14.5" x14ac:dyDescent="0.35"/>
  <cols>
    <col min="1" max="1" width="6.453125" customWidth="1"/>
    <col min="2" max="2" width="33.08984375" customWidth="1"/>
    <col min="3" max="3" width="14" customWidth="1"/>
    <col min="4" max="4" width="14.36328125" customWidth="1"/>
  </cols>
  <sheetData>
    <row r="2" spans="2:5" ht="15" thickBot="1" x14ac:dyDescent="0.4"/>
    <row r="3" spans="2:5" ht="15" thickTop="1" x14ac:dyDescent="0.35">
      <c r="B3" s="48" t="s">
        <v>72</v>
      </c>
      <c r="C3" s="58">
        <v>1</v>
      </c>
      <c r="D3" s="59" t="s">
        <v>98</v>
      </c>
    </row>
    <row r="4" spans="2:5" x14ac:dyDescent="0.35">
      <c r="B4" s="34" t="s">
        <v>99</v>
      </c>
      <c r="C4" s="9">
        <v>3000</v>
      </c>
      <c r="D4" s="46" t="s">
        <v>1</v>
      </c>
    </row>
    <row r="5" spans="2:5" x14ac:dyDescent="0.35">
      <c r="B5" s="34" t="s">
        <v>100</v>
      </c>
      <c r="C5" s="9">
        <v>2000</v>
      </c>
      <c r="D5" s="46" t="s">
        <v>2</v>
      </c>
    </row>
    <row r="6" spans="2:5" x14ac:dyDescent="0.35">
      <c r="B6" s="34" t="s">
        <v>101</v>
      </c>
      <c r="C6" s="9">
        <v>1200</v>
      </c>
      <c r="D6" s="46" t="s">
        <v>102</v>
      </c>
    </row>
    <row r="7" spans="2:5" x14ac:dyDescent="0.35">
      <c r="B7" s="34" t="s">
        <v>3</v>
      </c>
      <c r="C7" s="60" t="s">
        <v>95</v>
      </c>
      <c r="D7" s="46" t="s">
        <v>96</v>
      </c>
    </row>
    <row r="8" spans="2:5" x14ac:dyDescent="0.35">
      <c r="B8" s="34" t="s">
        <v>5</v>
      </c>
      <c r="C8">
        <v>2200</v>
      </c>
      <c r="D8" s="46" t="s">
        <v>4</v>
      </c>
    </row>
    <row r="9" spans="2:5" x14ac:dyDescent="0.35">
      <c r="B9" s="34" t="s">
        <v>6</v>
      </c>
      <c r="C9">
        <v>0.85</v>
      </c>
      <c r="D9" s="46"/>
    </row>
    <row r="10" spans="2:5" x14ac:dyDescent="0.35">
      <c r="B10" s="34" t="s">
        <v>7</v>
      </c>
      <c r="C10">
        <f>C8*C9</f>
        <v>1870</v>
      </c>
      <c r="D10" s="46" t="s">
        <v>8</v>
      </c>
    </row>
    <row r="11" spans="2:5" ht="15" thickBot="1" x14ac:dyDescent="0.4">
      <c r="B11" s="35" t="s">
        <v>93</v>
      </c>
      <c r="C11" s="61">
        <f>C4*1000/$E$11</f>
        <v>20000</v>
      </c>
      <c r="D11" s="47" t="s">
        <v>12</v>
      </c>
      <c r="E11" s="6">
        <v>150</v>
      </c>
    </row>
    <row r="12" spans="2:5" s="1" customFormat="1" ht="15" thickTop="1" x14ac:dyDescent="0.35">
      <c r="C12" s="43"/>
    </row>
    <row r="13" spans="2:5" x14ac:dyDescent="0.35">
      <c r="B13" s="1" t="s">
        <v>97</v>
      </c>
    </row>
    <row r="14" spans="2:5" x14ac:dyDescent="0.35">
      <c r="B14" s="2" t="s">
        <v>107</v>
      </c>
      <c r="C14" s="3">
        <v>4800000</v>
      </c>
      <c r="D14" t="s">
        <v>21</v>
      </c>
    </row>
    <row r="15" spans="2:5" x14ac:dyDescent="0.35">
      <c r="B15" s="2" t="s">
        <v>108</v>
      </c>
      <c r="C15" s="3">
        <v>330000</v>
      </c>
      <c r="D15" t="s">
        <v>21</v>
      </c>
    </row>
    <row r="16" spans="2:5" x14ac:dyDescent="0.35">
      <c r="B16" s="2" t="s">
        <v>73</v>
      </c>
      <c r="C16" s="3">
        <v>1200000</v>
      </c>
      <c r="D16" t="s">
        <v>21</v>
      </c>
    </row>
    <row r="17" spans="2:4" x14ac:dyDescent="0.35">
      <c r="B17" s="2" t="s">
        <v>75</v>
      </c>
      <c r="C17" s="3">
        <v>180000</v>
      </c>
      <c r="D17" t="s">
        <v>21</v>
      </c>
    </row>
    <row r="18" spans="2:4" x14ac:dyDescent="0.35">
      <c r="B18" s="2" t="s">
        <v>74</v>
      </c>
      <c r="C18" s="3">
        <v>250000</v>
      </c>
      <c r="D18" t="s">
        <v>21</v>
      </c>
    </row>
    <row r="19" spans="2:4" x14ac:dyDescent="0.35">
      <c r="B19" s="4" t="s">
        <v>76</v>
      </c>
      <c r="C19" s="5">
        <f>SUM(C14:C18)</f>
        <v>6760000</v>
      </c>
      <c r="D19" s="1" t="s">
        <v>21</v>
      </c>
    </row>
    <row r="20" spans="2:4" x14ac:dyDescent="0.35">
      <c r="B20" s="2"/>
      <c r="C20" s="3"/>
    </row>
    <row r="21" spans="2:4" x14ac:dyDescent="0.35">
      <c r="B21" s="4"/>
      <c r="C21" s="5"/>
    </row>
    <row r="23" spans="2:4" x14ac:dyDescent="0.35">
      <c r="B23" s="105" t="s">
        <v>19</v>
      </c>
      <c r="C23" s="106"/>
      <c r="D23" s="106"/>
    </row>
    <row r="24" spans="2:4" x14ac:dyDescent="0.35">
      <c r="B24" s="106" t="s">
        <v>18</v>
      </c>
      <c r="C24" s="106">
        <v>20</v>
      </c>
      <c r="D24" s="106" t="s">
        <v>14</v>
      </c>
    </row>
    <row r="25" spans="2:4" x14ac:dyDescent="0.35">
      <c r="B25" s="106" t="s">
        <v>78</v>
      </c>
      <c r="C25" s="107">
        <f>C19/12</f>
        <v>563333.33333333337</v>
      </c>
      <c r="D25" s="106" t="s">
        <v>23</v>
      </c>
    </row>
    <row r="26" spans="2:4" x14ac:dyDescent="0.35">
      <c r="B26" s="105" t="s">
        <v>17</v>
      </c>
      <c r="C26" s="106"/>
      <c r="D26" s="106"/>
    </row>
    <row r="27" spans="2:4" x14ac:dyDescent="0.35">
      <c r="B27" s="106" t="s">
        <v>16</v>
      </c>
      <c r="C27" s="108">
        <v>0.01</v>
      </c>
      <c r="D27" s="106" t="s">
        <v>15</v>
      </c>
    </row>
    <row r="28" spans="2:4" x14ac:dyDescent="0.35">
      <c r="B28" s="106" t="s">
        <v>20</v>
      </c>
      <c r="C28" s="107">
        <f>C19*C27</f>
        <v>67600</v>
      </c>
      <c r="D28" s="106" t="s">
        <v>77</v>
      </c>
    </row>
    <row r="29" spans="2:4" x14ac:dyDescent="0.35">
      <c r="B29" s="106" t="s">
        <v>22</v>
      </c>
      <c r="C29" s="109">
        <v>120000</v>
      </c>
      <c r="D29" s="106" t="s">
        <v>21</v>
      </c>
    </row>
    <row r="30" spans="2:4" x14ac:dyDescent="0.35">
      <c r="B30" s="106" t="s">
        <v>18</v>
      </c>
      <c r="C30" s="106">
        <v>20</v>
      </c>
      <c r="D30" s="106" t="s">
        <v>14</v>
      </c>
    </row>
    <row r="31" spans="2:4" x14ac:dyDescent="0.35">
      <c r="B31" s="106" t="s">
        <v>20</v>
      </c>
      <c r="C31" s="107">
        <f>C29/C30</f>
        <v>6000</v>
      </c>
      <c r="D31" s="106" t="s">
        <v>77</v>
      </c>
    </row>
    <row r="32" spans="2:4" x14ac:dyDescent="0.35">
      <c r="B32" s="106" t="s">
        <v>109</v>
      </c>
      <c r="C32" s="109">
        <v>12000</v>
      </c>
      <c r="D32" s="106" t="s">
        <v>77</v>
      </c>
    </row>
    <row r="33" spans="2:6" x14ac:dyDescent="0.35">
      <c r="B33" s="105" t="s">
        <v>79</v>
      </c>
      <c r="C33" s="107">
        <f>C25+C28+C31+C32</f>
        <v>648933.33333333337</v>
      </c>
      <c r="D33" s="105" t="s">
        <v>77</v>
      </c>
    </row>
    <row r="34" spans="2:6" x14ac:dyDescent="0.35">
      <c r="B34" s="105" t="s">
        <v>24</v>
      </c>
      <c r="C34" s="110">
        <v>0.3</v>
      </c>
      <c r="D34" s="106" t="s">
        <v>25</v>
      </c>
    </row>
    <row r="35" spans="2:6" x14ac:dyDescent="0.35">
      <c r="B35" s="106" t="s">
        <v>105</v>
      </c>
      <c r="C35" s="107">
        <f>C33*C34</f>
        <v>194680</v>
      </c>
      <c r="D35" s="106" t="s">
        <v>77</v>
      </c>
      <c r="F35" s="62"/>
    </row>
    <row r="36" spans="2:6" x14ac:dyDescent="0.35">
      <c r="B36" s="105" t="s">
        <v>103</v>
      </c>
      <c r="C36" s="111">
        <f>C33+C35</f>
        <v>843613.33333333337</v>
      </c>
      <c r="D36" s="105" t="s">
        <v>77</v>
      </c>
    </row>
    <row r="37" spans="2:6" x14ac:dyDescent="0.35">
      <c r="B37" s="106" t="s">
        <v>26</v>
      </c>
      <c r="C37" s="109">
        <f>C4*C10</f>
        <v>5610000</v>
      </c>
      <c r="D37" s="106" t="s">
        <v>27</v>
      </c>
    </row>
    <row r="38" spans="2:6" x14ac:dyDescent="0.35">
      <c r="B38" s="105" t="s">
        <v>104</v>
      </c>
      <c r="C38" s="112">
        <f>C36/C37</f>
        <v>0.15037670825906121</v>
      </c>
      <c r="D38" s="105" t="s">
        <v>28</v>
      </c>
    </row>
    <row r="39" spans="2:6" x14ac:dyDescent="0.35">
      <c r="B39" s="106" t="s">
        <v>110</v>
      </c>
      <c r="C39" s="109">
        <f>C45</f>
        <v>4220000</v>
      </c>
      <c r="D39" s="106" t="s">
        <v>27</v>
      </c>
    </row>
    <row r="40" spans="2:6" x14ac:dyDescent="0.35">
      <c r="B40" s="105" t="s">
        <v>111</v>
      </c>
      <c r="C40" s="113">
        <f>C36/C39</f>
        <v>0.1999083728278041</v>
      </c>
      <c r="D40" s="105" t="s">
        <v>28</v>
      </c>
    </row>
    <row r="41" spans="2:6" x14ac:dyDescent="0.35">
      <c r="B41" s="105" t="s">
        <v>106</v>
      </c>
      <c r="C41" s="111">
        <f>C46*C38</f>
        <v>209023.62448009508</v>
      </c>
      <c r="D41" s="105" t="s">
        <v>23</v>
      </c>
    </row>
    <row r="43" spans="2:6" x14ac:dyDescent="0.35">
      <c r="B43" s="44" t="s">
        <v>82</v>
      </c>
      <c r="C43" s="9">
        <v>220000</v>
      </c>
      <c r="D43" t="s">
        <v>27</v>
      </c>
    </row>
    <row r="44" spans="2:6" x14ac:dyDescent="0.35">
      <c r="B44" s="44" t="s">
        <v>80</v>
      </c>
      <c r="C44" s="9">
        <v>4000000</v>
      </c>
      <c r="D44" t="s">
        <v>27</v>
      </c>
    </row>
    <row r="45" spans="2:6" x14ac:dyDescent="0.35">
      <c r="B45" s="1" t="s">
        <v>83</v>
      </c>
      <c r="C45" s="45">
        <f>SUM(C43:C44)</f>
        <v>4220000</v>
      </c>
      <c r="D45" s="1" t="s">
        <v>27</v>
      </c>
    </row>
    <row r="46" spans="2:6" x14ac:dyDescent="0.35">
      <c r="B46" t="s">
        <v>81</v>
      </c>
      <c r="C46" s="9">
        <f>C37-C39</f>
        <v>1390000</v>
      </c>
      <c r="D46" t="s">
        <v>27</v>
      </c>
    </row>
    <row r="47" spans="2:6" x14ac:dyDescent="0.35">
      <c r="B47" s="34" t="s">
        <v>138</v>
      </c>
      <c r="C47" s="77">
        <v>0.25</v>
      </c>
      <c r="D47" t="s">
        <v>156</v>
      </c>
    </row>
    <row r="49" spans="2:6" x14ac:dyDescent="0.35">
      <c r="B49" s="67" t="s">
        <v>129</v>
      </c>
      <c r="C49" s="70">
        <v>0.25</v>
      </c>
      <c r="D49" s="67" t="s">
        <v>28</v>
      </c>
      <c r="E49" s="104">
        <f>C49/2</f>
        <v>0.125</v>
      </c>
      <c r="F49" s="103" t="s">
        <v>28</v>
      </c>
    </row>
    <row r="50" spans="2:6" x14ac:dyDescent="0.35">
      <c r="B50" s="67" t="s">
        <v>152</v>
      </c>
      <c r="C50" s="70">
        <v>0.25</v>
      </c>
      <c r="D50" s="67" t="s">
        <v>28</v>
      </c>
      <c r="E50" s="104">
        <f>C50/2</f>
        <v>0.125</v>
      </c>
      <c r="F50" s="103" t="s">
        <v>28</v>
      </c>
    </row>
    <row r="52" spans="2:6" x14ac:dyDescent="0.35">
      <c r="B52" s="70" t="s">
        <v>130</v>
      </c>
      <c r="C52" s="73">
        <v>10000</v>
      </c>
      <c r="D52" s="74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2DF5-A2D7-4D5B-8314-017CF4046080}">
  <dimension ref="A3:W61"/>
  <sheetViews>
    <sheetView tabSelected="1" topLeftCell="B50" zoomScale="140" zoomScaleNormal="140" workbookViewId="0">
      <selection activeCell="B62" sqref="B62"/>
    </sheetView>
  </sheetViews>
  <sheetFormatPr baseColWidth="10" defaultRowHeight="14.5" x14ac:dyDescent="0.35"/>
  <cols>
    <col min="2" max="2" width="32.08984375" customWidth="1"/>
    <col min="3" max="3" width="12.26953125" bestFit="1" customWidth="1"/>
  </cols>
  <sheetData>
    <row r="3" spans="2:23" x14ac:dyDescent="0.35">
      <c r="B3" s="43" t="s">
        <v>179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</row>
    <row r="4" spans="2:23" ht="15.5" x14ac:dyDescent="0.35">
      <c r="B4" s="75" t="s">
        <v>127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2:23" x14ac:dyDescent="0.35">
      <c r="B5" t="s">
        <v>121</v>
      </c>
      <c r="C5" s="9">
        <f>'Hypothèses Nour 3Moissons'!C26*'Hypothèses Nour 3Moissons'!$C$21</f>
        <v>1330000</v>
      </c>
      <c r="D5" s="9">
        <f>'Hypothèses Nour 3Moissons'!D26*'Hypothèses Nour 3Moissons'!$C$21</f>
        <v>2660000</v>
      </c>
      <c r="E5" s="9">
        <f>'Hypothèses Nour 3Moissons'!E26*'Hypothèses Nour 3Moissons'!$C$21</f>
        <v>2660000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2:23" x14ac:dyDescent="0.35">
      <c r="B6" t="s">
        <v>134</v>
      </c>
      <c r="C6" s="9">
        <f>C5</f>
        <v>1330000</v>
      </c>
      <c r="D6" s="9">
        <f>C5+D5</f>
        <v>3990000</v>
      </c>
      <c r="E6" s="9">
        <f>D6+E5</f>
        <v>6650000</v>
      </c>
      <c r="F6" s="9">
        <f>E6+F5</f>
        <v>6650000</v>
      </c>
      <c r="G6" s="9">
        <f t="shared" ref="G6:W6" si="0">F6+G5</f>
        <v>6650000</v>
      </c>
      <c r="H6" s="9">
        <f t="shared" si="0"/>
        <v>6650000</v>
      </c>
      <c r="I6" s="9">
        <f t="shared" si="0"/>
        <v>6650000</v>
      </c>
      <c r="J6" s="9">
        <f t="shared" si="0"/>
        <v>6650000</v>
      </c>
      <c r="K6" s="9">
        <f t="shared" si="0"/>
        <v>6650000</v>
      </c>
      <c r="L6" s="9">
        <f t="shared" si="0"/>
        <v>6650000</v>
      </c>
      <c r="M6" s="9">
        <f t="shared" si="0"/>
        <v>6650000</v>
      </c>
      <c r="N6" s="9">
        <f t="shared" si="0"/>
        <v>6650000</v>
      </c>
      <c r="O6" s="9">
        <f t="shared" si="0"/>
        <v>6650000</v>
      </c>
      <c r="P6" s="9">
        <f t="shared" si="0"/>
        <v>6650000</v>
      </c>
      <c r="Q6" s="9">
        <f t="shared" si="0"/>
        <v>6650000</v>
      </c>
      <c r="R6" s="9">
        <f t="shared" si="0"/>
        <v>6650000</v>
      </c>
      <c r="S6" s="9">
        <f t="shared" si="0"/>
        <v>6650000</v>
      </c>
      <c r="T6" s="9">
        <f t="shared" si="0"/>
        <v>6650000</v>
      </c>
      <c r="U6" s="9">
        <f t="shared" si="0"/>
        <v>6650000</v>
      </c>
      <c r="V6" s="9">
        <f t="shared" si="0"/>
        <v>6650000</v>
      </c>
      <c r="W6" s="9">
        <f t="shared" si="0"/>
        <v>6650000</v>
      </c>
    </row>
    <row r="7" spans="2:23" x14ac:dyDescent="0.35">
      <c r="B7" t="s">
        <v>165</v>
      </c>
      <c r="C7" s="9">
        <v>0</v>
      </c>
      <c r="D7" s="9">
        <v>0</v>
      </c>
      <c r="E7" s="9">
        <v>250000</v>
      </c>
      <c r="F7" s="9">
        <v>120000</v>
      </c>
      <c r="G7" s="9">
        <v>60000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</row>
    <row r="8" spans="2:23" x14ac:dyDescent="0.35">
      <c r="B8" t="s">
        <v>122</v>
      </c>
      <c r="C8" s="9">
        <f>'Hypothèses Nour 3Moissons'!C26*'Hypothèses Nour 3Moissons'!$N$37</f>
        <v>755000</v>
      </c>
      <c r="D8" s="9">
        <f>C8+'Hypothèses Nour 3Moissons'!D26*'Hypothèses Nour 3Moissons'!$N$37</f>
        <v>2265000</v>
      </c>
      <c r="E8" s="9">
        <f>D8+'Hypothèses Nour 3Moissons'!E26*'Hypothèses Nour 3Moissons'!$N$37</f>
        <v>3775000</v>
      </c>
      <c r="F8" s="9">
        <f>$E$8</f>
        <v>3775000</v>
      </c>
      <c r="G8" s="9">
        <f t="shared" ref="G8:W8" si="1">$E$8</f>
        <v>3775000</v>
      </c>
      <c r="H8" s="9">
        <f t="shared" si="1"/>
        <v>3775000</v>
      </c>
      <c r="I8" s="9">
        <f t="shared" si="1"/>
        <v>3775000</v>
      </c>
      <c r="J8" s="9">
        <f t="shared" si="1"/>
        <v>3775000</v>
      </c>
      <c r="K8" s="9">
        <f t="shared" si="1"/>
        <v>3775000</v>
      </c>
      <c r="L8" s="9">
        <f t="shared" si="1"/>
        <v>3775000</v>
      </c>
      <c r="M8" s="9">
        <f t="shared" si="1"/>
        <v>3775000</v>
      </c>
      <c r="N8" s="9">
        <f t="shared" si="1"/>
        <v>3775000</v>
      </c>
      <c r="O8" s="9">
        <f t="shared" si="1"/>
        <v>3775000</v>
      </c>
      <c r="P8" s="9">
        <f t="shared" si="1"/>
        <v>3775000</v>
      </c>
      <c r="Q8" s="9">
        <f t="shared" si="1"/>
        <v>3775000</v>
      </c>
      <c r="R8" s="9">
        <f t="shared" si="1"/>
        <v>3775000</v>
      </c>
      <c r="S8" s="9">
        <f t="shared" si="1"/>
        <v>3775000</v>
      </c>
      <c r="T8" s="9">
        <f t="shared" si="1"/>
        <v>3775000</v>
      </c>
      <c r="U8" s="9">
        <f t="shared" si="1"/>
        <v>3775000</v>
      </c>
      <c r="V8" s="9">
        <f t="shared" si="1"/>
        <v>3775000</v>
      </c>
      <c r="W8" s="9">
        <f t="shared" si="1"/>
        <v>3775000</v>
      </c>
    </row>
    <row r="9" spans="2:23" x14ac:dyDescent="0.35">
      <c r="B9" t="s">
        <v>124</v>
      </c>
      <c r="C9" s="9">
        <f>'Hypothèses Nour 3Moissons'!$C$29*'VAN Nour  Baghara'!C8</f>
        <v>188750</v>
      </c>
      <c r="D9" s="9">
        <f>'Hypothèses Nour 3Moissons'!$C$29*'VAN Nour  Baghara'!D8</f>
        <v>566250</v>
      </c>
      <c r="E9" s="9">
        <f>'Hypothèses Nour 3Moissons'!$C$29*'VAN Nour  Baghara'!E8</f>
        <v>943750</v>
      </c>
      <c r="F9" s="9">
        <f>'Hypothèses Nour 3Moissons'!$C$29*'VAN Nour  Baghara'!F8</f>
        <v>943750</v>
      </c>
      <c r="G9" s="9">
        <f>'Hypothèses Nour 3Moissons'!$C$29*'VAN Nour  Baghara'!G8</f>
        <v>943750</v>
      </c>
      <c r="H9" s="9">
        <f>'Hypothèses Nour 3Moissons'!$C$29*'VAN Nour  Baghara'!H8</f>
        <v>943750</v>
      </c>
      <c r="I9" s="9">
        <f>'Hypothèses Nour 3Moissons'!$C$29*'VAN Nour  Baghara'!I8</f>
        <v>943750</v>
      </c>
      <c r="J9" s="9">
        <f>'Hypothèses Nour 3Moissons'!$C$29*'VAN Nour  Baghara'!J8</f>
        <v>943750</v>
      </c>
      <c r="K9" s="9">
        <f>'Hypothèses Nour 3Moissons'!$C$29*'VAN Nour  Baghara'!K8</f>
        <v>943750</v>
      </c>
      <c r="L9" s="9">
        <f>'Hypothèses Nour 3Moissons'!$C$29*'VAN Nour  Baghara'!L8</f>
        <v>943750</v>
      </c>
      <c r="M9" s="9">
        <f>'Hypothèses Nour 3Moissons'!$C$29*'VAN Nour  Baghara'!M8</f>
        <v>943750</v>
      </c>
      <c r="N9" s="9">
        <f>'Hypothèses Nour 3Moissons'!$C$29*'VAN Nour  Baghara'!N8</f>
        <v>943750</v>
      </c>
      <c r="O9" s="9">
        <f>'Hypothèses Nour 3Moissons'!$C$29*'VAN Nour  Baghara'!O8</f>
        <v>943750</v>
      </c>
      <c r="P9" s="9">
        <f>'Hypothèses Nour 3Moissons'!$C$29*'VAN Nour  Baghara'!P8</f>
        <v>943750</v>
      </c>
      <c r="Q9" s="9">
        <f>'Hypothèses Nour 3Moissons'!$C$29*'VAN Nour  Baghara'!Q8</f>
        <v>943750</v>
      </c>
      <c r="R9" s="9">
        <f>'Hypothèses Nour 3Moissons'!$C$29*'VAN Nour  Baghara'!R8</f>
        <v>943750</v>
      </c>
      <c r="S9" s="9">
        <f>'Hypothèses Nour 3Moissons'!$C$29*'VAN Nour  Baghara'!S8</f>
        <v>943750</v>
      </c>
      <c r="T9" s="9">
        <f>'Hypothèses Nour 3Moissons'!$C$29*'VAN Nour  Baghara'!T8</f>
        <v>943750</v>
      </c>
      <c r="U9" s="9">
        <f>'Hypothèses Nour 3Moissons'!$C$29*'VAN Nour  Baghara'!U8</f>
        <v>943750</v>
      </c>
      <c r="V9" s="9">
        <f>'Hypothèses Nour 3Moissons'!$C$29*'VAN Nour  Baghara'!V8</f>
        <v>943750</v>
      </c>
      <c r="W9" s="9">
        <f>'Hypothèses Nour 3Moissons'!$C$29*'VAN Nour  Baghara'!W8</f>
        <v>943750</v>
      </c>
    </row>
    <row r="10" spans="2:23" x14ac:dyDescent="0.35">
      <c r="B10" t="s">
        <v>119</v>
      </c>
      <c r="C10" s="9">
        <f>'Hypothèses Nour 3Moissons'!C27*'Hypothèses Nour 3Moissons'!$C$33</f>
        <v>10000</v>
      </c>
      <c r="D10" s="9">
        <f>'Hypothèses Nour 3Moissons'!D27*'Hypothèses Nour 3Moissons'!$C$33</f>
        <v>30000</v>
      </c>
      <c r="E10" s="9">
        <f>'Hypothèses Nour 3Moissons'!E27*'Hypothèses Nour 3Moissons'!$C$33</f>
        <v>50000</v>
      </c>
      <c r="F10" s="9">
        <f>$E$10</f>
        <v>50000</v>
      </c>
      <c r="G10" s="9">
        <f t="shared" ref="G10:W10" si="2">$E$10</f>
        <v>50000</v>
      </c>
      <c r="H10" s="9">
        <f t="shared" si="2"/>
        <v>50000</v>
      </c>
      <c r="I10" s="9">
        <f t="shared" si="2"/>
        <v>50000</v>
      </c>
      <c r="J10" s="9">
        <f t="shared" si="2"/>
        <v>50000</v>
      </c>
      <c r="K10" s="9">
        <f t="shared" si="2"/>
        <v>50000</v>
      </c>
      <c r="L10" s="9">
        <f t="shared" si="2"/>
        <v>50000</v>
      </c>
      <c r="M10" s="9">
        <f t="shared" si="2"/>
        <v>50000</v>
      </c>
      <c r="N10" s="9">
        <f t="shared" si="2"/>
        <v>50000</v>
      </c>
      <c r="O10" s="9">
        <f t="shared" si="2"/>
        <v>50000</v>
      </c>
      <c r="P10" s="9">
        <f t="shared" si="2"/>
        <v>50000</v>
      </c>
      <c r="Q10" s="9">
        <f t="shared" si="2"/>
        <v>50000</v>
      </c>
      <c r="R10" s="9">
        <f t="shared" si="2"/>
        <v>50000</v>
      </c>
      <c r="S10" s="9">
        <f t="shared" si="2"/>
        <v>50000</v>
      </c>
      <c r="T10" s="9">
        <f t="shared" si="2"/>
        <v>50000</v>
      </c>
      <c r="U10" s="9">
        <f t="shared" si="2"/>
        <v>50000</v>
      </c>
      <c r="V10" s="9">
        <f t="shared" si="2"/>
        <v>50000</v>
      </c>
      <c r="W10" s="9">
        <f t="shared" si="2"/>
        <v>50000</v>
      </c>
    </row>
    <row r="11" spans="2:23" s="1" customFormat="1" x14ac:dyDescent="0.35">
      <c r="B11" s="1" t="s">
        <v>131</v>
      </c>
      <c r="C11" s="45">
        <f>SUM(C9:C10)</f>
        <v>198750</v>
      </c>
      <c r="D11" s="45">
        <f t="shared" ref="D11:W11" si="3">SUM(D9:D10)</f>
        <v>596250</v>
      </c>
      <c r="E11" s="45">
        <f t="shared" si="3"/>
        <v>993750</v>
      </c>
      <c r="F11" s="45">
        <f t="shared" si="3"/>
        <v>993750</v>
      </c>
      <c r="G11" s="45">
        <f t="shared" si="3"/>
        <v>993750</v>
      </c>
      <c r="H11" s="45">
        <f t="shared" si="3"/>
        <v>993750</v>
      </c>
      <c r="I11" s="45">
        <f t="shared" si="3"/>
        <v>993750</v>
      </c>
      <c r="J11" s="45">
        <f t="shared" si="3"/>
        <v>993750</v>
      </c>
      <c r="K11" s="45">
        <f t="shared" si="3"/>
        <v>993750</v>
      </c>
      <c r="L11" s="45">
        <f t="shared" si="3"/>
        <v>993750</v>
      </c>
      <c r="M11" s="45">
        <f t="shared" si="3"/>
        <v>993750</v>
      </c>
      <c r="N11" s="45">
        <f t="shared" si="3"/>
        <v>993750</v>
      </c>
      <c r="O11" s="45">
        <f t="shared" si="3"/>
        <v>993750</v>
      </c>
      <c r="P11" s="45">
        <f t="shared" si="3"/>
        <v>993750</v>
      </c>
      <c r="Q11" s="45">
        <f t="shared" si="3"/>
        <v>993750</v>
      </c>
      <c r="R11" s="45">
        <f t="shared" si="3"/>
        <v>993750</v>
      </c>
      <c r="S11" s="45">
        <f t="shared" si="3"/>
        <v>993750</v>
      </c>
      <c r="T11" s="45">
        <f t="shared" si="3"/>
        <v>993750</v>
      </c>
      <c r="U11" s="45">
        <f t="shared" si="3"/>
        <v>993750</v>
      </c>
      <c r="V11" s="45">
        <f t="shared" si="3"/>
        <v>993750</v>
      </c>
      <c r="W11" s="45">
        <f t="shared" si="3"/>
        <v>993750</v>
      </c>
    </row>
    <row r="12" spans="2:23" ht="14" customHeight="1" x14ac:dyDescent="0.35"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2:23" ht="15.5" x14ac:dyDescent="0.35">
      <c r="B13" s="75" t="s">
        <v>120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2:23" x14ac:dyDescent="0.35">
      <c r="B14" t="s">
        <v>128</v>
      </c>
      <c r="C14" s="9">
        <f>'Hypothèses Nour Haraz'!$C$19/2</f>
        <v>3380000</v>
      </c>
      <c r="D14" s="9">
        <f>'Hypothèses Nour Haraz'!$C$19/2</f>
        <v>3380000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</row>
    <row r="15" spans="2:23" x14ac:dyDescent="0.35">
      <c r="B15" t="s">
        <v>135</v>
      </c>
      <c r="C15" s="9">
        <f>C14</f>
        <v>3380000</v>
      </c>
      <c r="D15" s="9">
        <f>C14+D14</f>
        <v>6760000</v>
      </c>
      <c r="E15" s="9">
        <f>D15+E14</f>
        <v>6760000</v>
      </c>
      <c r="F15" s="9">
        <f>E15+F14</f>
        <v>6760000</v>
      </c>
      <c r="G15" s="9">
        <f t="shared" ref="G15:W15" si="4">F15+G14</f>
        <v>6760000</v>
      </c>
      <c r="H15" s="9">
        <f t="shared" si="4"/>
        <v>6760000</v>
      </c>
      <c r="I15" s="9">
        <f t="shared" si="4"/>
        <v>6760000</v>
      </c>
      <c r="J15" s="9">
        <f t="shared" si="4"/>
        <v>6760000</v>
      </c>
      <c r="K15" s="9">
        <f t="shared" si="4"/>
        <v>6760000</v>
      </c>
      <c r="L15" s="9">
        <f t="shared" si="4"/>
        <v>6760000</v>
      </c>
      <c r="M15" s="9">
        <f t="shared" si="4"/>
        <v>6760000</v>
      </c>
      <c r="N15" s="9">
        <f t="shared" si="4"/>
        <v>6760000</v>
      </c>
      <c r="O15" s="9">
        <f t="shared" si="4"/>
        <v>6760000</v>
      </c>
      <c r="P15" s="9">
        <f t="shared" si="4"/>
        <v>6760000</v>
      </c>
      <c r="Q15" s="9">
        <f t="shared" si="4"/>
        <v>6760000</v>
      </c>
      <c r="R15" s="9">
        <f t="shared" si="4"/>
        <v>6760000</v>
      </c>
      <c r="S15" s="9">
        <f t="shared" si="4"/>
        <v>6760000</v>
      </c>
      <c r="T15" s="9">
        <f t="shared" si="4"/>
        <v>6760000</v>
      </c>
      <c r="U15" s="9">
        <f t="shared" si="4"/>
        <v>6760000</v>
      </c>
      <c r="V15" s="9">
        <f t="shared" si="4"/>
        <v>6760000</v>
      </c>
      <c r="W15" s="9">
        <f t="shared" si="4"/>
        <v>6760000</v>
      </c>
    </row>
    <row r="16" spans="2:23" x14ac:dyDescent="0.35">
      <c r="B16" t="s">
        <v>123</v>
      </c>
      <c r="C16" s="9">
        <f>'Hypothèses Nour Haraz'!$C$45/2</f>
        <v>2110000</v>
      </c>
      <c r="D16" s="9">
        <f>'Hypothèses Nour Haraz'!$C$45/2</f>
        <v>2110000</v>
      </c>
      <c r="E16" s="9">
        <f>'Hypothèses Nour Haraz'!$C$45</f>
        <v>4220000</v>
      </c>
      <c r="F16" s="9">
        <f>'Hypothèses Nour Haraz'!$C$45</f>
        <v>4220000</v>
      </c>
      <c r="G16" s="9">
        <f>'Hypothèses Nour Haraz'!$C$45</f>
        <v>4220000</v>
      </c>
      <c r="H16" s="9">
        <f>'Hypothèses Nour Haraz'!$C$45</f>
        <v>4220000</v>
      </c>
      <c r="I16" s="9">
        <f>'Hypothèses Nour Haraz'!$C$45</f>
        <v>4220000</v>
      </c>
      <c r="J16" s="9">
        <f>'Hypothèses Nour Haraz'!$C$45</f>
        <v>4220000</v>
      </c>
      <c r="K16" s="9">
        <f>'Hypothèses Nour Haraz'!$C$45</f>
        <v>4220000</v>
      </c>
      <c r="L16" s="9">
        <f>'Hypothèses Nour Haraz'!$C$45</f>
        <v>4220000</v>
      </c>
      <c r="M16" s="9">
        <f>'Hypothèses Nour Haraz'!$C$45</f>
        <v>4220000</v>
      </c>
      <c r="N16" s="9">
        <f>'Hypothèses Nour Haraz'!$C$45</f>
        <v>4220000</v>
      </c>
      <c r="O16" s="9">
        <f>'Hypothèses Nour Haraz'!$C$45</f>
        <v>4220000</v>
      </c>
      <c r="P16" s="9">
        <f>'Hypothèses Nour Haraz'!$C$45</f>
        <v>4220000</v>
      </c>
      <c r="Q16" s="9">
        <f>'Hypothèses Nour Haraz'!$C$45</f>
        <v>4220000</v>
      </c>
      <c r="R16" s="9">
        <f>'Hypothèses Nour Haraz'!$C$45</f>
        <v>4220000</v>
      </c>
      <c r="S16" s="9">
        <f>'Hypothèses Nour Haraz'!$C$45</f>
        <v>4220000</v>
      </c>
      <c r="T16" s="9">
        <f>'Hypothèses Nour Haraz'!$C$45</f>
        <v>4220000</v>
      </c>
      <c r="U16" s="9">
        <f>'Hypothèses Nour Haraz'!$C$45</f>
        <v>4220000</v>
      </c>
      <c r="V16" s="9">
        <f>'Hypothèses Nour Haraz'!$C$45</f>
        <v>4220000</v>
      </c>
      <c r="W16" s="9">
        <f>'Hypothèses Nour Haraz'!$C$45</f>
        <v>4220000</v>
      </c>
    </row>
    <row r="17" spans="2:23" x14ac:dyDescent="0.35">
      <c r="B17" t="s">
        <v>125</v>
      </c>
      <c r="C17" s="9">
        <f>C16*'Hypothèses Nour Haraz'!$C$49</f>
        <v>527500</v>
      </c>
      <c r="D17" s="9">
        <f>D16*'Hypothèses Nour Haraz'!$C$49</f>
        <v>527500</v>
      </c>
      <c r="E17" s="9">
        <f>E16*'Hypothèses Nour Haraz'!$C$49</f>
        <v>1055000</v>
      </c>
      <c r="F17" s="9">
        <f>F16*'Hypothèses Nour Haraz'!$C$49</f>
        <v>1055000</v>
      </c>
      <c r="G17" s="9">
        <f>G16*'Hypothèses Nour Haraz'!$C$49</f>
        <v>1055000</v>
      </c>
      <c r="H17" s="9">
        <f>H16*'Hypothèses Nour Haraz'!$C$49</f>
        <v>1055000</v>
      </c>
      <c r="I17" s="9">
        <f>I16*'Hypothèses Nour Haraz'!$C$49</f>
        <v>1055000</v>
      </c>
      <c r="J17" s="9">
        <f>J16*'Hypothèses Nour Haraz'!$C$49</f>
        <v>1055000</v>
      </c>
      <c r="K17" s="9">
        <f>K16*'Hypothèses Nour Haraz'!$C$49</f>
        <v>1055000</v>
      </c>
      <c r="L17" s="9">
        <f>L16*'Hypothèses Nour Haraz'!$C$49</f>
        <v>1055000</v>
      </c>
      <c r="M17" s="9">
        <f>M16*'Hypothèses Nour Haraz'!$C$49</f>
        <v>1055000</v>
      </c>
      <c r="N17" s="9">
        <f>N16*'Hypothèses Nour Haraz'!$C$49</f>
        <v>1055000</v>
      </c>
      <c r="O17" s="9">
        <f>O16*'Hypothèses Nour Haraz'!$C$49</f>
        <v>1055000</v>
      </c>
      <c r="P17" s="9">
        <f>P16*'Hypothèses Nour Haraz'!$C$49</f>
        <v>1055000</v>
      </c>
      <c r="Q17" s="9">
        <f>Q16*'Hypothèses Nour Haraz'!$C$49</f>
        <v>1055000</v>
      </c>
      <c r="R17" s="9">
        <f>R16*'Hypothèses Nour Haraz'!$C$49</f>
        <v>1055000</v>
      </c>
      <c r="S17" s="9">
        <f>S16*'Hypothèses Nour Haraz'!$C$49</f>
        <v>1055000</v>
      </c>
      <c r="T17" s="9">
        <f>T16*'Hypothèses Nour Haraz'!$C$49</f>
        <v>1055000</v>
      </c>
      <c r="U17" s="9">
        <f>U16*'Hypothèses Nour Haraz'!$C$49</f>
        <v>1055000</v>
      </c>
      <c r="V17" s="9">
        <f>V16*'Hypothèses Nour Haraz'!$C$49</f>
        <v>1055000</v>
      </c>
      <c r="W17" s="9">
        <f>W16*'Hypothèses Nour Haraz'!$C$49</f>
        <v>1055000</v>
      </c>
    </row>
    <row r="18" spans="2:23" x14ac:dyDescent="0.35">
      <c r="B18" t="s">
        <v>126</v>
      </c>
      <c r="C18" s="9">
        <f>'Hypothèses Nour Haraz'!C52/2</f>
        <v>5000</v>
      </c>
      <c r="D18" s="9">
        <f>'Hypothèses Nour Haraz'!$C$52</f>
        <v>10000</v>
      </c>
      <c r="E18" s="9">
        <f>'Hypothèses Nour Haraz'!$C$52</f>
        <v>10000</v>
      </c>
      <c r="F18" s="9">
        <f>'Hypothèses Nour Haraz'!$C$52</f>
        <v>10000</v>
      </c>
      <c r="G18" s="9">
        <f>'Hypothèses Nour Haraz'!$C$52</f>
        <v>10000</v>
      </c>
      <c r="H18" s="9">
        <f>'Hypothèses Nour Haraz'!$C$52</f>
        <v>10000</v>
      </c>
      <c r="I18" s="9">
        <f>'Hypothèses Nour Haraz'!$C$52</f>
        <v>10000</v>
      </c>
      <c r="J18" s="9">
        <f>'Hypothèses Nour Haraz'!$C$52</f>
        <v>10000</v>
      </c>
      <c r="K18" s="9">
        <f>'Hypothèses Nour Haraz'!$C$52</f>
        <v>10000</v>
      </c>
      <c r="L18" s="9">
        <f>'Hypothèses Nour Haraz'!$C$52</f>
        <v>10000</v>
      </c>
      <c r="M18" s="9">
        <f>'Hypothèses Nour Haraz'!$C$52</f>
        <v>10000</v>
      </c>
      <c r="N18" s="9">
        <f>'Hypothèses Nour Haraz'!$C$52</f>
        <v>10000</v>
      </c>
      <c r="O18" s="9">
        <f>'Hypothèses Nour Haraz'!$C$52</f>
        <v>10000</v>
      </c>
      <c r="P18" s="9">
        <f>'Hypothèses Nour Haraz'!$C$52</f>
        <v>10000</v>
      </c>
      <c r="Q18" s="9">
        <f>'Hypothèses Nour Haraz'!$C$52</f>
        <v>10000</v>
      </c>
      <c r="R18" s="9">
        <f>'Hypothèses Nour Haraz'!$C$52</f>
        <v>10000</v>
      </c>
      <c r="S18" s="9">
        <f>'Hypothèses Nour Haraz'!$C$52</f>
        <v>10000</v>
      </c>
      <c r="T18" s="9">
        <f>'Hypothèses Nour Haraz'!$C$52</f>
        <v>10000</v>
      </c>
      <c r="U18" s="9">
        <f>'Hypothèses Nour Haraz'!$C$52</f>
        <v>10000</v>
      </c>
      <c r="V18" s="9">
        <f>'Hypothèses Nour Haraz'!$C$52</f>
        <v>10000</v>
      </c>
      <c r="W18" s="9">
        <f>'Hypothèses Nour Haraz'!$C$52</f>
        <v>10000</v>
      </c>
    </row>
    <row r="19" spans="2:23" x14ac:dyDescent="0.35">
      <c r="B19" s="1" t="s">
        <v>132</v>
      </c>
      <c r="C19" s="45">
        <f>SUM(C17:C18)</f>
        <v>532500</v>
      </c>
      <c r="D19" s="45">
        <f>SUM(D17:D18)</f>
        <v>537500</v>
      </c>
      <c r="E19" s="45">
        <f t="shared" ref="E19:W19" si="5">SUM(E17:E18)</f>
        <v>1065000</v>
      </c>
      <c r="F19" s="45">
        <f t="shared" si="5"/>
        <v>1065000</v>
      </c>
      <c r="G19" s="45">
        <f t="shared" si="5"/>
        <v>1065000</v>
      </c>
      <c r="H19" s="45">
        <f t="shared" si="5"/>
        <v>1065000</v>
      </c>
      <c r="I19" s="45">
        <f t="shared" si="5"/>
        <v>1065000</v>
      </c>
      <c r="J19" s="45">
        <f t="shared" si="5"/>
        <v>1065000</v>
      </c>
      <c r="K19" s="45">
        <f t="shared" si="5"/>
        <v>1065000</v>
      </c>
      <c r="L19" s="45">
        <f t="shared" si="5"/>
        <v>1065000</v>
      </c>
      <c r="M19" s="45">
        <f t="shared" si="5"/>
        <v>1065000</v>
      </c>
      <c r="N19" s="45">
        <f t="shared" si="5"/>
        <v>1065000</v>
      </c>
      <c r="O19" s="45">
        <f t="shared" si="5"/>
        <v>1065000</v>
      </c>
      <c r="P19" s="45">
        <f t="shared" si="5"/>
        <v>1065000</v>
      </c>
      <c r="Q19" s="45">
        <f t="shared" si="5"/>
        <v>1065000</v>
      </c>
      <c r="R19" s="45">
        <f t="shared" si="5"/>
        <v>1065000</v>
      </c>
      <c r="S19" s="45">
        <f t="shared" si="5"/>
        <v>1065000</v>
      </c>
      <c r="T19" s="45">
        <f t="shared" si="5"/>
        <v>1065000</v>
      </c>
      <c r="U19" s="45">
        <f t="shared" si="5"/>
        <v>1065000</v>
      </c>
      <c r="V19" s="45">
        <f t="shared" si="5"/>
        <v>1065000</v>
      </c>
      <c r="W19" s="45">
        <f t="shared" si="5"/>
        <v>1065000</v>
      </c>
    </row>
    <row r="20" spans="2:23" x14ac:dyDescent="0.35">
      <c r="B20" s="1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</row>
    <row r="21" spans="2:23" s="78" customFormat="1" ht="18.5" x14ac:dyDescent="0.45">
      <c r="B21" s="79" t="s">
        <v>145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</row>
    <row r="22" spans="2:23" s="81" customFormat="1" ht="15.5" x14ac:dyDescent="0.35">
      <c r="B22" s="81" t="s">
        <v>147</v>
      </c>
      <c r="C22" s="82">
        <f>C11+C19</f>
        <v>731250</v>
      </c>
      <c r="D22" s="82">
        <f t="shared" ref="D22:W22" si="6">D11+D19</f>
        <v>1133750</v>
      </c>
      <c r="E22" s="82">
        <f t="shared" si="6"/>
        <v>2058750</v>
      </c>
      <c r="F22" s="82">
        <f t="shared" si="6"/>
        <v>2058750</v>
      </c>
      <c r="G22" s="82">
        <f t="shared" si="6"/>
        <v>2058750</v>
      </c>
      <c r="H22" s="82">
        <f t="shared" si="6"/>
        <v>2058750</v>
      </c>
      <c r="I22" s="82">
        <f t="shared" si="6"/>
        <v>2058750</v>
      </c>
      <c r="J22" s="82">
        <f t="shared" si="6"/>
        <v>2058750</v>
      </c>
      <c r="K22" s="82">
        <f t="shared" si="6"/>
        <v>2058750</v>
      </c>
      <c r="L22" s="82">
        <f t="shared" si="6"/>
        <v>2058750</v>
      </c>
      <c r="M22" s="82">
        <f t="shared" si="6"/>
        <v>2058750</v>
      </c>
      <c r="N22" s="82">
        <f t="shared" si="6"/>
        <v>2058750</v>
      </c>
      <c r="O22" s="82">
        <f t="shared" si="6"/>
        <v>2058750</v>
      </c>
      <c r="P22" s="82">
        <f t="shared" si="6"/>
        <v>2058750</v>
      </c>
      <c r="Q22" s="82">
        <f t="shared" si="6"/>
        <v>2058750</v>
      </c>
      <c r="R22" s="82">
        <f t="shared" si="6"/>
        <v>2058750</v>
      </c>
      <c r="S22" s="82">
        <f t="shared" si="6"/>
        <v>2058750</v>
      </c>
      <c r="T22" s="82">
        <f t="shared" si="6"/>
        <v>2058750</v>
      </c>
      <c r="U22" s="82">
        <f t="shared" si="6"/>
        <v>2058750</v>
      </c>
      <c r="V22" s="82">
        <f t="shared" si="6"/>
        <v>2058750</v>
      </c>
      <c r="W22" s="82">
        <f t="shared" si="6"/>
        <v>2058750</v>
      </c>
    </row>
    <row r="23" spans="2:23" x14ac:dyDescent="0.35">
      <c r="B23" t="s">
        <v>140</v>
      </c>
      <c r="C23" s="9">
        <f>(C6+C15)*'Hypothèses Nour 3Moissons'!$C$41</f>
        <v>47100</v>
      </c>
      <c r="D23" s="9">
        <f>(D6+D15)*'Hypothèses Nour 3Moissons'!$C$41</f>
        <v>107500</v>
      </c>
      <c r="E23" s="9">
        <f>(E6+E15)*'Hypothèses Nour 3Moissons'!$C$41</f>
        <v>134100</v>
      </c>
      <c r="F23" s="9">
        <f>(F6+F15)*'Hypothèses Nour 3Moissons'!$C$41</f>
        <v>134100</v>
      </c>
      <c r="G23" s="9">
        <f>(G6+G15)*'Hypothèses Nour 3Moissons'!$C$41</f>
        <v>134100</v>
      </c>
      <c r="H23" s="9">
        <f>(H6+H15)*'Hypothèses Nour 3Moissons'!$C$41</f>
        <v>134100</v>
      </c>
      <c r="I23" s="9">
        <f>(I6+I15)*'Hypothèses Nour 3Moissons'!$C$41</f>
        <v>134100</v>
      </c>
      <c r="J23" s="9">
        <f>(J6+J15)*'Hypothèses Nour 3Moissons'!$C$41</f>
        <v>134100</v>
      </c>
      <c r="K23" s="9">
        <f>(K6+K15)*'Hypothèses Nour 3Moissons'!$C$41</f>
        <v>134100</v>
      </c>
      <c r="L23" s="9">
        <f>(L6+L15)*'Hypothèses Nour 3Moissons'!$C$41</f>
        <v>134100</v>
      </c>
      <c r="M23" s="9">
        <f>(M6+M15)*'Hypothèses Nour 3Moissons'!$C$41</f>
        <v>134100</v>
      </c>
      <c r="N23" s="9">
        <f>(N6+N15)*'Hypothèses Nour 3Moissons'!$C$41</f>
        <v>134100</v>
      </c>
      <c r="O23" s="9">
        <f>(O6+O15)*'Hypothèses Nour 3Moissons'!$C$41</f>
        <v>134100</v>
      </c>
      <c r="P23" s="9">
        <f>(P6+P15)*'Hypothèses Nour 3Moissons'!$C$41</f>
        <v>134100</v>
      </c>
      <c r="Q23" s="9">
        <f>(Q6+Q15)*'Hypothèses Nour 3Moissons'!$C$41</f>
        <v>134100</v>
      </c>
      <c r="R23" s="9">
        <f>(R6+R15)*'Hypothèses Nour 3Moissons'!$C$41</f>
        <v>134100</v>
      </c>
      <c r="S23" s="9">
        <f>(S6+S15)*'Hypothèses Nour 3Moissons'!$C$41</f>
        <v>134100</v>
      </c>
      <c r="T23" s="9">
        <f>(T6+T15)*'Hypothèses Nour 3Moissons'!$C$41</f>
        <v>134100</v>
      </c>
      <c r="U23" s="9">
        <f>(U6+U15)*'Hypothèses Nour 3Moissons'!$C$41</f>
        <v>134100</v>
      </c>
      <c r="V23" s="9">
        <f>(V6+V15)*'Hypothèses Nour 3Moissons'!$C$41</f>
        <v>134100</v>
      </c>
      <c r="W23" s="9">
        <f>(W6+W15)*'Hypothèses Nour 3Moissons'!$C$41</f>
        <v>134100</v>
      </c>
    </row>
    <row r="24" spans="2:23" s="1" customFormat="1" ht="13.5" customHeight="1" x14ac:dyDescent="0.35">
      <c r="B24" s="1" t="s">
        <v>148</v>
      </c>
      <c r="C24" s="45">
        <f>SUM(C22:C23)</f>
        <v>778350</v>
      </c>
      <c r="D24" s="45">
        <f t="shared" ref="D24:W24" si="7">SUM(D22:D23)</f>
        <v>1241250</v>
      </c>
      <c r="E24" s="45">
        <f t="shared" si="7"/>
        <v>2192850</v>
      </c>
      <c r="F24" s="45">
        <f t="shared" si="7"/>
        <v>2192850</v>
      </c>
      <c r="G24" s="45">
        <f t="shared" si="7"/>
        <v>2192850</v>
      </c>
      <c r="H24" s="45">
        <f t="shared" si="7"/>
        <v>2192850</v>
      </c>
      <c r="I24" s="45">
        <f t="shared" si="7"/>
        <v>2192850</v>
      </c>
      <c r="J24" s="45">
        <f t="shared" si="7"/>
        <v>2192850</v>
      </c>
      <c r="K24" s="45">
        <f t="shared" si="7"/>
        <v>2192850</v>
      </c>
      <c r="L24" s="45">
        <f t="shared" si="7"/>
        <v>2192850</v>
      </c>
      <c r="M24" s="45">
        <f t="shared" si="7"/>
        <v>2192850</v>
      </c>
      <c r="N24" s="45">
        <f t="shared" si="7"/>
        <v>2192850</v>
      </c>
      <c r="O24" s="45">
        <f t="shared" si="7"/>
        <v>2192850</v>
      </c>
      <c r="P24" s="45">
        <f t="shared" si="7"/>
        <v>2192850</v>
      </c>
      <c r="Q24" s="45">
        <f t="shared" si="7"/>
        <v>2192850</v>
      </c>
      <c r="R24" s="45">
        <f t="shared" si="7"/>
        <v>2192850</v>
      </c>
      <c r="S24" s="45">
        <f t="shared" si="7"/>
        <v>2192850</v>
      </c>
      <c r="T24" s="45">
        <f t="shared" si="7"/>
        <v>2192850</v>
      </c>
      <c r="U24" s="45">
        <f t="shared" si="7"/>
        <v>2192850</v>
      </c>
      <c r="V24" s="45">
        <f t="shared" si="7"/>
        <v>2192850</v>
      </c>
      <c r="W24" s="45">
        <f t="shared" si="7"/>
        <v>2192850</v>
      </c>
    </row>
    <row r="25" spans="2:23" s="1" customFormat="1" ht="13.5" customHeight="1" x14ac:dyDescent="0.35"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</row>
    <row r="26" spans="2:23" ht="13.5" customHeight="1" x14ac:dyDescent="0.35">
      <c r="B26" s="87" t="s">
        <v>157</v>
      </c>
      <c r="C26" s="87"/>
      <c r="D26" s="88"/>
      <c r="E26" s="88"/>
      <c r="F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G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H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I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J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K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L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M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N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O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P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Q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R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S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T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U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V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  <c r="W26" s="88">
        <f>'Hypothèses Nour 3Moissons'!$C$3*'Hypothèses Nour 3Moissons'!$C$12*'Hypothèses Nour 3Moissons'!$C$13*'Hypothèses Nour 3Moissons'!$C$30 +'Hypothèses Nour Haraz'!$C$46*'Hypothèses Nour Haraz'!$C$47*'Hypothèses Nour Haraz'!$C$50</f>
        <v>318437.5</v>
      </c>
    </row>
    <row r="27" spans="2:23" s="1" customFormat="1" ht="13.5" customHeight="1" x14ac:dyDescent="0.35"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</row>
    <row r="28" spans="2:23" ht="13.5" customHeight="1" x14ac:dyDescent="0.35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2:23" x14ac:dyDescent="0.35">
      <c r="B29" t="s">
        <v>144</v>
      </c>
      <c r="C29" s="9"/>
      <c r="D29" s="9"/>
      <c r="E29" s="9"/>
      <c r="F29" s="9"/>
      <c r="G29" s="9"/>
      <c r="H29" s="9">
        <f>'Hypothèses Nour 3Moissons'!$C$42*('VAN Nour  Baghara'!H6+'VAN Nour  Baghara'!H15)</f>
        <v>13410</v>
      </c>
      <c r="I29" s="9">
        <f>'Hypothèses Nour 3Moissons'!$C$42*('VAN Nour  Baghara'!I6+'VAN Nour  Baghara'!I15)</f>
        <v>13410</v>
      </c>
      <c r="J29" s="9">
        <f>'Hypothèses Nour 3Moissons'!$C$42*('VAN Nour  Baghara'!J6+'VAN Nour  Baghara'!J15)</f>
        <v>13410</v>
      </c>
      <c r="K29" s="9">
        <f>'Hypothèses Nour 3Moissons'!$C$42*('VAN Nour  Baghara'!K6+'VAN Nour  Baghara'!K15)</f>
        <v>13410</v>
      </c>
      <c r="L29" s="9">
        <f>'Hypothèses Nour 3Moissons'!$C$42*('VAN Nour  Baghara'!L6+'VAN Nour  Baghara'!L15)</f>
        <v>13410</v>
      </c>
      <c r="M29" s="9">
        <f>'Hypothèses Nour 3Moissons'!$C$43*('VAN Nour  Baghara'!M6+'VAN Nour  Baghara'!M15)</f>
        <v>134100</v>
      </c>
      <c r="N29" s="9">
        <f>'Hypothèses Nour 3Moissons'!$C$43*('VAN Nour  Baghara'!N6+'VAN Nour  Baghara'!N15)</f>
        <v>134100</v>
      </c>
      <c r="O29" s="9">
        <f>'Hypothèses Nour 3Moissons'!$C$43*('VAN Nour  Baghara'!O6+'VAN Nour  Baghara'!O15)</f>
        <v>134100</v>
      </c>
      <c r="P29" s="9">
        <f>'Hypothèses Nour 3Moissons'!$C$43*('VAN Nour  Baghara'!P6+'VAN Nour  Baghara'!P15)</f>
        <v>134100</v>
      </c>
      <c r="Q29" s="9">
        <f>'Hypothèses Nour 3Moissons'!$C$43*('VAN Nour  Baghara'!Q6+'VAN Nour  Baghara'!Q15)</f>
        <v>134100</v>
      </c>
      <c r="R29" s="9">
        <f>'Hypothèses Nour 3Moissons'!$C$43*('VAN Nour  Baghara'!R6+'VAN Nour  Baghara'!R15)</f>
        <v>134100</v>
      </c>
      <c r="S29" s="9">
        <f>'Hypothèses Nour 3Moissons'!$C$43*('VAN Nour  Baghara'!S6+'VAN Nour  Baghara'!S15)</f>
        <v>134100</v>
      </c>
      <c r="T29" s="9">
        <f>'Hypothèses Nour 3Moissons'!$C$43*('VAN Nour  Baghara'!T6+'VAN Nour  Baghara'!T15)</f>
        <v>134100</v>
      </c>
      <c r="U29" s="9">
        <f>'Hypothèses Nour 3Moissons'!$C$43*('VAN Nour  Baghara'!U6+'VAN Nour  Baghara'!U15)</f>
        <v>134100</v>
      </c>
      <c r="V29" s="9">
        <f>'Hypothèses Nour 3Moissons'!$C$43*('VAN Nour  Baghara'!V6+'VAN Nour  Baghara'!V15)</f>
        <v>134100</v>
      </c>
      <c r="W29" s="9">
        <f>'Hypothèses Nour 3Moissons'!$C$44*('VAN Nour  Baghara'!W6+'VAN Nour  Baghara'!W15)</f>
        <v>670500</v>
      </c>
    </row>
    <row r="30" spans="2:23" x14ac:dyDescent="0.35">
      <c r="B30" s="1" t="s">
        <v>146</v>
      </c>
      <c r="C30" s="9">
        <f>C5+C14+C29</f>
        <v>4710000</v>
      </c>
      <c r="D30" s="9">
        <f t="shared" ref="D30:G30" si="8">D5+D14+D29</f>
        <v>6040000</v>
      </c>
      <c r="E30" s="9">
        <f t="shared" si="8"/>
        <v>2660000</v>
      </c>
      <c r="F30" s="9">
        <f t="shared" si="8"/>
        <v>0</v>
      </c>
      <c r="G30" s="9">
        <f t="shared" si="8"/>
        <v>0</v>
      </c>
      <c r="H30" s="9">
        <f t="shared" ref="H30" si="9">H5+H14+H29</f>
        <v>13410</v>
      </c>
      <c r="I30" s="9">
        <f t="shared" ref="I30" si="10">I5+I14+I29</f>
        <v>13410</v>
      </c>
      <c r="J30" s="9">
        <f t="shared" ref="J30" si="11">J5+J14+J29</f>
        <v>13410</v>
      </c>
      <c r="K30" s="9">
        <f t="shared" ref="K30" si="12">K5+K14+K29</f>
        <v>13410</v>
      </c>
      <c r="L30" s="9">
        <f t="shared" ref="L30" si="13">L5+L14+L29</f>
        <v>13410</v>
      </c>
      <c r="M30" s="9">
        <f t="shared" ref="M30" si="14">M5+M14+M29</f>
        <v>134100</v>
      </c>
      <c r="N30" s="9">
        <f t="shared" ref="N30" si="15">N5+N14+N29</f>
        <v>134100</v>
      </c>
      <c r="O30" s="9">
        <f t="shared" ref="O30" si="16">O5+O14+O29</f>
        <v>134100</v>
      </c>
      <c r="P30" s="9">
        <f t="shared" ref="P30" si="17">P5+P14+P29</f>
        <v>134100</v>
      </c>
      <c r="Q30" s="9">
        <f t="shared" ref="Q30" si="18">Q5+Q14+Q29</f>
        <v>134100</v>
      </c>
      <c r="R30" s="9">
        <f t="shared" ref="R30" si="19">R5+R14+R29</f>
        <v>134100</v>
      </c>
      <c r="S30" s="9">
        <f t="shared" ref="S30" si="20">S5+S14+S29</f>
        <v>134100</v>
      </c>
      <c r="T30" s="9">
        <f t="shared" ref="T30" si="21">T5+T14+T29</f>
        <v>134100</v>
      </c>
      <c r="U30" s="9">
        <f t="shared" ref="U30" si="22">U5+U14+U29</f>
        <v>134100</v>
      </c>
      <c r="V30" s="9">
        <f t="shared" ref="V30" si="23">V5+V14+V29</f>
        <v>134100</v>
      </c>
      <c r="W30" s="9">
        <f t="shared" ref="W30" si="24">W5+W14+W29</f>
        <v>670500</v>
      </c>
    </row>
    <row r="31" spans="2:23" x14ac:dyDescent="0.35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2:23" x14ac:dyDescent="0.35">
      <c r="B32" s="89" t="s">
        <v>137</v>
      </c>
      <c r="C32" s="90">
        <v>2.5000000000000001E-2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2:23" x14ac:dyDescent="0.35">
      <c r="B33" s="1" t="s">
        <v>159</v>
      </c>
      <c r="C33" s="9">
        <f>C24*$C$32</f>
        <v>19458.75</v>
      </c>
      <c r="D33" s="9">
        <f t="shared" ref="D33:W33" si="25">D24*$C$32</f>
        <v>31031.25</v>
      </c>
      <c r="E33" s="9">
        <f t="shared" si="25"/>
        <v>54821.25</v>
      </c>
      <c r="F33" s="9">
        <f t="shared" si="25"/>
        <v>54821.25</v>
      </c>
      <c r="G33" s="9">
        <f t="shared" si="25"/>
        <v>54821.25</v>
      </c>
      <c r="H33" s="9">
        <f t="shared" si="25"/>
        <v>54821.25</v>
      </c>
      <c r="I33" s="9">
        <f t="shared" si="25"/>
        <v>54821.25</v>
      </c>
      <c r="J33" s="9">
        <f t="shared" si="25"/>
        <v>54821.25</v>
      </c>
      <c r="K33" s="9">
        <f t="shared" si="25"/>
        <v>54821.25</v>
      </c>
      <c r="L33" s="9">
        <f t="shared" si="25"/>
        <v>54821.25</v>
      </c>
      <c r="M33" s="9">
        <f t="shared" si="25"/>
        <v>54821.25</v>
      </c>
      <c r="N33" s="9">
        <f t="shared" si="25"/>
        <v>54821.25</v>
      </c>
      <c r="O33" s="9">
        <f t="shared" si="25"/>
        <v>54821.25</v>
      </c>
      <c r="P33" s="9">
        <f t="shared" si="25"/>
        <v>54821.25</v>
      </c>
      <c r="Q33" s="9">
        <f t="shared" si="25"/>
        <v>54821.25</v>
      </c>
      <c r="R33" s="9">
        <f t="shared" si="25"/>
        <v>54821.25</v>
      </c>
      <c r="S33" s="9">
        <f t="shared" si="25"/>
        <v>54821.25</v>
      </c>
      <c r="T33" s="9">
        <f t="shared" si="25"/>
        <v>54821.25</v>
      </c>
      <c r="U33" s="9">
        <f t="shared" si="25"/>
        <v>54821.25</v>
      </c>
      <c r="V33" s="9">
        <f t="shared" si="25"/>
        <v>54821.25</v>
      </c>
      <c r="W33" s="9">
        <f t="shared" si="25"/>
        <v>54821.25</v>
      </c>
    </row>
    <row r="34" spans="2:23" x14ac:dyDescent="0.35">
      <c r="B34" s="1" t="s">
        <v>158</v>
      </c>
      <c r="C34" s="9">
        <f>C24-C30-C7-C33</f>
        <v>-3951108.75</v>
      </c>
      <c r="D34" s="9">
        <f t="shared" ref="D34:E34" si="26">D24-D30-D7-D33</f>
        <v>-4829781.25</v>
      </c>
      <c r="E34" s="9">
        <f t="shared" si="26"/>
        <v>-771971.25</v>
      </c>
      <c r="F34" s="9">
        <f>F24-F30-F7-F33</f>
        <v>2018028.75</v>
      </c>
      <c r="G34" s="9">
        <f t="shared" ref="G34" si="27">G24-G30-G7-G33</f>
        <v>2078028.75</v>
      </c>
      <c r="H34" s="9">
        <f>H24-H30-H7-H33</f>
        <v>2124618.75</v>
      </c>
      <c r="I34" s="9">
        <f t="shared" ref="I34" si="28">I24-I30-I7-I33</f>
        <v>2124618.75</v>
      </c>
      <c r="J34" s="9">
        <f t="shared" ref="J34" si="29">J24-J30-J7-J33</f>
        <v>2124618.75</v>
      </c>
      <c r="K34" s="9">
        <f>K24-K30-K7-K33</f>
        <v>2124618.75</v>
      </c>
      <c r="L34" s="9">
        <f t="shared" ref="L34:M34" si="30">L24-L30-L7-L33</f>
        <v>2124618.75</v>
      </c>
      <c r="M34" s="9">
        <f t="shared" si="30"/>
        <v>2003928.75</v>
      </c>
      <c r="N34" s="9">
        <f t="shared" ref="N34" si="31">N24-N30-N7-N33</f>
        <v>2003928.75</v>
      </c>
      <c r="O34" s="9">
        <f t="shared" ref="O34:P34" si="32">O24-O30-O7-O33</f>
        <v>2003928.75</v>
      </c>
      <c r="P34" s="9">
        <f t="shared" si="32"/>
        <v>2003928.75</v>
      </c>
      <c r="Q34" s="9">
        <f t="shared" ref="Q34:R34" si="33">Q24-Q30-Q7-Q33</f>
        <v>2003928.75</v>
      </c>
      <c r="R34" s="9">
        <f t="shared" si="33"/>
        <v>2003928.75</v>
      </c>
      <c r="S34" s="9">
        <f t="shared" ref="S34" si="34">S24-S30-S7-S33</f>
        <v>2003928.75</v>
      </c>
      <c r="T34" s="9">
        <f t="shared" ref="T34:U34" si="35">T24-T30-T7-T33</f>
        <v>2003928.75</v>
      </c>
      <c r="U34" s="9">
        <f t="shared" si="35"/>
        <v>2003928.75</v>
      </c>
      <c r="V34" s="9">
        <f t="shared" ref="V34:W34" si="36">V24-V30-V7-V33</f>
        <v>2003928.75</v>
      </c>
      <c r="W34" s="9">
        <f t="shared" si="36"/>
        <v>1467528.75</v>
      </c>
    </row>
    <row r="35" spans="2:23" x14ac:dyDescent="0.35">
      <c r="B35" s="89" t="s">
        <v>161</v>
      </c>
      <c r="C35" s="90">
        <v>0.06</v>
      </c>
      <c r="D35" s="63">
        <f>1/(1+C35)</f>
        <v>0.94339622641509424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2:23" x14ac:dyDescent="0.35">
      <c r="B36" t="s">
        <v>160</v>
      </c>
      <c r="C36" s="63">
        <v>1</v>
      </c>
      <c r="D36" s="63">
        <f>C36*$D$35</f>
        <v>0.94339622641509424</v>
      </c>
      <c r="E36" s="63">
        <f>D36*$D$35</f>
        <v>0.88999644001423972</v>
      </c>
      <c r="F36" s="63">
        <f t="shared" ref="F36:W36" si="37">E36*$D$35</f>
        <v>0.83961928303230149</v>
      </c>
      <c r="G36" s="63">
        <f t="shared" si="37"/>
        <v>0.79209366323802022</v>
      </c>
      <c r="H36" s="63">
        <f t="shared" si="37"/>
        <v>0.74725817286605678</v>
      </c>
      <c r="I36" s="63">
        <f t="shared" si="37"/>
        <v>0.70496054043967615</v>
      </c>
      <c r="J36" s="63">
        <f t="shared" si="37"/>
        <v>0.66505711362233588</v>
      </c>
      <c r="K36" s="63">
        <f t="shared" si="37"/>
        <v>0.62741237134182626</v>
      </c>
      <c r="L36" s="63">
        <f t="shared" si="37"/>
        <v>0.59189846353002473</v>
      </c>
      <c r="M36" s="63">
        <f t="shared" si="37"/>
        <v>0.55839477691511763</v>
      </c>
      <c r="N36" s="63">
        <f t="shared" si="37"/>
        <v>0.52678752539162033</v>
      </c>
      <c r="O36" s="63">
        <f t="shared" si="37"/>
        <v>0.49696936357700028</v>
      </c>
      <c r="P36" s="63">
        <f t="shared" si="37"/>
        <v>0.46883902224245305</v>
      </c>
      <c r="Q36" s="63">
        <f t="shared" si="37"/>
        <v>0.44230096437967265</v>
      </c>
      <c r="R36" s="63">
        <f t="shared" si="37"/>
        <v>0.41726506073554021</v>
      </c>
      <c r="S36" s="63">
        <f t="shared" si="37"/>
        <v>0.39364628371277371</v>
      </c>
      <c r="T36" s="63">
        <f t="shared" si="37"/>
        <v>0.37136441859695629</v>
      </c>
      <c r="U36" s="63">
        <f t="shared" si="37"/>
        <v>0.350343791129204</v>
      </c>
      <c r="V36" s="63">
        <f t="shared" si="37"/>
        <v>0.33051301049924903</v>
      </c>
      <c r="W36" s="63">
        <f t="shared" si="37"/>
        <v>0.31180472688608396</v>
      </c>
    </row>
    <row r="37" spans="2:23" x14ac:dyDescent="0.35">
      <c r="B37" s="1" t="s">
        <v>162</v>
      </c>
      <c r="C37" s="9">
        <f>C34*C36</f>
        <v>-3951108.75</v>
      </c>
      <c r="D37" s="9">
        <f t="shared" ref="D37:W37" si="38">D34*D36</f>
        <v>-4556397.4056603769</v>
      </c>
      <c r="E37" s="9">
        <f t="shared" si="38"/>
        <v>-687051.66429334262</v>
      </c>
      <c r="F37" s="9">
        <f t="shared" si="38"/>
        <v>1694375.8522135715</v>
      </c>
      <c r="G37" s="9">
        <f t="shared" si="38"/>
        <v>1645993.4049014242</v>
      </c>
      <c r="H37" s="9">
        <f t="shared" si="38"/>
        <v>1587638.7251619655</v>
      </c>
      <c r="I37" s="9">
        <f t="shared" si="38"/>
        <v>1497772.3822282692</v>
      </c>
      <c r="J37" s="9">
        <f t="shared" si="38"/>
        <v>1412992.8134228953</v>
      </c>
      <c r="K37" s="9">
        <f t="shared" si="38"/>
        <v>1333012.0881348068</v>
      </c>
      <c r="L37" s="9">
        <f t="shared" si="38"/>
        <v>1257558.5737120816</v>
      </c>
      <c r="M37" s="9">
        <f t="shared" si="38"/>
        <v>1118983.3473100406</v>
      </c>
      <c r="N37" s="9">
        <f t="shared" si="38"/>
        <v>1055644.6672736229</v>
      </c>
      <c r="O37" s="9">
        <f t="shared" si="38"/>
        <v>995891.19554115366</v>
      </c>
      <c r="P37" s="9">
        <f t="shared" si="38"/>
        <v>939519.99579354119</v>
      </c>
      <c r="Q37" s="9">
        <f t="shared" si="38"/>
        <v>886339.61867315194</v>
      </c>
      <c r="R37" s="9">
        <f t="shared" si="38"/>
        <v>836169.45157844515</v>
      </c>
      <c r="S37" s="9">
        <f t="shared" si="38"/>
        <v>788839.10526268394</v>
      </c>
      <c r="T37" s="9">
        <f t="shared" si="38"/>
        <v>744187.8351534754</v>
      </c>
      <c r="U37" s="9">
        <f t="shared" si="38"/>
        <v>702063.99542780686</v>
      </c>
      <c r="V37" s="9">
        <f t="shared" si="38"/>
        <v>662324.52398849698</v>
      </c>
      <c r="W37" s="9">
        <f t="shared" si="38"/>
        <v>457582.4010912262</v>
      </c>
    </row>
    <row r="38" spans="2:23" ht="5" customHeight="1" x14ac:dyDescent="0.35"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2:23" x14ac:dyDescent="0.35"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2:23" x14ac:dyDescent="0.35">
      <c r="B40" s="1" t="s">
        <v>166</v>
      </c>
      <c r="C40" s="90">
        <v>1.1000000000000001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2:23" x14ac:dyDescent="0.35">
      <c r="B41" t="s">
        <v>171</v>
      </c>
      <c r="C41" s="9">
        <f>C24-$C$40*C30-C7-C33</f>
        <v>-4422108.75</v>
      </c>
      <c r="D41" s="9">
        <f t="shared" ref="D41:W41" si="39">D24-$C$40*D30-D7-D33</f>
        <v>-5433781.2500000009</v>
      </c>
      <c r="E41" s="9">
        <f t="shared" si="39"/>
        <v>-1037971.2500000005</v>
      </c>
      <c r="F41" s="9">
        <f t="shared" si="39"/>
        <v>2018028.75</v>
      </c>
      <c r="G41" s="9">
        <f t="shared" si="39"/>
        <v>2078028.75</v>
      </c>
      <c r="H41" s="9">
        <f t="shared" si="39"/>
        <v>2123277.75</v>
      </c>
      <c r="I41" s="9">
        <f t="shared" si="39"/>
        <v>2123277.75</v>
      </c>
      <c r="J41" s="9">
        <f t="shared" si="39"/>
        <v>2123277.75</v>
      </c>
      <c r="K41" s="9">
        <f t="shared" si="39"/>
        <v>2123277.75</v>
      </c>
      <c r="L41" s="9">
        <f t="shared" si="39"/>
        <v>2123277.75</v>
      </c>
      <c r="M41" s="9">
        <f t="shared" si="39"/>
        <v>1990518.75</v>
      </c>
      <c r="N41" s="9">
        <f t="shared" si="39"/>
        <v>1990518.75</v>
      </c>
      <c r="O41" s="9">
        <f t="shared" si="39"/>
        <v>1990518.75</v>
      </c>
      <c r="P41" s="9">
        <f t="shared" si="39"/>
        <v>1990518.75</v>
      </c>
      <c r="Q41" s="9">
        <f t="shared" si="39"/>
        <v>1990518.75</v>
      </c>
      <c r="R41" s="9">
        <f t="shared" si="39"/>
        <v>1990518.75</v>
      </c>
      <c r="S41" s="9">
        <f t="shared" si="39"/>
        <v>1990518.75</v>
      </c>
      <c r="T41" s="9">
        <f t="shared" si="39"/>
        <v>1990518.75</v>
      </c>
      <c r="U41" s="9">
        <f t="shared" si="39"/>
        <v>1990518.75</v>
      </c>
      <c r="V41" s="9">
        <f t="shared" si="39"/>
        <v>1990518.75</v>
      </c>
      <c r="W41" s="9">
        <f t="shared" si="39"/>
        <v>1400478.75</v>
      </c>
    </row>
    <row r="42" spans="2:23" x14ac:dyDescent="0.35">
      <c r="B42" t="s">
        <v>172</v>
      </c>
      <c r="C42" s="9">
        <f>C41*C36</f>
        <v>-4422108.75</v>
      </c>
      <c r="D42" s="9">
        <f>D41*D36</f>
        <v>-5126208.7264150949</v>
      </c>
      <c r="E42" s="9">
        <f>E41*E36</f>
        <v>-923790.7173371308</v>
      </c>
      <c r="F42" s="9">
        <f>F41*F36</f>
        <v>1694375.8522135715</v>
      </c>
      <c r="G42" s="9">
        <f t="shared" ref="G42:W42" si="40">G41*G36</f>
        <v>1645993.4049014242</v>
      </c>
      <c r="H42" s="9">
        <f t="shared" si="40"/>
        <v>1586636.6519521521</v>
      </c>
      <c r="I42" s="9">
        <f t="shared" si="40"/>
        <v>1496827.0301435397</v>
      </c>
      <c r="J42" s="9">
        <f t="shared" si="40"/>
        <v>1412100.9718335278</v>
      </c>
      <c r="K42" s="9">
        <f t="shared" si="40"/>
        <v>1332170.7281448373</v>
      </c>
      <c r="L42" s="9">
        <f t="shared" si="40"/>
        <v>1256764.837872488</v>
      </c>
      <c r="M42" s="9">
        <f t="shared" si="40"/>
        <v>1111495.2733516088</v>
      </c>
      <c r="N42" s="9">
        <f t="shared" si="40"/>
        <v>1048580.4465581214</v>
      </c>
      <c r="O42" s="9">
        <f t="shared" si="40"/>
        <v>989226.83637558611</v>
      </c>
      <c r="P42" s="9">
        <f t="shared" si="40"/>
        <v>933232.8645052698</v>
      </c>
      <c r="Q42" s="9">
        <f t="shared" si="40"/>
        <v>880408.36274082051</v>
      </c>
      <c r="R42" s="9">
        <f t="shared" si="40"/>
        <v>830573.92711398157</v>
      </c>
      <c r="S42" s="9">
        <f t="shared" si="40"/>
        <v>783560.30859809567</v>
      </c>
      <c r="T42" s="9">
        <f t="shared" si="40"/>
        <v>739207.83830009017</v>
      </c>
      <c r="U42" s="9">
        <f t="shared" si="40"/>
        <v>697365.88518876419</v>
      </c>
      <c r="V42" s="9">
        <f t="shared" si="40"/>
        <v>657892.344517702</v>
      </c>
      <c r="W42" s="9">
        <f t="shared" si="40"/>
        <v>436675.89415351424</v>
      </c>
    </row>
    <row r="43" spans="2:23" x14ac:dyDescent="0.35">
      <c r="B43" s="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5" spans="2:23" x14ac:dyDescent="0.35">
      <c r="B45" s="1" t="s">
        <v>167</v>
      </c>
      <c r="C45" s="90">
        <f>1-10%</f>
        <v>0.9</v>
      </c>
    </row>
    <row r="46" spans="2:23" x14ac:dyDescent="0.35">
      <c r="B46" t="s">
        <v>173</v>
      </c>
      <c r="C46" s="9">
        <f>$C$45*C24-C30-C7-C45*C33</f>
        <v>-4026997.875</v>
      </c>
      <c r="D46" s="9">
        <f t="shared" ref="D46:W46" si="41">$C$45*D24-D30-D7-D45*D33</f>
        <v>-4922875</v>
      </c>
      <c r="E46" s="9">
        <f t="shared" si="41"/>
        <v>-936435</v>
      </c>
      <c r="F46" s="9">
        <f t="shared" si="41"/>
        <v>1853565</v>
      </c>
      <c r="G46" s="9">
        <f t="shared" si="41"/>
        <v>1913565</v>
      </c>
      <c r="H46" s="9">
        <f t="shared" si="41"/>
        <v>1960155</v>
      </c>
      <c r="I46" s="9">
        <f t="shared" si="41"/>
        <v>1960155</v>
      </c>
      <c r="J46" s="9">
        <f t="shared" si="41"/>
        <v>1960155</v>
      </c>
      <c r="K46" s="9">
        <f t="shared" si="41"/>
        <v>1960155</v>
      </c>
      <c r="L46" s="9">
        <f t="shared" si="41"/>
        <v>1960155</v>
      </c>
      <c r="M46" s="9">
        <f t="shared" si="41"/>
        <v>1839465</v>
      </c>
      <c r="N46" s="9">
        <f t="shared" si="41"/>
        <v>1839465</v>
      </c>
      <c r="O46" s="9">
        <f t="shared" si="41"/>
        <v>1839465</v>
      </c>
      <c r="P46" s="9">
        <f t="shared" si="41"/>
        <v>1839465</v>
      </c>
      <c r="Q46" s="9">
        <f t="shared" si="41"/>
        <v>1839465</v>
      </c>
      <c r="R46" s="9">
        <f t="shared" si="41"/>
        <v>1839465</v>
      </c>
      <c r="S46" s="9">
        <f t="shared" si="41"/>
        <v>1839465</v>
      </c>
      <c r="T46" s="9">
        <f t="shared" si="41"/>
        <v>1839465</v>
      </c>
      <c r="U46" s="9">
        <f t="shared" si="41"/>
        <v>1839465</v>
      </c>
      <c r="V46" s="9">
        <f t="shared" si="41"/>
        <v>1839465</v>
      </c>
      <c r="W46" s="9">
        <f t="shared" si="41"/>
        <v>1303065</v>
      </c>
    </row>
    <row r="47" spans="2:23" x14ac:dyDescent="0.35">
      <c r="B47" t="s">
        <v>174</v>
      </c>
      <c r="C47" s="9">
        <f>C46*C36</f>
        <v>-4026997.875</v>
      </c>
      <c r="D47" s="9">
        <f>D46*D36</f>
        <v>-4644221.6981132068</v>
      </c>
      <c r="E47" s="9">
        <f>E46*E36</f>
        <v>-833423.81630473456</v>
      </c>
      <c r="F47" s="9">
        <f>F46*F36</f>
        <v>1556288.916353768</v>
      </c>
      <c r="G47" s="9">
        <f t="shared" ref="G47:W47" si="42">G46*G36</f>
        <v>1515722.7106940621</v>
      </c>
      <c r="H47" s="9">
        <f t="shared" si="42"/>
        <v>1464741.8438342656</v>
      </c>
      <c r="I47" s="9">
        <f t="shared" si="42"/>
        <v>1381831.9281455334</v>
      </c>
      <c r="J47" s="9">
        <f t="shared" si="42"/>
        <v>1303615.0265523898</v>
      </c>
      <c r="K47" s="9">
        <f t="shared" si="42"/>
        <v>1229825.4967475375</v>
      </c>
      <c r="L47" s="9">
        <f t="shared" si="42"/>
        <v>1160212.7327806957</v>
      </c>
      <c r="M47" s="9">
        <f t="shared" si="42"/>
        <v>1027147.6483181668</v>
      </c>
      <c r="N47" s="9">
        <f t="shared" si="42"/>
        <v>969007.21539449692</v>
      </c>
      <c r="O47" s="9">
        <f t="shared" si="42"/>
        <v>914157.75037216686</v>
      </c>
      <c r="P47" s="9">
        <f t="shared" si="42"/>
        <v>862412.97204921395</v>
      </c>
      <c r="Q47" s="9">
        <f t="shared" si="42"/>
        <v>813597.14344265452</v>
      </c>
      <c r="R47" s="9">
        <f t="shared" si="42"/>
        <v>767544.4749459005</v>
      </c>
      <c r="S47" s="9">
        <f t="shared" si="42"/>
        <v>724098.56126971729</v>
      </c>
      <c r="T47" s="9">
        <f t="shared" si="42"/>
        <v>683111.85025445023</v>
      </c>
      <c r="U47" s="9">
        <f t="shared" si="42"/>
        <v>644445.1417494812</v>
      </c>
      <c r="V47" s="9">
        <f t="shared" si="42"/>
        <v>607967.11485800112</v>
      </c>
      <c r="W47" s="9">
        <f t="shared" si="42"/>
        <v>406301.82643981499</v>
      </c>
    </row>
    <row r="49" spans="1:23" x14ac:dyDescent="0.35">
      <c r="B49" s="1" t="s">
        <v>180</v>
      </c>
      <c r="C49" s="90">
        <v>5</v>
      </c>
    </row>
    <row r="50" spans="1:23" x14ac:dyDescent="0.35">
      <c r="A50" s="7"/>
      <c r="B50" t="s">
        <v>175</v>
      </c>
      <c r="C50" s="9">
        <f>C24-C30-C7-$C$49*C33</f>
        <v>-4028943.75</v>
      </c>
      <c r="D50" s="9">
        <f>D24-D30-D7-$C$49*D33</f>
        <v>-4953906.25</v>
      </c>
      <c r="E50" s="9">
        <f t="shared" ref="E50:W50" si="43">E24-E30-E7-$C$49*E33</f>
        <v>-991256.25</v>
      </c>
      <c r="F50" s="9">
        <f t="shared" si="43"/>
        <v>1798743.75</v>
      </c>
      <c r="G50" s="9">
        <f t="shared" si="43"/>
        <v>1858743.75</v>
      </c>
      <c r="H50" s="9">
        <f t="shared" si="43"/>
        <v>1905333.75</v>
      </c>
      <c r="I50" s="9">
        <f t="shared" si="43"/>
        <v>1905333.75</v>
      </c>
      <c r="J50" s="9">
        <f t="shared" si="43"/>
        <v>1905333.75</v>
      </c>
      <c r="K50" s="9">
        <f t="shared" si="43"/>
        <v>1905333.75</v>
      </c>
      <c r="L50" s="9">
        <f t="shared" si="43"/>
        <v>1905333.75</v>
      </c>
      <c r="M50" s="9">
        <f t="shared" si="43"/>
        <v>1784643.75</v>
      </c>
      <c r="N50" s="9">
        <f t="shared" si="43"/>
        <v>1784643.75</v>
      </c>
      <c r="O50" s="9">
        <f t="shared" si="43"/>
        <v>1784643.75</v>
      </c>
      <c r="P50" s="9">
        <f t="shared" si="43"/>
        <v>1784643.75</v>
      </c>
      <c r="Q50" s="9">
        <f t="shared" si="43"/>
        <v>1784643.75</v>
      </c>
      <c r="R50" s="9">
        <f t="shared" si="43"/>
        <v>1784643.75</v>
      </c>
      <c r="S50" s="9">
        <f t="shared" si="43"/>
        <v>1784643.75</v>
      </c>
      <c r="T50" s="9">
        <f t="shared" si="43"/>
        <v>1784643.75</v>
      </c>
      <c r="U50" s="9">
        <f t="shared" si="43"/>
        <v>1784643.75</v>
      </c>
      <c r="V50" s="9">
        <f t="shared" si="43"/>
        <v>1784643.75</v>
      </c>
      <c r="W50" s="9">
        <f t="shared" si="43"/>
        <v>1248243.75</v>
      </c>
    </row>
    <row r="51" spans="1:23" x14ac:dyDescent="0.35">
      <c r="B51" t="s">
        <v>176</v>
      </c>
      <c r="C51" s="9">
        <f>C50*C36</f>
        <v>-4028943.75</v>
      </c>
      <c r="D51" s="9">
        <f t="shared" ref="D51:W51" si="44">D50*D36</f>
        <v>-4673496.4622641504</v>
      </c>
      <c r="E51" s="9">
        <f t="shared" si="44"/>
        <v>-882214.53364186524</v>
      </c>
      <c r="F51" s="9">
        <f t="shared" si="44"/>
        <v>1510259.9377338334</v>
      </c>
      <c r="G51" s="9">
        <f t="shared" si="44"/>
        <v>1472299.1459582748</v>
      </c>
      <c r="H51" s="9">
        <f t="shared" si="44"/>
        <v>1423776.2167250323</v>
      </c>
      <c r="I51" s="9">
        <f t="shared" si="44"/>
        <v>1343185.1101179549</v>
      </c>
      <c r="J51" s="9">
        <f t="shared" si="44"/>
        <v>1267155.7642622213</v>
      </c>
      <c r="K51" s="9">
        <f t="shared" si="44"/>
        <v>1195429.9662851144</v>
      </c>
      <c r="L51" s="9">
        <f t="shared" si="44"/>
        <v>1127764.1191369002</v>
      </c>
      <c r="M51" s="9">
        <f t="shared" si="44"/>
        <v>996535.74865420896</v>
      </c>
      <c r="N51" s="9">
        <f t="shared" si="44"/>
        <v>940128.06476812146</v>
      </c>
      <c r="O51" s="9">
        <f t="shared" si="44"/>
        <v>886913.26864917122</v>
      </c>
      <c r="P51" s="9">
        <f t="shared" si="44"/>
        <v>836710.63080110482</v>
      </c>
      <c r="Q51" s="9">
        <f t="shared" si="44"/>
        <v>789349.65169915545</v>
      </c>
      <c r="R51" s="9">
        <f t="shared" si="44"/>
        <v>744669.48273505224</v>
      </c>
      <c r="S51" s="9">
        <f t="shared" si="44"/>
        <v>702518.37993872841</v>
      </c>
      <c r="T51" s="9">
        <f t="shared" si="44"/>
        <v>662753.18862144183</v>
      </c>
      <c r="U51" s="9">
        <f t="shared" si="44"/>
        <v>625238.85719003936</v>
      </c>
      <c r="V51" s="9">
        <f t="shared" si="44"/>
        <v>589847.97848116921</v>
      </c>
      <c r="W51" s="9">
        <f t="shared" si="44"/>
        <v>389208.30155601125</v>
      </c>
    </row>
    <row r="53" spans="1:23" ht="15.5" x14ac:dyDescent="0.35">
      <c r="B53" s="92" t="s">
        <v>178</v>
      </c>
      <c r="C53" s="92" t="s">
        <v>168</v>
      </c>
      <c r="D53" s="92" t="s">
        <v>170</v>
      </c>
      <c r="E53" s="92" t="s">
        <v>169</v>
      </c>
      <c r="F53" s="92" t="s">
        <v>177</v>
      </c>
    </row>
    <row r="54" spans="1:23" ht="15.5" x14ac:dyDescent="0.35">
      <c r="B54" s="75" t="s">
        <v>164</v>
      </c>
      <c r="C54" s="82">
        <f>SUM(C37:W37)</f>
        <v>10422332.156914938</v>
      </c>
      <c r="D54" s="82">
        <f>SUM(C42:V42)</f>
        <v>8624305.3705593552</v>
      </c>
      <c r="E54" s="82">
        <f>SUM(C47:W47)</f>
        <v>8527386.9647843745</v>
      </c>
      <c r="F54" s="82">
        <f>SUM(C51:W51)</f>
        <v>7919089.0674075196</v>
      </c>
    </row>
    <row r="55" spans="1:23" ht="15.5" x14ac:dyDescent="0.35">
      <c r="B55" s="75" t="s">
        <v>163</v>
      </c>
      <c r="C55" s="91">
        <f>IRR(C37:W37)</f>
        <v>9.8096061270567914E-2</v>
      </c>
      <c r="D55" s="91">
        <f>IRR(C42:W42)</f>
        <v>7.8550759407112203E-2</v>
      </c>
      <c r="E55" s="91">
        <f>IRR(C47:W47)</f>
        <v>8.0909650130061683E-2</v>
      </c>
      <c r="F55" s="91">
        <f>IRR(C51:W51)</f>
        <v>7.5529631583650225E-2</v>
      </c>
    </row>
    <row r="57" spans="1:23" ht="15.5" x14ac:dyDescent="0.35">
      <c r="B57" s="92" t="s">
        <v>181</v>
      </c>
    </row>
    <row r="58" spans="1:23" x14ac:dyDescent="0.35">
      <c r="B58" t="s">
        <v>182</v>
      </c>
    </row>
    <row r="59" spans="1:23" x14ac:dyDescent="0.35">
      <c r="B59" t="s">
        <v>183</v>
      </c>
    </row>
    <row r="60" spans="1:23" x14ac:dyDescent="0.35">
      <c r="B60" t="s">
        <v>164</v>
      </c>
    </row>
    <row r="61" spans="1:23" x14ac:dyDescent="0.35">
      <c r="B6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Hypothèses Nour 3Moissons</vt:lpstr>
      <vt:lpstr>Hypothèses Nour Haraz</vt:lpstr>
      <vt:lpstr>VAN Nour  Baghara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Chapus</dc:creator>
  <cp:lastModifiedBy>Christian Chapus</cp:lastModifiedBy>
  <dcterms:created xsi:type="dcterms:W3CDTF">2025-07-07T18:09:01Z</dcterms:created>
  <dcterms:modified xsi:type="dcterms:W3CDTF">2025-08-03T21:22:23Z</dcterms:modified>
</cp:coreProperties>
</file>