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ilisateur\Documents\00 aaa TRAVAIL #\00 ECTI Eau_Energie\BAGHARA Tchad Artine\Phase 2\0 Dossier Redaction\Dossier en finalisation\"/>
    </mc:Choice>
  </mc:AlternateContent>
  <xr:revisionPtr revIDLastSave="0" documentId="13_ncr:1_{66F13660-2E8D-400D-B3A3-93C95BC43E0F}" xr6:coauthVersionLast="47" xr6:coauthVersionMax="47" xr10:uidLastSave="{00000000-0000-0000-0000-000000000000}"/>
  <bookViews>
    <workbookView xWindow="-110" yWindow="-110" windowWidth="19420" windowHeight="10420" xr2:uid="{CDE7E786-F237-480D-AFFA-1C2B0A50271A}"/>
  </bookViews>
  <sheets>
    <sheet name="VAN des CAP" sheetId="7" r:id="rId1"/>
    <sheet name="1 CAP" sheetId="6" r:id="rId2"/>
    <sheet name="50 CAP" sheetId="5" r:id="rId3"/>
    <sheet name="PL" sheetId="1" r:id="rId4"/>
    <sheet name="Tréso" sheetId="4" r:id="rId5"/>
    <sheet name="Invest" sheetId="3" r:id="rId6"/>
    <sheet name="Emprunts" sheetId="2" r:id="rId7"/>
  </sheets>
  <externalReferences>
    <externalReference r:id="rId8"/>
    <externalReference r:id="rId9"/>
    <externalReference r:id="rId10"/>
  </externalReferences>
  <definedNames>
    <definedName name="clé_répartition">[1]BO!$E$44:$E$47</definedName>
    <definedName name="création_reprise">[1]BO!$E$12:$E$13</definedName>
    <definedName name="_xlnm.Print_Titles" localSheetId="2">'50 CAP'!$1:$1</definedName>
    <definedName name="nom_projet">[1]param!$B$49:$B$54</definedName>
    <definedName name="type_amort_prêt">[1]BO!$B$4:$B$6</definedName>
    <definedName name="type_prêt">[1]BO!$C$4:$C$5</definedName>
    <definedName name="_xlnm.Print_Area" localSheetId="2">'50 CAP'!$A:$J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2" i="7" l="1"/>
  <c r="C51" i="7"/>
  <c r="M15" i="7"/>
  <c r="N15" i="7" s="1"/>
  <c r="O15" i="7" s="1"/>
  <c r="L15" i="7"/>
  <c r="D6" i="7"/>
  <c r="G15" i="7"/>
  <c r="H15" i="7" s="1"/>
  <c r="I15" i="7" s="1"/>
  <c r="J15" i="7" s="1"/>
  <c r="K15" i="7" s="1"/>
  <c r="N14" i="7"/>
  <c r="O14" i="7"/>
  <c r="N42" i="7"/>
  <c r="O42" i="7"/>
  <c r="N43" i="7"/>
  <c r="O43" i="7"/>
  <c r="N44" i="7"/>
  <c r="O44" i="7"/>
  <c r="N45" i="7"/>
  <c r="O45" i="7"/>
  <c r="N46" i="7"/>
  <c r="O46" i="7"/>
  <c r="E45" i="7"/>
  <c r="F45" i="7"/>
  <c r="D45" i="7"/>
  <c r="D22" i="7"/>
  <c r="D33" i="7" s="1"/>
  <c r="E21" i="7"/>
  <c r="F21" i="7"/>
  <c r="G21" i="7"/>
  <c r="H21" i="7"/>
  <c r="I21" i="7"/>
  <c r="J21" i="7"/>
  <c r="K21" i="7"/>
  <c r="L21" i="7"/>
  <c r="M21" i="7"/>
  <c r="E44" i="7"/>
  <c r="F44" i="7"/>
  <c r="K45" i="7"/>
  <c r="L45" i="7"/>
  <c r="M45" i="7"/>
  <c r="G45" i="7"/>
  <c r="H45" i="7"/>
  <c r="I45" i="7"/>
  <c r="J45" i="7"/>
  <c r="J44" i="7"/>
  <c r="J46" i="7" s="1"/>
  <c r="E43" i="7"/>
  <c r="F43" i="7"/>
  <c r="G43" i="7"/>
  <c r="H43" i="7"/>
  <c r="I43" i="7"/>
  <c r="J43" i="7"/>
  <c r="M43" i="7" s="1"/>
  <c r="D43" i="7"/>
  <c r="M42" i="7"/>
  <c r="E42" i="7"/>
  <c r="F42" i="7"/>
  <c r="G42" i="7"/>
  <c r="G44" i="7" s="1"/>
  <c r="G46" i="7" s="1"/>
  <c r="H42" i="7"/>
  <c r="I42" i="7"/>
  <c r="J42" i="7"/>
  <c r="L42" i="7" s="1"/>
  <c r="D42" i="7"/>
  <c r="E33" i="7"/>
  <c r="F33" i="7"/>
  <c r="G33" i="7"/>
  <c r="H33" i="7"/>
  <c r="I33" i="7"/>
  <c r="J33" i="7"/>
  <c r="K33" i="7"/>
  <c r="L33" i="7"/>
  <c r="M33" i="7"/>
  <c r="L14" i="7"/>
  <c r="M14" i="7"/>
  <c r="E19" i="7"/>
  <c r="E30" i="7" s="1"/>
  <c r="F19" i="7"/>
  <c r="G19" i="7"/>
  <c r="G32" i="7" s="1"/>
  <c r="H19" i="7"/>
  <c r="H32" i="7" s="1"/>
  <c r="I19" i="7"/>
  <c r="I32" i="7" s="1"/>
  <c r="J19" i="7"/>
  <c r="J32" i="7" s="1"/>
  <c r="D19" i="7"/>
  <c r="D21" i="7" s="1"/>
  <c r="D32" i="7" s="1"/>
  <c r="E20" i="7"/>
  <c r="E31" i="7" s="1"/>
  <c r="F20" i="7"/>
  <c r="F31" i="7" s="1"/>
  <c r="G20" i="7"/>
  <c r="G31" i="7" s="1"/>
  <c r="H20" i="7"/>
  <c r="H31" i="7" s="1"/>
  <c r="I20" i="7"/>
  <c r="I31" i="7" s="1"/>
  <c r="J20" i="7"/>
  <c r="L20" i="7" s="1"/>
  <c r="L31" i="7" s="1"/>
  <c r="D20" i="7"/>
  <c r="D31" i="7" s="1"/>
  <c r="E15" i="7"/>
  <c r="E12" i="6"/>
  <c r="F12" i="6"/>
  <c r="F32" i="6" s="1"/>
  <c r="D13" i="6"/>
  <c r="C23" i="6"/>
  <c r="C80" i="6" s="1"/>
  <c r="D32" i="6"/>
  <c r="E32" i="6"/>
  <c r="C60" i="6"/>
  <c r="C61" i="6"/>
  <c r="F61" i="6"/>
  <c r="D63" i="6"/>
  <c r="D74" i="6"/>
  <c r="E74" i="6"/>
  <c r="E63" i="6" s="1"/>
  <c r="F74" i="6"/>
  <c r="F63" i="6" s="1"/>
  <c r="B79" i="6"/>
  <c r="C79" i="6"/>
  <c r="B80" i="6"/>
  <c r="B81" i="6"/>
  <c r="B82" i="6"/>
  <c r="C82" i="6"/>
  <c r="B83" i="6"/>
  <c r="C83" i="6"/>
  <c r="B84" i="6"/>
  <c r="C84" i="6"/>
  <c r="B85" i="6"/>
  <c r="C85" i="6"/>
  <c r="B86" i="6"/>
  <c r="C86" i="6"/>
  <c r="D93" i="6"/>
  <c r="E93" i="6"/>
  <c r="F93" i="6"/>
  <c r="D107" i="6"/>
  <c r="E107" i="6"/>
  <c r="F107" i="6"/>
  <c r="D143" i="6"/>
  <c r="E143" i="6"/>
  <c r="F46" i="7" l="1"/>
  <c r="E46" i="7"/>
  <c r="F32" i="7"/>
  <c r="E47" i="7"/>
  <c r="F15" i="7"/>
  <c r="H30" i="7"/>
  <c r="K42" i="7"/>
  <c r="K44" i="7" s="1"/>
  <c r="K46" i="7" s="1"/>
  <c r="G30" i="7"/>
  <c r="L44" i="7"/>
  <c r="L46" i="7" s="1"/>
  <c r="L43" i="7"/>
  <c r="K19" i="7"/>
  <c r="D30" i="7"/>
  <c r="J30" i="7"/>
  <c r="F30" i="7"/>
  <c r="K43" i="7"/>
  <c r="M44" i="7"/>
  <c r="M46" i="7" s="1"/>
  <c r="I44" i="7"/>
  <c r="I46" i="7" s="1"/>
  <c r="D44" i="7"/>
  <c r="D46" i="7" s="1"/>
  <c r="D47" i="7" s="1"/>
  <c r="E32" i="7"/>
  <c r="I30" i="7"/>
  <c r="J31" i="7"/>
  <c r="H44" i="7"/>
  <c r="H46" i="7" s="1"/>
  <c r="D23" i="7"/>
  <c r="D24" i="7" s="1"/>
  <c r="G23" i="7"/>
  <c r="M19" i="7"/>
  <c r="J23" i="7"/>
  <c r="F23" i="7"/>
  <c r="I23" i="7"/>
  <c r="I34" i="7" s="1"/>
  <c r="H23" i="7"/>
  <c r="H34" i="7" s="1"/>
  <c r="L19" i="7"/>
  <c r="K20" i="7"/>
  <c r="M20" i="7"/>
  <c r="C78" i="6"/>
  <c r="G12" i="6"/>
  <c r="F143" i="6"/>
  <c r="C86" i="5"/>
  <c r="C84" i="5"/>
  <c r="C85" i="5"/>
  <c r="C83" i="5"/>
  <c r="C82" i="5"/>
  <c r="C80" i="5"/>
  <c r="C79" i="5"/>
  <c r="D60" i="1"/>
  <c r="D58" i="1"/>
  <c r="B84" i="1"/>
  <c r="B111" i="1" s="1"/>
  <c r="B85" i="1"/>
  <c r="B112" i="1" s="1"/>
  <c r="B86" i="1"/>
  <c r="B113" i="1" s="1"/>
  <c r="B87" i="1"/>
  <c r="B114" i="1" s="1"/>
  <c r="B88" i="1"/>
  <c r="B115" i="1" s="1"/>
  <c r="B89" i="1"/>
  <c r="B116" i="1" s="1"/>
  <c r="B90" i="1"/>
  <c r="B117" i="1" s="1"/>
  <c r="B91" i="1"/>
  <c r="B118" i="1" s="1"/>
  <c r="B92" i="1"/>
  <c r="B119" i="1" s="1"/>
  <c r="B93" i="1"/>
  <c r="B120" i="1" s="1"/>
  <c r="B94" i="1"/>
  <c r="B121" i="1" s="1"/>
  <c r="B95" i="1"/>
  <c r="B122" i="1" s="1"/>
  <c r="B96" i="1"/>
  <c r="B123" i="1" s="1"/>
  <c r="B97" i="1"/>
  <c r="B124" i="1" s="1"/>
  <c r="B98" i="1"/>
  <c r="B125" i="1" s="1"/>
  <c r="B99" i="1"/>
  <c r="B126" i="1" s="1"/>
  <c r="B100" i="1"/>
  <c r="B127" i="1" s="1"/>
  <c r="B101" i="1"/>
  <c r="B128" i="1" s="1"/>
  <c r="B102" i="1"/>
  <c r="B129" i="1" s="1"/>
  <c r="E86" i="1"/>
  <c r="F113" i="1" s="1"/>
  <c r="E87" i="1"/>
  <c r="F114" i="1" s="1"/>
  <c r="E88" i="1"/>
  <c r="F115" i="1" s="1"/>
  <c r="E89" i="1"/>
  <c r="F116" i="1" s="1"/>
  <c r="E90" i="1"/>
  <c r="F117" i="1" s="1"/>
  <c r="E92" i="1"/>
  <c r="F119" i="1" s="1"/>
  <c r="E93" i="1"/>
  <c r="F120" i="1" s="1"/>
  <c r="E94" i="1"/>
  <c r="F121" i="1" s="1"/>
  <c r="E95" i="1"/>
  <c r="F122" i="1" s="1"/>
  <c r="E98" i="1"/>
  <c r="F125" i="1" s="1"/>
  <c r="E101" i="1"/>
  <c r="F128" i="1" s="1"/>
  <c r="E84" i="1"/>
  <c r="F111" i="1" s="1"/>
  <c r="E85" i="1"/>
  <c r="F112" i="1" s="1"/>
  <c r="E83" i="1"/>
  <c r="F24" i="7" l="1"/>
  <c r="F47" i="7"/>
  <c r="G24" i="7"/>
  <c r="J34" i="7"/>
  <c r="G34" i="7"/>
  <c r="K31" i="7"/>
  <c r="D35" i="7"/>
  <c r="D34" i="7"/>
  <c r="M31" i="7"/>
  <c r="F34" i="7"/>
  <c r="F35" i="7"/>
  <c r="K32" i="7"/>
  <c r="K30" i="7"/>
  <c r="L30" i="7"/>
  <c r="E23" i="7"/>
  <c r="E24" i="7" s="1"/>
  <c r="M32" i="7"/>
  <c r="M30" i="7"/>
  <c r="G74" i="6"/>
  <c r="G63" i="6" s="1"/>
  <c r="G32" i="6"/>
  <c r="G93" i="6"/>
  <c r="G107" i="6"/>
  <c r="H12" i="6"/>
  <c r="G143" i="6"/>
  <c r="I56" i="1"/>
  <c r="G47" i="7" l="1"/>
  <c r="K23" i="7"/>
  <c r="L23" i="7"/>
  <c r="L32" i="7"/>
  <c r="E34" i="7"/>
  <c r="E35" i="7"/>
  <c r="M23" i="7"/>
  <c r="G35" i="7"/>
  <c r="I12" i="6"/>
  <c r="H93" i="6"/>
  <c r="H74" i="6"/>
  <c r="H63" i="6" s="1"/>
  <c r="H32" i="6"/>
  <c r="H107" i="6"/>
  <c r="H143" i="6"/>
  <c r="J56" i="1"/>
  <c r="J58" i="1" s="1"/>
  <c r="J83" i="1"/>
  <c r="H47" i="7" l="1"/>
  <c r="H24" i="7"/>
  <c r="M34" i="7"/>
  <c r="L34" i="7"/>
  <c r="K34" i="7"/>
  <c r="H35" i="7"/>
  <c r="I107" i="6"/>
  <c r="J12" i="6"/>
  <c r="I93" i="6"/>
  <c r="I32" i="6"/>
  <c r="I74" i="6"/>
  <c r="I63" i="6" s="1"/>
  <c r="I59" i="1"/>
  <c r="I47" i="7" l="1"/>
  <c r="I24" i="7"/>
  <c r="I35" i="7" s="1"/>
  <c r="J86" i="1"/>
  <c r="I60" i="1"/>
  <c r="I61" i="1" s="1"/>
  <c r="J32" i="6"/>
  <c r="J107" i="6"/>
  <c r="J93" i="6"/>
  <c r="J74" i="6"/>
  <c r="J63" i="6" s="1"/>
  <c r="J87" i="1"/>
  <c r="J47" i="7" l="1"/>
  <c r="J24" i="7"/>
  <c r="J35" i="7" s="1"/>
  <c r="I67" i="1"/>
  <c r="J94" i="1" s="1"/>
  <c r="J88" i="1"/>
  <c r="K47" i="7" l="1"/>
  <c r="K24" i="7"/>
  <c r="K35" i="7" s="1"/>
  <c r="E56" i="1"/>
  <c r="H56" i="1"/>
  <c r="G56" i="1"/>
  <c r="F56" i="1"/>
  <c r="L47" i="7" l="1"/>
  <c r="L24" i="7"/>
  <c r="L35" i="7" s="1"/>
  <c r="G83" i="1"/>
  <c r="H83" i="1"/>
  <c r="I83" i="1"/>
  <c r="F83" i="1"/>
  <c r="C56" i="1"/>
  <c r="O47" i="7" l="1"/>
  <c r="N47" i="7"/>
  <c r="M47" i="7"/>
  <c r="M24" i="7"/>
  <c r="M35" i="7" s="1"/>
  <c r="C36" i="7" s="1"/>
  <c r="C37" i="7" s="1"/>
  <c r="F59" i="1"/>
  <c r="E67" i="1"/>
  <c r="C48" i="7" l="1"/>
  <c r="C49" i="7"/>
  <c r="C25" i="7"/>
  <c r="C26" i="7" s="1"/>
  <c r="G86" i="1"/>
  <c r="H113" i="1" s="1"/>
  <c r="F60" i="1"/>
  <c r="F61" i="1" s="1"/>
  <c r="F94" i="1"/>
  <c r="G121" i="1" s="1"/>
  <c r="G59" i="1"/>
  <c r="E59" i="1"/>
  <c r="E60" i="1" s="1"/>
  <c r="E61" i="1" s="1"/>
  <c r="G87" i="1"/>
  <c r="H114" i="1" s="1"/>
  <c r="H59" i="1"/>
  <c r="H67" i="1"/>
  <c r="I94" i="1" s="1"/>
  <c r="J121" i="1" s="1"/>
  <c r="G67" i="1"/>
  <c r="H94" i="1" s="1"/>
  <c r="I121" i="1" s="1"/>
  <c r="F67" i="1"/>
  <c r="G94" i="1" s="1"/>
  <c r="H121" i="1" s="1"/>
  <c r="H86" i="1" l="1"/>
  <c r="I113" i="1" s="1"/>
  <c r="G60" i="1"/>
  <c r="G61" i="1" s="1"/>
  <c r="I86" i="1"/>
  <c r="J113" i="1" s="1"/>
  <c r="H60" i="1"/>
  <c r="F86" i="1"/>
  <c r="G113" i="1" s="1"/>
  <c r="C67" i="1"/>
  <c r="G88" i="1"/>
  <c r="H115" i="1" s="1"/>
  <c r="H87" i="1"/>
  <c r="I114" i="1" s="1"/>
  <c r="H61" i="1" l="1"/>
  <c r="J61" i="1" s="1"/>
  <c r="I87" i="1"/>
  <c r="J114" i="1" s="1"/>
  <c r="F87" i="1"/>
  <c r="G114" i="1" s="1"/>
  <c r="I88" i="1"/>
  <c r="J115" i="1" s="1"/>
  <c r="H88" i="1"/>
  <c r="I115" i="1" s="1"/>
  <c r="F88" i="1"/>
  <c r="G115" i="1" s="1"/>
  <c r="B84" i="5" l="1"/>
  <c r="B85" i="5"/>
  <c r="B86" i="5"/>
  <c r="B83" i="5"/>
  <c r="B80" i="5"/>
  <c r="B81" i="5"/>
  <c r="B82" i="5"/>
  <c r="B79" i="5"/>
  <c r="F61" i="5" l="1"/>
  <c r="C136" i="1" l="1"/>
  <c r="G154" i="1" l="1"/>
  <c r="F154" i="1"/>
  <c r="H154" i="1"/>
  <c r="D154" i="1"/>
  <c r="E154" i="1"/>
  <c r="I154" i="1"/>
  <c r="J154" i="1"/>
  <c r="C60" i="5"/>
  <c r="C137" i="1" s="1"/>
  <c r="C61" i="5" l="1"/>
  <c r="C138" i="1"/>
  <c r="H155" i="1" s="1"/>
  <c r="I155" i="1" l="1"/>
  <c r="F155" i="1"/>
  <c r="G155" i="1"/>
  <c r="J155" i="1"/>
  <c r="E155" i="1"/>
  <c r="E190" i="2"/>
  <c r="D30" i="4"/>
  <c r="B40" i="4"/>
  <c r="B35" i="4"/>
  <c r="B30" i="4"/>
  <c r="B20" i="4"/>
  <c r="D83" i="3"/>
  <c r="K190" i="2"/>
  <c r="J190" i="2"/>
  <c r="K185" i="2"/>
  <c r="J185" i="2"/>
  <c r="I6" i="1" l="1"/>
  <c r="J6" i="1" s="1"/>
  <c r="D143" i="5"/>
  <c r="D107" i="5"/>
  <c r="D93" i="5"/>
  <c r="D74" i="5"/>
  <c r="D63" i="5" s="1"/>
  <c r="C14" i="1"/>
  <c r="C12" i="1"/>
  <c r="C10" i="1"/>
  <c r="C23" i="5"/>
  <c r="D81" i="3" l="1"/>
  <c r="D71" i="3"/>
  <c r="B94" i="3"/>
  <c r="B102" i="3" s="1"/>
  <c r="B93" i="3"/>
  <c r="B101" i="3" s="1"/>
  <c r="B92" i="3"/>
  <c r="B100" i="3" s="1"/>
  <c r="B91" i="3"/>
  <c r="B99" i="3" s="1"/>
  <c r="E89" i="3"/>
  <c r="F97" i="3" s="1"/>
  <c r="D32" i="5" l="1"/>
  <c r="D13" i="5"/>
  <c r="E12" i="5"/>
  <c r="D3" i="1"/>
  <c r="C11" i="4"/>
  <c r="C13" i="4"/>
  <c r="C9" i="4"/>
  <c r="C13" i="3"/>
  <c r="C11" i="3"/>
  <c r="C9" i="3"/>
  <c r="E35" i="4"/>
  <c r="F40" i="4" s="1"/>
  <c r="E32" i="5" l="1"/>
  <c r="E107" i="5"/>
  <c r="E93" i="5"/>
  <c r="E143" i="5"/>
  <c r="E74" i="5"/>
  <c r="E63" i="5" s="1"/>
  <c r="F12" i="5"/>
  <c r="E7" i="4"/>
  <c r="F7" i="4" s="1"/>
  <c r="G7" i="4" s="1"/>
  <c r="H7" i="4" s="1"/>
  <c r="F143" i="5" l="1"/>
  <c r="F93" i="5"/>
  <c r="F74" i="5"/>
  <c r="F63" i="5" s="1"/>
  <c r="F107" i="5"/>
  <c r="G12" i="5"/>
  <c r="F32" i="5"/>
  <c r="C15" i="4"/>
  <c r="C15" i="3"/>
  <c r="F13" i="3"/>
  <c r="G13" i="3" s="1"/>
  <c r="H13" i="3" s="1"/>
  <c r="I13" i="3" s="1"/>
  <c r="J13" i="3" s="1"/>
  <c r="E11" i="3"/>
  <c r="F11" i="3" s="1"/>
  <c r="G11" i="3" s="1"/>
  <c r="H11" i="3" s="1"/>
  <c r="I11" i="3" s="1"/>
  <c r="J11" i="3" s="1"/>
  <c r="D9" i="3"/>
  <c r="D13" i="2"/>
  <c r="D11" i="2"/>
  <c r="D9" i="2"/>
  <c r="C16" i="1"/>
  <c r="F14" i="1"/>
  <c r="E12" i="1"/>
  <c r="D10" i="1"/>
  <c r="D45" i="1" l="1"/>
  <c r="D39" i="1"/>
  <c r="D42" i="1"/>
  <c r="D37" i="1"/>
  <c r="D30" i="1"/>
  <c r="D36" i="1"/>
  <c r="D28" i="1"/>
  <c r="D38" i="1"/>
  <c r="D34" i="1"/>
  <c r="D27" i="1"/>
  <c r="G93" i="5"/>
  <c r="G143" i="5"/>
  <c r="G74" i="5"/>
  <c r="G63" i="5" s="1"/>
  <c r="G107" i="5"/>
  <c r="H12" i="5"/>
  <c r="G32" i="5"/>
  <c r="D72" i="3"/>
  <c r="D15" i="3"/>
  <c r="G14" i="1"/>
  <c r="H13" i="2" s="1"/>
  <c r="F13" i="4"/>
  <c r="F12" i="1"/>
  <c r="G11" i="2" s="1"/>
  <c r="E11" i="4"/>
  <c r="E10" i="1"/>
  <c r="D9" i="4"/>
  <c r="E9" i="3"/>
  <c r="F9" i="3" s="1"/>
  <c r="D15" i="2"/>
  <c r="G13" i="2"/>
  <c r="F11" i="2"/>
  <c r="E9" i="2"/>
  <c r="E4" i="3"/>
  <c r="B48" i="3"/>
  <c r="B59" i="3" s="1"/>
  <c r="B49" i="3"/>
  <c r="B60" i="3" s="1"/>
  <c r="B50" i="3"/>
  <c r="B61" i="3" s="1"/>
  <c r="B51" i="3"/>
  <c r="B62" i="3" s="1"/>
  <c r="B52" i="3"/>
  <c r="B63" i="3" s="1"/>
  <c r="B53" i="3"/>
  <c r="B64" i="3" s="1"/>
  <c r="B47" i="3"/>
  <c r="B58" i="3" s="1"/>
  <c r="D34" i="3"/>
  <c r="E45" i="3" s="1"/>
  <c r="F56" i="3" s="1"/>
  <c r="E38" i="1" l="1"/>
  <c r="E30" i="1"/>
  <c r="E27" i="1"/>
  <c r="F9" i="2"/>
  <c r="H93" i="5"/>
  <c r="H74" i="5"/>
  <c r="H63" i="5" s="1"/>
  <c r="H107" i="5"/>
  <c r="H143" i="5"/>
  <c r="D73" i="3"/>
  <c r="D95" i="5" s="1"/>
  <c r="D94" i="5"/>
  <c r="I12" i="5"/>
  <c r="H32" i="5"/>
  <c r="F4" i="3"/>
  <c r="E71" i="3"/>
  <c r="E81" i="3"/>
  <c r="F89" i="3" s="1"/>
  <c r="G97" i="3" s="1"/>
  <c r="E91" i="3"/>
  <c r="D84" i="3"/>
  <c r="E15" i="3"/>
  <c r="D15" i="4"/>
  <c r="D20" i="4"/>
  <c r="H14" i="1"/>
  <c r="G13" i="4"/>
  <c r="G12" i="1"/>
  <c r="F11" i="4"/>
  <c r="F10" i="1"/>
  <c r="E9" i="4"/>
  <c r="E15" i="4" s="1"/>
  <c r="F15" i="3"/>
  <c r="G9" i="3"/>
  <c r="D19" i="3"/>
  <c r="F30" i="1" l="1"/>
  <c r="F38" i="1"/>
  <c r="I107" i="5"/>
  <c r="I74" i="5"/>
  <c r="I63" i="5" s="1"/>
  <c r="I93" i="5"/>
  <c r="J12" i="5"/>
  <c r="I32" i="5"/>
  <c r="G4" i="3"/>
  <c r="F81" i="3"/>
  <c r="G89" i="3" s="1"/>
  <c r="H97" i="3" s="1"/>
  <c r="F71" i="3"/>
  <c r="E92" i="3"/>
  <c r="F100" i="3" s="1"/>
  <c r="E84" i="3"/>
  <c r="F92" i="3" s="1"/>
  <c r="G100" i="3" s="1"/>
  <c r="F99" i="3"/>
  <c r="I14" i="1"/>
  <c r="H13" i="4"/>
  <c r="I13" i="2"/>
  <c r="H12" i="1"/>
  <c r="G11" i="4"/>
  <c r="H11" i="2"/>
  <c r="G10" i="1"/>
  <c r="F9" i="4"/>
  <c r="F15" i="4" s="1"/>
  <c r="G9" i="2"/>
  <c r="H9" i="3"/>
  <c r="G15" i="3"/>
  <c r="G38" i="1" l="1"/>
  <c r="G30" i="1"/>
  <c r="J32" i="5"/>
  <c r="J107" i="5"/>
  <c r="J93" i="5"/>
  <c r="J74" i="5"/>
  <c r="J63" i="5" s="1"/>
  <c r="H4" i="3"/>
  <c r="G71" i="3"/>
  <c r="G81" i="3"/>
  <c r="H89" i="3" s="1"/>
  <c r="I97" i="3" s="1"/>
  <c r="F91" i="3"/>
  <c r="E72" i="3"/>
  <c r="J14" i="1"/>
  <c r="K13" i="2" s="1"/>
  <c r="J13" i="2"/>
  <c r="I12" i="1"/>
  <c r="H11" i="4"/>
  <c r="I11" i="2"/>
  <c r="H10" i="1"/>
  <c r="G9" i="4"/>
  <c r="G15" i="4" s="1"/>
  <c r="H9" i="2"/>
  <c r="H15" i="3"/>
  <c r="I9" i="3"/>
  <c r="H30" i="1" l="1"/>
  <c r="H38" i="1"/>
  <c r="E73" i="3"/>
  <c r="E95" i="5" s="1"/>
  <c r="E94" i="5"/>
  <c r="I4" i="3"/>
  <c r="H81" i="3"/>
  <c r="I89" i="3" s="1"/>
  <c r="J97" i="3" s="1"/>
  <c r="H71" i="3"/>
  <c r="G99" i="3"/>
  <c r="J12" i="1"/>
  <c r="K11" i="2" s="1"/>
  <c r="J11" i="2"/>
  <c r="I10" i="1"/>
  <c r="H9" i="4"/>
  <c r="H15" i="4" s="1"/>
  <c r="I9" i="2"/>
  <c r="I15" i="3"/>
  <c r="J9" i="3"/>
  <c r="I30" i="1" l="1"/>
  <c r="I38" i="1"/>
  <c r="J4" i="3"/>
  <c r="I81" i="3"/>
  <c r="J89" i="3" s="1"/>
  <c r="I71" i="3"/>
  <c r="F84" i="3"/>
  <c r="G91" i="3"/>
  <c r="F72" i="3"/>
  <c r="J15" i="3"/>
  <c r="J10" i="1"/>
  <c r="J9" i="2"/>
  <c r="J38" i="1" l="1"/>
  <c r="K9" i="2"/>
  <c r="F73" i="3"/>
  <c r="F95" i="5" s="1"/>
  <c r="F94" i="5"/>
  <c r="J81" i="3"/>
  <c r="J71" i="3"/>
  <c r="H99" i="3"/>
  <c r="G92" i="3"/>
  <c r="H100" i="3" s="1"/>
  <c r="G84" i="3"/>
  <c r="E25" i="2"/>
  <c r="K213" i="2"/>
  <c r="G209" i="2"/>
  <c r="H226" i="2" s="1"/>
  <c r="K208" i="2"/>
  <c r="J208" i="2"/>
  <c r="K225" i="2" s="1"/>
  <c r="I208" i="2"/>
  <c r="J225" i="2" s="1"/>
  <c r="H208" i="2"/>
  <c r="I225" i="2" s="1"/>
  <c r="G208" i="2"/>
  <c r="H225" i="2" s="1"/>
  <c r="F208" i="2"/>
  <c r="G225" i="2" s="1"/>
  <c r="K207" i="2"/>
  <c r="J207" i="2"/>
  <c r="K224" i="2" s="1"/>
  <c r="I207" i="2"/>
  <c r="J224" i="2" s="1"/>
  <c r="H207" i="2"/>
  <c r="I224" i="2" s="1"/>
  <c r="G207" i="2"/>
  <c r="H224" i="2" s="1"/>
  <c r="F207" i="2"/>
  <c r="G224" i="2" s="1"/>
  <c r="K209" i="2"/>
  <c r="K204" i="2"/>
  <c r="G204" i="2"/>
  <c r="H221" i="2" s="1"/>
  <c r="F209" i="2"/>
  <c r="G226" i="2" s="1"/>
  <c r="E183" i="2"/>
  <c r="F202" i="2" s="1"/>
  <c r="G219" i="2" s="1"/>
  <c r="H92" i="3" l="1"/>
  <c r="I100" i="3" s="1"/>
  <c r="H91" i="3"/>
  <c r="G72" i="3"/>
  <c r="G73" i="3" l="1"/>
  <c r="G95" i="5" s="1"/>
  <c r="G94" i="5"/>
  <c r="I99" i="3"/>
  <c r="I91" i="3" l="1"/>
  <c r="H72" i="3"/>
  <c r="H84" i="3"/>
  <c r="K15" i="2"/>
  <c r="J15" i="2"/>
  <c r="I15" i="2"/>
  <c r="H15" i="2"/>
  <c r="G15" i="2"/>
  <c r="F15" i="2"/>
  <c r="E15" i="2"/>
  <c r="F7" i="2"/>
  <c r="H73" i="3" l="1"/>
  <c r="H95" i="5" s="1"/>
  <c r="H94" i="5"/>
  <c r="J99" i="3"/>
  <c r="I92" i="3"/>
  <c r="J100" i="3" s="1"/>
  <c r="I84" i="3"/>
  <c r="F25" i="2"/>
  <c r="F183" i="2"/>
  <c r="G202" i="2" s="1"/>
  <c r="H219" i="2" s="1"/>
  <c r="G7" i="2"/>
  <c r="B76" i="1"/>
  <c r="B103" i="1" s="1"/>
  <c r="B130" i="1" s="1"/>
  <c r="E16" i="1"/>
  <c r="F16" i="1"/>
  <c r="G16" i="1"/>
  <c r="H16" i="1"/>
  <c r="I16" i="1"/>
  <c r="J16" i="1"/>
  <c r="D16" i="1"/>
  <c r="D24" i="1"/>
  <c r="E24" i="1" s="1"/>
  <c r="F24" i="1" s="1"/>
  <c r="G24" i="1" s="1"/>
  <c r="H24" i="1" s="1"/>
  <c r="I24" i="1" s="1"/>
  <c r="J24" i="1" s="1"/>
  <c r="D5" i="1"/>
  <c r="J84" i="3" l="1"/>
  <c r="J92" i="3"/>
  <c r="J91" i="3"/>
  <c r="I72" i="3"/>
  <c r="D5" i="4"/>
  <c r="G25" i="2"/>
  <c r="G183" i="2"/>
  <c r="H202" i="2" s="1"/>
  <c r="I219" i="2" s="1"/>
  <c r="E5" i="2"/>
  <c r="H7" i="2"/>
  <c r="D53" i="1"/>
  <c r="C54" i="1" s="1"/>
  <c r="D54" i="1"/>
  <c r="E4" i="1"/>
  <c r="D152" i="1" l="1"/>
  <c r="E158" i="1" s="1"/>
  <c r="F164" i="1" s="1"/>
  <c r="D142" i="1"/>
  <c r="I73" i="3"/>
  <c r="I95" i="5" s="1"/>
  <c r="I94" i="5"/>
  <c r="C83" i="3"/>
  <c r="C84" i="3" s="1"/>
  <c r="J72" i="3"/>
  <c r="E54" i="1"/>
  <c r="E34" i="3"/>
  <c r="F45" i="3" s="1"/>
  <c r="G56" i="3" s="1"/>
  <c r="H183" i="2"/>
  <c r="I202" i="2" s="1"/>
  <c r="J219" i="2" s="1"/>
  <c r="H25" i="2"/>
  <c r="I7" i="2"/>
  <c r="E81" i="1"/>
  <c r="F108" i="1" s="1"/>
  <c r="D25" i="1"/>
  <c r="C81" i="1"/>
  <c r="C108" i="1" s="1"/>
  <c r="F4" i="1"/>
  <c r="F34" i="3" s="1"/>
  <c r="G45" i="3" s="1"/>
  <c r="H56" i="3" s="1"/>
  <c r="E25" i="1" l="1"/>
  <c r="E152" i="1"/>
  <c r="F158" i="1" s="1"/>
  <c r="G164" i="1" s="1"/>
  <c r="E142" i="1"/>
  <c r="C72" i="3"/>
  <c r="C73" i="3" s="1"/>
  <c r="J94" i="5"/>
  <c r="J73" i="3"/>
  <c r="J95" i="5" s="1"/>
  <c r="F81" i="1"/>
  <c r="G108" i="1" s="1"/>
  <c r="F19" i="3"/>
  <c r="E19" i="3"/>
  <c r="I183" i="2"/>
  <c r="J202" i="2" s="1"/>
  <c r="K219" i="2" s="1"/>
  <c r="I25" i="2"/>
  <c r="J7" i="2"/>
  <c r="G4" i="1"/>
  <c r="G34" i="3" s="1"/>
  <c r="F54" i="1"/>
  <c r="F142" i="1" l="1"/>
  <c r="F152" i="1"/>
  <c r="G158" i="1" s="1"/>
  <c r="H164" i="1" s="1"/>
  <c r="G19" i="3"/>
  <c r="H45" i="3"/>
  <c r="I56" i="3" s="1"/>
  <c r="J25" i="2"/>
  <c r="J183" i="2"/>
  <c r="K202" i="2" s="1"/>
  <c r="K7" i="2"/>
  <c r="G81" i="1"/>
  <c r="H108" i="1" s="1"/>
  <c r="F25" i="1"/>
  <c r="H4" i="1"/>
  <c r="H34" i="3" s="1"/>
  <c r="G54" i="1"/>
  <c r="G152" i="1" l="1"/>
  <c r="H158" i="1" s="1"/>
  <c r="I164" i="1" s="1"/>
  <c r="G142" i="1"/>
  <c r="H19" i="3"/>
  <c r="I45" i="3"/>
  <c r="J56" i="3" s="1"/>
  <c r="K25" i="2"/>
  <c r="K183" i="2"/>
  <c r="H81" i="1"/>
  <c r="I108" i="1" s="1"/>
  <c r="G25" i="1"/>
  <c r="I4" i="1"/>
  <c r="I34" i="3" s="1"/>
  <c r="H54" i="1"/>
  <c r="H142" i="1" l="1"/>
  <c r="H152" i="1"/>
  <c r="I158" i="1" s="1"/>
  <c r="J164" i="1" s="1"/>
  <c r="I19" i="3"/>
  <c r="J45" i="3"/>
  <c r="I81" i="1"/>
  <c r="J108" i="1" s="1"/>
  <c r="H25" i="1"/>
  <c r="J4" i="1"/>
  <c r="J34" i="3" s="1"/>
  <c r="J19" i="3" s="1"/>
  <c r="I54" i="1"/>
  <c r="I152" i="1" l="1"/>
  <c r="J158" i="1" s="1"/>
  <c r="I142" i="1"/>
  <c r="J81" i="1"/>
  <c r="I25" i="1"/>
  <c r="J54" i="1"/>
  <c r="J25" i="1" l="1"/>
  <c r="J152" i="1"/>
  <c r="J142" i="1"/>
  <c r="E53" i="1"/>
  <c r="B83" i="1"/>
  <c r="B110" i="1" s="1"/>
  <c r="F53" i="1" l="1"/>
  <c r="E5" i="1"/>
  <c r="E13" i="5" l="1"/>
  <c r="E5" i="4"/>
  <c r="F5" i="2"/>
  <c r="G53" i="1"/>
  <c r="F5" i="1"/>
  <c r="F13" i="5" s="1"/>
  <c r="G5" i="2" l="1"/>
  <c r="F5" i="4"/>
  <c r="H53" i="1"/>
  <c r="G5" i="1"/>
  <c r="G13" i="5" s="1"/>
  <c r="H5" i="2" l="1"/>
  <c r="G5" i="4"/>
  <c r="I53" i="1"/>
  <c r="H5" i="1"/>
  <c r="H13" i="5" s="1"/>
  <c r="I5" i="2" l="1"/>
  <c r="H5" i="4"/>
  <c r="J53" i="1"/>
  <c r="I5" i="1"/>
  <c r="J5" i="2" l="1"/>
  <c r="I13" i="5"/>
  <c r="J5" i="1"/>
  <c r="K5" i="2" l="1"/>
  <c r="J13" i="5"/>
  <c r="G213" i="2" l="1"/>
  <c r="H230" i="2" s="1"/>
  <c r="H213" i="2" l="1"/>
  <c r="I230" i="2" s="1"/>
  <c r="I213" i="2" l="1"/>
  <c r="J230" i="2" s="1"/>
  <c r="J213" i="2" l="1"/>
  <c r="K230" i="2" s="1"/>
  <c r="E74" i="1" l="1"/>
  <c r="F213" i="2"/>
  <c r="G230" i="2" s="1"/>
  <c r="E45" i="1" l="1"/>
  <c r="F101" i="1"/>
  <c r="G128" i="1" s="1"/>
  <c r="E63" i="1"/>
  <c r="E62" i="1"/>
  <c r="E65" i="1"/>
  <c r="C94" i="5"/>
  <c r="C97" i="5" s="1"/>
  <c r="F90" i="1" l="1"/>
  <c r="G117" i="1" s="1"/>
  <c r="E34" i="1"/>
  <c r="E36" i="1"/>
  <c r="F89" i="1"/>
  <c r="G116" i="1" s="1"/>
  <c r="F92" i="1"/>
  <c r="G119" i="1" s="1"/>
  <c r="J110" i="1"/>
  <c r="J27" i="1" s="1"/>
  <c r="J33" i="5" l="1"/>
  <c r="J34" i="5" s="1"/>
  <c r="F62" i="1" l="1"/>
  <c r="F65" i="1"/>
  <c r="F63" i="1"/>
  <c r="G90" i="1" l="1"/>
  <c r="H117" i="1" s="1"/>
  <c r="F34" i="1"/>
  <c r="F36" i="1"/>
  <c r="G89" i="1"/>
  <c r="H116" i="1" s="1"/>
  <c r="G92" i="1"/>
  <c r="H119" i="1" s="1"/>
  <c r="G185" i="2" l="1"/>
  <c r="H204" i="2" s="1"/>
  <c r="I221" i="2" s="1"/>
  <c r="G190" i="2" l="1"/>
  <c r="H209" i="2" s="1"/>
  <c r="I226" i="2" s="1"/>
  <c r="G74" i="1" l="1"/>
  <c r="F74" i="1"/>
  <c r="F45" i="1" l="1"/>
  <c r="G101" i="1"/>
  <c r="H128" i="1" s="1"/>
  <c r="H101" i="1"/>
  <c r="I128" i="1" s="1"/>
  <c r="G65" i="1"/>
  <c r="G62" i="1"/>
  <c r="G63" i="1"/>
  <c r="G36" i="1" l="1"/>
  <c r="G45" i="1"/>
  <c r="H90" i="1"/>
  <c r="I117" i="1" s="1"/>
  <c r="G34" i="1"/>
  <c r="H89" i="1"/>
  <c r="I116" i="1" s="1"/>
  <c r="H92" i="1"/>
  <c r="I119" i="1" s="1"/>
  <c r="F110" i="1"/>
  <c r="F27" i="1" s="1"/>
  <c r="F160" i="1" l="1"/>
  <c r="G166" i="1" s="1"/>
  <c r="G160" i="1"/>
  <c r="H166" i="1" s="1"/>
  <c r="E160" i="1"/>
  <c r="F166" i="1" s="1"/>
  <c r="D33" i="5"/>
  <c r="G110" i="1"/>
  <c r="G27" i="1" s="1"/>
  <c r="H110" i="1"/>
  <c r="H27" i="1" s="1"/>
  <c r="G161" i="1" l="1"/>
  <c r="H167" i="1" s="1"/>
  <c r="D155" i="1"/>
  <c r="D146" i="1" s="1"/>
  <c r="D66" i="5" s="1"/>
  <c r="D67" i="5" s="1"/>
  <c r="D144" i="1"/>
  <c r="D64" i="5" s="1"/>
  <c r="D65" i="5" s="1"/>
  <c r="H160" i="1"/>
  <c r="H144" i="1" s="1"/>
  <c r="J160" i="1"/>
  <c r="I160" i="1"/>
  <c r="J166" i="1" s="1"/>
  <c r="E144" i="1"/>
  <c r="F161" i="1"/>
  <c r="G167" i="1" s="1"/>
  <c r="F144" i="1"/>
  <c r="F145" i="1" s="1"/>
  <c r="H161" i="1"/>
  <c r="G144" i="1"/>
  <c r="I110" i="1"/>
  <c r="I27" i="1" s="1"/>
  <c r="E33" i="5"/>
  <c r="E34" i="5" s="1"/>
  <c r="D34" i="5"/>
  <c r="I166" i="1" l="1"/>
  <c r="H185" i="2"/>
  <c r="E161" i="1"/>
  <c r="F167" i="1" s="1"/>
  <c r="F146" i="1" s="1"/>
  <c r="F66" i="5" s="1"/>
  <c r="F67" i="5" s="1"/>
  <c r="D145" i="1"/>
  <c r="I161" i="1"/>
  <c r="J167" i="1" s="1"/>
  <c r="H146" i="1"/>
  <c r="H66" i="5" s="1"/>
  <c r="H67" i="5" s="1"/>
  <c r="J161" i="1"/>
  <c r="G146" i="1"/>
  <c r="G66" i="5" s="1"/>
  <c r="G67" i="5" s="1"/>
  <c r="J144" i="1"/>
  <c r="J64" i="5" s="1"/>
  <c r="J65" i="5" s="1"/>
  <c r="I144" i="1"/>
  <c r="I145" i="1" s="1"/>
  <c r="G64" i="5"/>
  <c r="G65" i="5" s="1"/>
  <c r="G145" i="1"/>
  <c r="E64" i="5"/>
  <c r="E65" i="5" s="1"/>
  <c r="E145" i="1"/>
  <c r="H64" i="5"/>
  <c r="H65" i="5" s="1"/>
  <c r="H145" i="1"/>
  <c r="F64" i="5"/>
  <c r="F65" i="5" s="1"/>
  <c r="I167" i="1"/>
  <c r="F33" i="5"/>
  <c r="F34" i="5" s="1"/>
  <c r="G33" i="5"/>
  <c r="G34" i="5" s="1"/>
  <c r="C27" i="1"/>
  <c r="H33" i="5"/>
  <c r="H34" i="5" s="1"/>
  <c r="I33" i="5"/>
  <c r="I34" i="5" s="1"/>
  <c r="I204" i="2" l="1"/>
  <c r="J221" i="2" s="1"/>
  <c r="H27" i="2"/>
  <c r="G108" i="5" s="1"/>
  <c r="I64" i="5"/>
  <c r="I65" i="5" s="1"/>
  <c r="E146" i="1"/>
  <c r="E66" i="5" s="1"/>
  <c r="C144" i="1"/>
  <c r="J146" i="1"/>
  <c r="J66" i="5" s="1"/>
  <c r="J67" i="5" s="1"/>
  <c r="I146" i="1"/>
  <c r="I66" i="5" s="1"/>
  <c r="I67" i="5" s="1"/>
  <c r="J145" i="1"/>
  <c r="C33" i="5"/>
  <c r="C34" i="5" s="1"/>
  <c r="H190" i="2" l="1"/>
  <c r="I209" i="2" s="1"/>
  <c r="J226" i="2" s="1"/>
  <c r="C146" i="1"/>
  <c r="C66" i="5"/>
  <c r="E67" i="5"/>
  <c r="C67" i="5" s="1"/>
  <c r="G35" i="5" l="1"/>
  <c r="D35" i="5"/>
  <c r="D31" i="1"/>
  <c r="I31" i="1"/>
  <c r="I32" i="1" l="1"/>
  <c r="G31" i="1"/>
  <c r="I35" i="5"/>
  <c r="I36" i="5"/>
  <c r="E35" i="5"/>
  <c r="E31" i="1"/>
  <c r="F35" i="5"/>
  <c r="F31" i="1"/>
  <c r="H35" i="5"/>
  <c r="H31" i="1"/>
  <c r="G32" i="1"/>
  <c r="G36" i="5" s="1"/>
  <c r="D32" i="1"/>
  <c r="D36" i="5" s="1"/>
  <c r="H74" i="1" l="1"/>
  <c r="E32" i="1"/>
  <c r="E36" i="5" s="1"/>
  <c r="F32" i="1"/>
  <c r="F36" i="5" s="1"/>
  <c r="H32" i="1"/>
  <c r="H36" i="5" s="1"/>
  <c r="H45" i="1" l="1"/>
  <c r="I101" i="1"/>
  <c r="J128" i="1" s="1"/>
  <c r="H63" i="1"/>
  <c r="H62" i="1"/>
  <c r="H65" i="1"/>
  <c r="E185" i="2"/>
  <c r="H36" i="1" l="1"/>
  <c r="I89" i="1"/>
  <c r="J116" i="1" s="1"/>
  <c r="I90" i="1"/>
  <c r="J117" i="1" s="1"/>
  <c r="H34" i="1"/>
  <c r="I92" i="1"/>
  <c r="J119" i="1" s="1"/>
  <c r="E27" i="2"/>
  <c r="F204" i="2"/>
  <c r="G221" i="2" l="1"/>
  <c r="G27" i="2" s="1"/>
  <c r="F108" i="5" s="1"/>
  <c r="F27" i="2"/>
  <c r="E108" i="5" s="1"/>
  <c r="D108" i="5"/>
  <c r="E28" i="2"/>
  <c r="F28" i="2" l="1"/>
  <c r="G28" i="2" s="1"/>
  <c r="H28" i="2" s="1"/>
  <c r="I185" i="2" l="1"/>
  <c r="I27" i="2" l="1"/>
  <c r="J204" i="2"/>
  <c r="D33" i="1"/>
  <c r="I190" i="2" l="1"/>
  <c r="J209" i="2" s="1"/>
  <c r="K226" i="2" s="1"/>
  <c r="H108" i="5"/>
  <c r="I28" i="2"/>
  <c r="J27" i="2"/>
  <c r="I108" i="5" s="1"/>
  <c r="K221" i="2"/>
  <c r="K27" i="2" s="1"/>
  <c r="J108" i="5" s="1"/>
  <c r="D27" i="2" l="1"/>
  <c r="C108" i="5"/>
  <c r="C111" i="5" s="1"/>
  <c r="J28" i="2"/>
  <c r="K28" i="2" s="1"/>
  <c r="D28" i="2" s="1"/>
  <c r="E33" i="1" l="1"/>
  <c r="I74" i="1" l="1"/>
  <c r="I45" i="1" l="1"/>
  <c r="C74" i="1"/>
  <c r="J101" i="1"/>
  <c r="J45" i="1" s="1"/>
  <c r="I62" i="1"/>
  <c r="I65" i="1"/>
  <c r="I63" i="1"/>
  <c r="G68" i="1"/>
  <c r="H68" i="1"/>
  <c r="D70" i="1"/>
  <c r="I95" i="1" l="1"/>
  <c r="J122" i="1" s="1"/>
  <c r="I34" i="1"/>
  <c r="J89" i="1"/>
  <c r="C62" i="1"/>
  <c r="E97" i="1"/>
  <c r="F124" i="1" s="1"/>
  <c r="D41" i="1"/>
  <c r="I36" i="1"/>
  <c r="C65" i="1"/>
  <c r="H95" i="1"/>
  <c r="I122" i="1" s="1"/>
  <c r="J90" i="1"/>
  <c r="J63" i="1"/>
  <c r="J34" i="1" s="1"/>
  <c r="J92" i="1"/>
  <c r="J65" i="1"/>
  <c r="J33" i="1"/>
  <c r="F68" i="1"/>
  <c r="E68" i="1"/>
  <c r="F95" i="1" l="1"/>
  <c r="G122" i="1" s="1"/>
  <c r="E39" i="1"/>
  <c r="C63" i="1"/>
  <c r="G95" i="1"/>
  <c r="F39" i="1"/>
  <c r="J36" i="1"/>
  <c r="F33" i="1"/>
  <c r="H122" i="1" l="1"/>
  <c r="H39" i="1" s="1"/>
  <c r="G39" i="1"/>
  <c r="G64" i="1" l="1"/>
  <c r="G33" i="1"/>
  <c r="H91" i="1" l="1"/>
  <c r="F64" i="1"/>
  <c r="J187" i="2"/>
  <c r="K206" i="2" s="1"/>
  <c r="D64" i="1"/>
  <c r="D69" i="1" s="1"/>
  <c r="D72" i="1" s="1"/>
  <c r="E64" i="1"/>
  <c r="I33" i="1"/>
  <c r="H33" i="1"/>
  <c r="D35" i="1" l="1"/>
  <c r="I118" i="1"/>
  <c r="G91" i="1"/>
  <c r="F91" i="1"/>
  <c r="E91" i="1"/>
  <c r="F118" i="1" s="1"/>
  <c r="J191" i="2"/>
  <c r="K210" i="2" s="1"/>
  <c r="I73" i="1"/>
  <c r="I75" i="1" s="1"/>
  <c r="C33" i="1"/>
  <c r="F35" i="1" l="1"/>
  <c r="E35" i="1"/>
  <c r="J100" i="1"/>
  <c r="E96" i="1"/>
  <c r="F123" i="1" s="1"/>
  <c r="H118" i="1"/>
  <c r="G118" i="1"/>
  <c r="G35" i="1" s="1"/>
  <c r="E99" i="1" l="1"/>
  <c r="F126" i="1" s="1"/>
  <c r="I68" i="1" l="1"/>
  <c r="I39" i="1" l="1"/>
  <c r="J68" i="1"/>
  <c r="J95" i="1"/>
  <c r="J39" i="1" l="1"/>
  <c r="C68" i="1"/>
  <c r="G85" i="3"/>
  <c r="D85" i="3"/>
  <c r="F85" i="3" l="1"/>
  <c r="G93" i="3" s="1"/>
  <c r="H101" i="3" s="1"/>
  <c r="E85" i="3"/>
  <c r="F93" i="3" s="1"/>
  <c r="G101" i="3" s="1"/>
  <c r="F96" i="5"/>
  <c r="E96" i="5"/>
  <c r="G96" i="5"/>
  <c r="D96" i="5"/>
  <c r="H93" i="3"/>
  <c r="I101" i="3" s="1"/>
  <c r="D86" i="3"/>
  <c r="E93" i="3"/>
  <c r="D74" i="3"/>
  <c r="G74" i="3" l="1"/>
  <c r="D75" i="3"/>
  <c r="F101" i="3"/>
  <c r="F74" i="3" s="1"/>
  <c r="E74" i="3"/>
  <c r="E94" i="3"/>
  <c r="F102" i="3" s="1"/>
  <c r="E86" i="3"/>
  <c r="E75" i="3" l="1"/>
  <c r="F75" i="3" s="1"/>
  <c r="G75" i="3" s="1"/>
  <c r="F94" i="3"/>
  <c r="G102" i="3" s="1"/>
  <c r="F86" i="3"/>
  <c r="G94" i="3" l="1"/>
  <c r="H102" i="3" s="1"/>
  <c r="G86" i="3"/>
  <c r="K187" i="2" l="1"/>
  <c r="H94" i="3"/>
  <c r="I102" i="3" s="1"/>
  <c r="E184" i="2" l="1"/>
  <c r="F203" i="2" l="1"/>
  <c r="G220" i="2" s="1"/>
  <c r="E26" i="2"/>
  <c r="E191" i="2"/>
  <c r="F210" i="2" s="1"/>
  <c r="G227" i="2" s="1"/>
  <c r="E193" i="2"/>
  <c r="F212" i="2" s="1"/>
  <c r="G229" i="2" s="1"/>
  <c r="J73" i="1"/>
  <c r="J75" i="1" s="1"/>
  <c r="K191" i="2"/>
  <c r="E32" i="2" l="1"/>
  <c r="D110" i="5"/>
  <c r="E192" i="2" l="1"/>
  <c r="F211" i="2" s="1"/>
  <c r="G228" i="2" s="1"/>
  <c r="E186" i="2" l="1"/>
  <c r="F205" i="2" l="1"/>
  <c r="G222" i="2" s="1"/>
  <c r="E29" i="2"/>
  <c r="E187" i="2"/>
  <c r="E30" i="2" l="1"/>
  <c r="D109" i="5" s="1"/>
  <c r="F206" i="2"/>
  <c r="G223" i="2" s="1"/>
  <c r="D73" i="1" l="1"/>
  <c r="D75" i="1" s="1"/>
  <c r="E102" i="1" l="1"/>
  <c r="F129" i="1" s="1"/>
  <c r="D76" i="1"/>
  <c r="D44" i="1"/>
  <c r="E100" i="1"/>
  <c r="F127" i="1" s="1"/>
  <c r="H184" i="2"/>
  <c r="I203" i="2" s="1"/>
  <c r="J220" i="2" s="1"/>
  <c r="J184" i="2"/>
  <c r="K184" i="2"/>
  <c r="G184" i="2"/>
  <c r="H203" i="2" s="1"/>
  <c r="I220" i="2" s="1"/>
  <c r="I184" i="2"/>
  <c r="J203" i="2" s="1"/>
  <c r="K220" i="2" s="1"/>
  <c r="K203" i="2"/>
  <c r="E103" i="1" l="1"/>
  <c r="F130" i="1" s="1"/>
  <c r="F184" i="2"/>
  <c r="I26" i="2"/>
  <c r="K26" i="2"/>
  <c r="J26" i="2"/>
  <c r="G203" i="2" l="1"/>
  <c r="F26" i="2"/>
  <c r="H220" i="2" l="1"/>
  <c r="H26" i="2" s="1"/>
  <c r="G26" i="2"/>
  <c r="D26" i="2" l="1"/>
  <c r="E57" i="1" l="1"/>
  <c r="E58" i="1" l="1"/>
  <c r="F85" i="1"/>
  <c r="G112" i="1" s="1"/>
  <c r="E28" i="1"/>
  <c r="F84" i="1"/>
  <c r="G111" i="1" s="1"/>
  <c r="D29" i="1" l="1"/>
  <c r="H64" i="1" l="1"/>
  <c r="D37" i="3"/>
  <c r="H35" i="1" l="1"/>
  <c r="I91" i="1"/>
  <c r="J118" i="1" s="1"/>
  <c r="I64" i="1"/>
  <c r="I35" i="1" s="1"/>
  <c r="H85" i="3"/>
  <c r="D36" i="3"/>
  <c r="E48" i="3"/>
  <c r="F59" i="3" s="1"/>
  <c r="D22" i="3"/>
  <c r="D23" i="3" s="1"/>
  <c r="J64" i="1" l="1"/>
  <c r="J91" i="1"/>
  <c r="H86" i="3"/>
  <c r="I93" i="3"/>
  <c r="J101" i="3" s="1"/>
  <c r="H74" i="3"/>
  <c r="H75" i="3" s="1"/>
  <c r="H96" i="5"/>
  <c r="I85" i="3"/>
  <c r="I96" i="5"/>
  <c r="D40" i="3"/>
  <c r="D39" i="3"/>
  <c r="E50" i="3" s="1"/>
  <c r="F61" i="3" s="1"/>
  <c r="E47" i="3"/>
  <c r="F58" i="3" s="1"/>
  <c r="D20" i="3"/>
  <c r="J35" i="1" l="1"/>
  <c r="C64" i="1"/>
  <c r="C34" i="1"/>
  <c r="J93" i="3"/>
  <c r="I74" i="3"/>
  <c r="I75" i="3" s="1"/>
  <c r="C85" i="3"/>
  <c r="J85" i="3"/>
  <c r="J74" i="3" s="1"/>
  <c r="J96" i="5"/>
  <c r="C96" i="5" s="1"/>
  <c r="C35" i="1"/>
  <c r="I94" i="3"/>
  <c r="J102" i="3" s="1"/>
  <c r="I86" i="3"/>
  <c r="D26" i="3"/>
  <c r="E51" i="3"/>
  <c r="F62" i="3" s="1"/>
  <c r="D75" i="5"/>
  <c r="D21" i="3"/>
  <c r="D76" i="5" s="1"/>
  <c r="D77" i="5" s="1"/>
  <c r="J75" i="3" l="1"/>
  <c r="C75" i="3" s="1"/>
  <c r="J86" i="3"/>
  <c r="C86" i="3" s="1"/>
  <c r="J94" i="3"/>
  <c r="C74" i="3"/>
  <c r="D38" i="3" l="1"/>
  <c r="E71" i="1" l="1"/>
  <c r="D24" i="3"/>
  <c r="E49" i="3"/>
  <c r="F60" i="3" s="1"/>
  <c r="E42" i="1" l="1"/>
  <c r="F98" i="1"/>
  <c r="G125" i="1" s="1"/>
  <c r="D25" i="3"/>
  <c r="F191" i="2" l="1"/>
  <c r="F193" i="2"/>
  <c r="G212" i="2" s="1"/>
  <c r="H229" i="2" s="1"/>
  <c r="G210" i="2" l="1"/>
  <c r="H227" i="2" s="1"/>
  <c r="F32" i="2"/>
  <c r="E110" i="5" s="1"/>
  <c r="F192" i="2" l="1"/>
  <c r="G211" i="2" s="1"/>
  <c r="H228" i="2" s="1"/>
  <c r="F186" i="2" l="1"/>
  <c r="E73" i="1"/>
  <c r="E75" i="1" s="1"/>
  <c r="F102" i="1" s="1"/>
  <c r="G129" i="1" s="1"/>
  <c r="F100" i="1" l="1"/>
  <c r="G127" i="1" s="1"/>
  <c r="E44" i="1"/>
  <c r="G205" i="2"/>
  <c r="H222" i="2" s="1"/>
  <c r="F29" i="2"/>
  <c r="F187" i="2"/>
  <c r="F30" i="2" l="1"/>
  <c r="E109" i="5" s="1"/>
  <c r="G206" i="2"/>
  <c r="H223" i="2" s="1"/>
  <c r="E66" i="1" l="1"/>
  <c r="E69" i="1" s="1"/>
  <c r="E37" i="1" l="1"/>
  <c r="F93" i="1"/>
  <c r="G120" i="1" s="1"/>
  <c r="F96" i="1" l="1"/>
  <c r="G123" i="1" s="1"/>
  <c r="D40" i="1" l="1"/>
  <c r="D46" i="1" l="1"/>
  <c r="F57" i="1" l="1"/>
  <c r="F58" i="1" l="1"/>
  <c r="F28" i="1"/>
  <c r="G85" i="1"/>
  <c r="H112" i="1" s="1"/>
  <c r="G84" i="1"/>
  <c r="H111" i="1" s="1"/>
  <c r="D43" i="1"/>
  <c r="D47" i="1" l="1"/>
  <c r="E29" i="1" l="1"/>
  <c r="D37" i="5"/>
  <c r="E37" i="3" l="1"/>
  <c r="F48" i="3" l="1"/>
  <c r="G59" i="3" s="1"/>
  <c r="E22" i="3"/>
  <c r="E23" i="3" s="1"/>
  <c r="E36" i="3"/>
  <c r="E40" i="3" l="1"/>
  <c r="F47" i="3"/>
  <c r="G58" i="3" s="1"/>
  <c r="E20" i="3"/>
  <c r="E39" i="3"/>
  <c r="F50" i="3" s="1"/>
  <c r="G61" i="3" s="1"/>
  <c r="E75" i="5" l="1"/>
  <c r="E21" i="3"/>
  <c r="F51" i="3"/>
  <c r="G62" i="3" s="1"/>
  <c r="E26" i="3"/>
  <c r="E76" i="5" l="1"/>
  <c r="E77" i="5" s="1"/>
  <c r="H38" i="3" l="1"/>
  <c r="J70" i="1"/>
  <c r="I70" i="1"/>
  <c r="D31" i="4"/>
  <c r="J97" i="1" l="1"/>
  <c r="E30" i="4"/>
  <c r="I49" i="3"/>
  <c r="J60" i="3" s="1"/>
  <c r="I38" i="3"/>
  <c r="E36" i="4"/>
  <c r="F41" i="4" s="1"/>
  <c r="D21" i="4"/>
  <c r="D144" i="5" s="1"/>
  <c r="D145" i="5" s="1"/>
  <c r="E20" i="4" l="1"/>
  <c r="F35" i="4"/>
  <c r="G40" i="4" s="1"/>
  <c r="J49" i="3"/>
  <c r="J38" i="3"/>
  <c r="J24" i="3" l="1"/>
  <c r="F71" i="1" l="1"/>
  <c r="F42" i="1" l="1"/>
  <c r="G98" i="1"/>
  <c r="H125" i="1" s="1"/>
  <c r="G191" i="2" l="1"/>
  <c r="G193" i="2"/>
  <c r="H212" i="2" s="1"/>
  <c r="I229" i="2" s="1"/>
  <c r="H210" i="2" l="1"/>
  <c r="I227" i="2" s="1"/>
  <c r="G32" i="2"/>
  <c r="F110" i="5" s="1"/>
  <c r="G192" i="2" l="1"/>
  <c r="H211" i="2" s="1"/>
  <c r="I228" i="2" s="1"/>
  <c r="G186" i="2" l="1"/>
  <c r="F73" i="1"/>
  <c r="F75" i="1" s="1"/>
  <c r="G102" i="1" s="1"/>
  <c r="H129" i="1" s="1"/>
  <c r="G100" i="1" l="1"/>
  <c r="H127" i="1" s="1"/>
  <c r="F44" i="1"/>
  <c r="H205" i="2"/>
  <c r="I222" i="2" s="1"/>
  <c r="G29" i="2"/>
  <c r="G187" i="2"/>
  <c r="H206" i="2" l="1"/>
  <c r="I223" i="2" s="1"/>
  <c r="G30" i="2"/>
  <c r="F109" i="5" s="1"/>
  <c r="H70" i="1" l="1"/>
  <c r="F66" i="1"/>
  <c r="F69" i="1" s="1"/>
  <c r="F37" i="1" l="1"/>
  <c r="G93" i="1"/>
  <c r="H120" i="1" s="1"/>
  <c r="I97" i="1"/>
  <c r="J124" i="1" l="1"/>
  <c r="J41" i="1" s="1"/>
  <c r="G96" i="1"/>
  <c r="H123" i="1" s="1"/>
  <c r="E40" i="1" l="1"/>
  <c r="G57" i="1" l="1"/>
  <c r="G58" i="1" l="1"/>
  <c r="G28" i="1"/>
  <c r="H85" i="1"/>
  <c r="I112" i="1" s="1"/>
  <c r="H84" i="1"/>
  <c r="I111" i="1" s="1"/>
  <c r="F29" i="1" l="1"/>
  <c r="F37" i="3" l="1"/>
  <c r="F36" i="3" l="1"/>
  <c r="G48" i="3"/>
  <c r="H59" i="3" s="1"/>
  <c r="F22" i="3"/>
  <c r="F23" i="3" s="1"/>
  <c r="F40" i="3" l="1"/>
  <c r="F39" i="3"/>
  <c r="G50" i="3" s="1"/>
  <c r="H61" i="3" s="1"/>
  <c r="G47" i="3"/>
  <c r="H58" i="3" s="1"/>
  <c r="F20" i="3"/>
  <c r="F26" i="3" l="1"/>
  <c r="G51" i="3"/>
  <c r="H62" i="3" s="1"/>
  <c r="F75" i="5"/>
  <c r="F21" i="3"/>
  <c r="F76" i="5" l="1"/>
  <c r="F77" i="5" s="1"/>
  <c r="G71" i="1" l="1"/>
  <c r="G42" i="1" l="1"/>
  <c r="H98" i="1"/>
  <c r="I125" i="1" s="1"/>
  <c r="H191" i="2" l="1"/>
  <c r="H193" i="2"/>
  <c r="I212" i="2" s="1"/>
  <c r="J229" i="2" s="1"/>
  <c r="I210" i="2" l="1"/>
  <c r="J227" i="2" s="1"/>
  <c r="H32" i="2"/>
  <c r="G110" i="5" l="1"/>
  <c r="H192" i="2"/>
  <c r="I211" i="2" s="1"/>
  <c r="J228" i="2" s="1"/>
  <c r="G73" i="1" l="1"/>
  <c r="G75" i="1" s="1"/>
  <c r="H102" i="1" s="1"/>
  <c r="I129" i="1" s="1"/>
  <c r="H186" i="2"/>
  <c r="H100" i="1" l="1"/>
  <c r="I127" i="1" s="1"/>
  <c r="G44" i="1"/>
  <c r="I205" i="2"/>
  <c r="J222" i="2" s="1"/>
  <c r="H29" i="2"/>
  <c r="H187" i="2"/>
  <c r="H30" i="2" l="1"/>
  <c r="G109" i="5" s="1"/>
  <c r="I206" i="2"/>
  <c r="J223" i="2" s="1"/>
  <c r="G66" i="1" l="1"/>
  <c r="G69" i="1" s="1"/>
  <c r="G37" i="1" l="1"/>
  <c r="H93" i="1"/>
  <c r="I120" i="1" s="1"/>
  <c r="H96" i="1" l="1"/>
  <c r="I123" i="1" s="1"/>
  <c r="F40" i="1" l="1"/>
  <c r="H57" i="1" l="1"/>
  <c r="H58" i="1" l="1"/>
  <c r="H28" i="1"/>
  <c r="I85" i="1"/>
  <c r="J112" i="1" s="1"/>
  <c r="I84" i="1"/>
  <c r="J111" i="1" s="1"/>
  <c r="G29" i="1" l="1"/>
  <c r="G37" i="3" l="1"/>
  <c r="G22" i="3" l="1"/>
  <c r="G23" i="3" s="1"/>
  <c r="H37" i="3"/>
  <c r="H48" i="3"/>
  <c r="I59" i="3" s="1"/>
  <c r="G36" i="3"/>
  <c r="G38" i="3" l="1"/>
  <c r="E38" i="3"/>
  <c r="H36" i="3"/>
  <c r="H47" i="3"/>
  <c r="I58" i="3" s="1"/>
  <c r="G20" i="3"/>
  <c r="G40" i="3"/>
  <c r="F38" i="3"/>
  <c r="G39" i="3"/>
  <c r="H22" i="3"/>
  <c r="H23" i="3" s="1"/>
  <c r="I48" i="3"/>
  <c r="J59" i="3" s="1"/>
  <c r="I37" i="3"/>
  <c r="J37" i="3" l="1"/>
  <c r="J48" i="3"/>
  <c r="I22" i="3"/>
  <c r="I23" i="3" s="1"/>
  <c r="G49" i="3"/>
  <c r="H60" i="3" s="1"/>
  <c r="H40" i="3"/>
  <c r="H51" i="3"/>
  <c r="I62" i="3" s="1"/>
  <c r="G26" i="3"/>
  <c r="C26" i="3" s="1"/>
  <c r="G75" i="5"/>
  <c r="G21" i="3"/>
  <c r="F49" i="3"/>
  <c r="G60" i="3" s="1"/>
  <c r="E24" i="3"/>
  <c r="H50" i="3"/>
  <c r="I61" i="3" s="1"/>
  <c r="H39" i="3"/>
  <c r="I36" i="3"/>
  <c r="H20" i="3"/>
  <c r="H75" i="5" s="1"/>
  <c r="I47" i="3"/>
  <c r="J58" i="3" s="1"/>
  <c r="H49" i="3"/>
  <c r="G24" i="3" l="1"/>
  <c r="I60" i="3"/>
  <c r="I24" i="3" s="1"/>
  <c r="H24" i="3"/>
  <c r="I40" i="3"/>
  <c r="H26" i="3"/>
  <c r="I51" i="3"/>
  <c r="J62" i="3" s="1"/>
  <c r="I50" i="3"/>
  <c r="J61" i="3" s="1"/>
  <c r="I39" i="3"/>
  <c r="E25" i="3"/>
  <c r="H21" i="3"/>
  <c r="G76" i="5"/>
  <c r="J36" i="3"/>
  <c r="J47" i="3"/>
  <c r="I20" i="3"/>
  <c r="I75" i="5" s="1"/>
  <c r="F24" i="3"/>
  <c r="C24" i="3" s="1"/>
  <c r="J22" i="3"/>
  <c r="C22" i="3" s="1"/>
  <c r="J20" i="3" l="1"/>
  <c r="F25" i="3"/>
  <c r="G25" i="3" s="1"/>
  <c r="H25" i="3" s="1"/>
  <c r="I25" i="3" s="1"/>
  <c r="J25" i="3" s="1"/>
  <c r="C25" i="3" s="1"/>
  <c r="G41" i="3"/>
  <c r="J23" i="3"/>
  <c r="C23" i="3" s="1"/>
  <c r="J39" i="3"/>
  <c r="J50" i="3"/>
  <c r="J51" i="3"/>
  <c r="J40" i="3"/>
  <c r="I26" i="3"/>
  <c r="H76" i="5"/>
  <c r="I21" i="3"/>
  <c r="C78" i="5" l="1"/>
  <c r="E42" i="3"/>
  <c r="I76" i="5"/>
  <c r="J21" i="3"/>
  <c r="J76" i="5" s="1"/>
  <c r="C64" i="5" s="1"/>
  <c r="F41" i="3"/>
  <c r="D41" i="3"/>
  <c r="J75" i="5"/>
  <c r="C75" i="5" s="1"/>
  <c r="C20" i="3"/>
  <c r="C21" i="3" s="1"/>
  <c r="J26" i="3"/>
  <c r="H41" i="3"/>
  <c r="H52" i="3"/>
  <c r="I63" i="3" s="1"/>
  <c r="F42" i="3"/>
  <c r="E41" i="3"/>
  <c r="D42" i="3"/>
  <c r="G42" i="3"/>
  <c r="C77" i="5" l="1"/>
  <c r="D80" i="5"/>
  <c r="D83" i="5"/>
  <c r="D85" i="5"/>
  <c r="D82" i="5"/>
  <c r="D79" i="5"/>
  <c r="D86" i="5"/>
  <c r="D84" i="5"/>
  <c r="E82" i="5"/>
  <c r="E83" i="5"/>
  <c r="E86" i="5"/>
  <c r="E84" i="5"/>
  <c r="E80" i="5"/>
  <c r="E79" i="5"/>
  <c r="E85" i="5"/>
  <c r="F83" i="5"/>
  <c r="F80" i="5"/>
  <c r="F79" i="5"/>
  <c r="F84" i="5"/>
  <c r="F85" i="5"/>
  <c r="F82" i="5"/>
  <c r="F86" i="5"/>
  <c r="D28" i="3"/>
  <c r="E53" i="3"/>
  <c r="F64" i="3" s="1"/>
  <c r="G52" i="3"/>
  <c r="H53" i="3"/>
  <c r="I64" i="3" s="1"/>
  <c r="H42" i="3"/>
  <c r="G53" i="3"/>
  <c r="H64" i="3" s="1"/>
  <c r="I41" i="3"/>
  <c r="I52" i="3"/>
  <c r="J63" i="3" s="1"/>
  <c r="F52" i="3"/>
  <c r="G63" i="3" s="1"/>
  <c r="E52" i="3"/>
  <c r="F63" i="3" s="1"/>
  <c r="D27" i="3"/>
  <c r="F53" i="3"/>
  <c r="G64" i="3" s="1"/>
  <c r="E28" i="3"/>
  <c r="F78" i="5" l="1"/>
  <c r="E78" i="5"/>
  <c r="D78" i="5"/>
  <c r="E27" i="3"/>
  <c r="F27" i="3"/>
  <c r="J52" i="3"/>
  <c r="J41" i="3"/>
  <c r="I27" i="3"/>
  <c r="G28" i="3"/>
  <c r="H63" i="3"/>
  <c r="H27" i="3" s="1"/>
  <c r="G27" i="3"/>
  <c r="H28" i="3"/>
  <c r="I42" i="3"/>
  <c r="I53" i="3"/>
  <c r="J64" i="3" s="1"/>
  <c r="F28" i="3"/>
  <c r="J27" i="3" l="1"/>
  <c r="I28" i="3"/>
  <c r="J53" i="3"/>
  <c r="J42" i="3"/>
  <c r="C27" i="3"/>
  <c r="H71" i="1" l="1"/>
  <c r="J28" i="3"/>
  <c r="C28" i="3" s="1"/>
  <c r="H42" i="1" l="1"/>
  <c r="I98" i="1"/>
  <c r="J125" i="1" s="1"/>
  <c r="I191" i="2" l="1"/>
  <c r="I193" i="2"/>
  <c r="J212" i="2" s="1"/>
  <c r="K229" i="2" s="1"/>
  <c r="J210" i="2" l="1"/>
  <c r="I32" i="2"/>
  <c r="H110" i="5" l="1"/>
  <c r="K227" i="2"/>
  <c r="K32" i="2" s="1"/>
  <c r="J110" i="5" s="1"/>
  <c r="J32" i="2"/>
  <c r="I110" i="5" s="1"/>
  <c r="I192" i="2"/>
  <c r="J211" i="2" s="1"/>
  <c r="K228" i="2" s="1"/>
  <c r="D32" i="2" l="1"/>
  <c r="I186" i="2"/>
  <c r="I187" i="2" l="1"/>
  <c r="I29" i="2"/>
  <c r="J205" i="2"/>
  <c r="K222" i="2" s="1"/>
  <c r="I30" i="2" l="1"/>
  <c r="H109" i="5" s="1"/>
  <c r="J206" i="2"/>
  <c r="K223" i="2" l="1"/>
  <c r="K30" i="2" s="1"/>
  <c r="J30" i="2"/>
  <c r="I109" i="5" s="1"/>
  <c r="C110" i="5" s="1"/>
  <c r="G70" i="1"/>
  <c r="G72" i="1" s="1"/>
  <c r="G76" i="1" s="1"/>
  <c r="F70" i="1"/>
  <c r="F72" i="1" s="1"/>
  <c r="F76" i="1" s="1"/>
  <c r="E70" i="1"/>
  <c r="E72" i="1" s="1"/>
  <c r="E76" i="1" l="1"/>
  <c r="F103" i="1" s="1"/>
  <c r="G130" i="1" s="1"/>
  <c r="F99" i="1"/>
  <c r="G126" i="1" s="1"/>
  <c r="G97" i="1"/>
  <c r="H124" i="1" s="1"/>
  <c r="F97" i="1"/>
  <c r="G124" i="1" s="1"/>
  <c r="G41" i="1" s="1"/>
  <c r="E41" i="1"/>
  <c r="C70" i="1"/>
  <c r="H97" i="1"/>
  <c r="H73" i="1"/>
  <c r="H75" i="1" s="1"/>
  <c r="I102" i="1" s="1"/>
  <c r="J129" i="1" s="1"/>
  <c r="D30" i="2"/>
  <c r="J109" i="5"/>
  <c r="I124" i="1" l="1"/>
  <c r="I41" i="1" s="1"/>
  <c r="H41" i="1"/>
  <c r="F41" i="1"/>
  <c r="H44" i="1"/>
  <c r="C73" i="1"/>
  <c r="G99" i="1"/>
  <c r="H126" i="1" s="1"/>
  <c r="I100" i="1"/>
  <c r="H99" i="1"/>
  <c r="I126" i="1" s="1"/>
  <c r="H103" i="1"/>
  <c r="I130" i="1" s="1"/>
  <c r="C75" i="1"/>
  <c r="J127" i="1" l="1"/>
  <c r="J44" i="1" s="1"/>
  <c r="I44" i="1"/>
  <c r="G103" i="1"/>
  <c r="H130" i="1" s="1"/>
  <c r="J102" i="1"/>
  <c r="F43" i="1"/>
  <c r="E43" i="1"/>
  <c r="C45" i="1" l="1"/>
  <c r="J46" i="1"/>
  <c r="F46" i="1"/>
  <c r="F47" i="1" s="1"/>
  <c r="F37" i="5" s="1"/>
  <c r="E46" i="1"/>
  <c r="E47" i="1" s="1"/>
  <c r="H66" i="1"/>
  <c r="H69" i="1" s="1"/>
  <c r="H72" i="1" s="1"/>
  <c r="H76" i="1" s="1"/>
  <c r="H37" i="1" l="1"/>
  <c r="I93" i="1"/>
  <c r="J120" i="1" s="1"/>
  <c r="E37" i="5"/>
  <c r="I96" i="1" l="1"/>
  <c r="J123" i="1" s="1"/>
  <c r="I99" i="1" l="1"/>
  <c r="G40" i="1"/>
  <c r="I103" i="1" l="1"/>
  <c r="J130" i="1" s="1"/>
  <c r="J126" i="1"/>
  <c r="G43" i="1"/>
  <c r="C38" i="1"/>
  <c r="G46" i="1" l="1"/>
  <c r="G47" i="1" s="1"/>
  <c r="I46" i="1"/>
  <c r="H46" i="1"/>
  <c r="G37" i="5" l="1"/>
  <c r="C46" i="1"/>
  <c r="C44" i="1"/>
  <c r="I57" i="1" l="1"/>
  <c r="I58" i="1" l="1"/>
  <c r="C58" i="1" s="1"/>
  <c r="I28" i="1"/>
  <c r="C57" i="1"/>
  <c r="J84" i="1"/>
  <c r="J28" i="1" s="1"/>
  <c r="J85" i="1"/>
  <c r="E31" i="4"/>
  <c r="I29" i="1" l="1"/>
  <c r="H29" i="1"/>
  <c r="C28" i="1"/>
  <c r="F30" i="4"/>
  <c r="F36" i="4"/>
  <c r="G41" i="4" s="1"/>
  <c r="E21" i="4"/>
  <c r="E144" i="5" s="1"/>
  <c r="E145" i="5" s="1"/>
  <c r="J29" i="1" l="1"/>
  <c r="C29" i="1"/>
  <c r="G35" i="4"/>
  <c r="H40" i="4" s="1"/>
  <c r="F20" i="4"/>
  <c r="H30" i="4" l="1"/>
  <c r="J193" i="2" l="1"/>
  <c r="K212" i="2" s="1"/>
  <c r="I71" i="1" l="1"/>
  <c r="J186" i="2"/>
  <c r="J192" i="2"/>
  <c r="K211" i="2" s="1"/>
  <c r="I42" i="1" l="1"/>
  <c r="C71" i="1"/>
  <c r="J98" i="1"/>
  <c r="J42" i="1" s="1"/>
  <c r="K205" i="2"/>
  <c r="J29" i="2"/>
  <c r="C41" i="1" l="1"/>
  <c r="I66" i="1" l="1"/>
  <c r="I69" i="1" s="1"/>
  <c r="I72" i="1" s="1"/>
  <c r="I76" i="1" s="1"/>
  <c r="F31" i="4"/>
  <c r="I37" i="1" l="1"/>
  <c r="C66" i="1"/>
  <c r="J93" i="1"/>
  <c r="J37" i="1" s="1"/>
  <c r="G30" i="4"/>
  <c r="G36" i="4"/>
  <c r="H41" i="4" s="1"/>
  <c r="F21" i="4"/>
  <c r="F144" i="5" s="1"/>
  <c r="F145" i="5" s="1"/>
  <c r="I40" i="1" l="1"/>
  <c r="C36" i="1"/>
  <c r="J96" i="1"/>
  <c r="H40" i="1"/>
  <c r="H35" i="4"/>
  <c r="H20" i="4" s="1"/>
  <c r="G20" i="4"/>
  <c r="J103" i="1" l="1"/>
  <c r="C39" i="1"/>
  <c r="I43" i="1"/>
  <c r="I47" i="1" s="1"/>
  <c r="I37" i="5" s="1"/>
  <c r="J99" i="1"/>
  <c r="H43" i="1"/>
  <c r="C42" i="1" l="1"/>
  <c r="C37" i="1"/>
  <c r="H47" i="1"/>
  <c r="H37" i="5" l="1"/>
  <c r="H31" i="4" l="1"/>
  <c r="K193" i="2" l="1"/>
  <c r="G31" i="4"/>
  <c r="K186" i="2" l="1"/>
  <c r="K29" i="2" s="1"/>
  <c r="D29" i="2" s="1"/>
  <c r="H36" i="4"/>
  <c r="H21" i="4" s="1"/>
  <c r="H144" i="5" s="1"/>
  <c r="H145" i="5" s="1"/>
  <c r="G21" i="4"/>
  <c r="G144" i="5" s="1"/>
  <c r="G145" i="5" s="1"/>
  <c r="K192" i="2"/>
  <c r="J59" i="1" l="1"/>
  <c r="J60" i="1" s="1"/>
  <c r="J69" i="1" s="1"/>
  <c r="J72" i="1" s="1"/>
  <c r="J76" i="1" s="1"/>
  <c r="C60" i="1" l="1"/>
  <c r="J30" i="1"/>
  <c r="C59" i="1"/>
  <c r="J35" i="5" l="1"/>
  <c r="C35" i="5" s="1"/>
  <c r="C30" i="1"/>
  <c r="J31" i="1"/>
  <c r="C69" i="1"/>
  <c r="J40" i="1" l="1"/>
  <c r="J32" i="1"/>
  <c r="J36" i="5" s="1"/>
  <c r="C31" i="1"/>
  <c r="C72" i="1"/>
  <c r="C76" i="1"/>
  <c r="J43" i="1" l="1"/>
  <c r="C40" i="1"/>
  <c r="C43" i="1" l="1"/>
  <c r="J47" i="1"/>
  <c r="C47" i="1" l="1"/>
  <c r="J37" i="5"/>
  <c r="C37" i="5" s="1"/>
  <c r="D35" i="6" l="1"/>
  <c r="D33" i="6"/>
  <c r="D94" i="6"/>
  <c r="D34" i="6" l="1"/>
  <c r="E35" i="6"/>
  <c r="E33" i="6"/>
  <c r="E34" i="6" s="1"/>
  <c r="D95" i="6"/>
  <c r="F35" i="6" l="1"/>
  <c r="G35" i="6" l="1"/>
  <c r="E94" i="6"/>
  <c r="H35" i="6" l="1"/>
  <c r="E95" i="6"/>
  <c r="I35" i="6" l="1"/>
  <c r="F94" i="6"/>
  <c r="F95" i="6" l="1"/>
  <c r="G94" i="6" l="1"/>
  <c r="G95" i="6" l="1"/>
  <c r="H94" i="6" l="1"/>
  <c r="H95" i="6" l="1"/>
  <c r="I94" i="6" l="1"/>
  <c r="I95" i="6" l="1"/>
  <c r="J94" i="6"/>
  <c r="C94" i="6" s="1"/>
  <c r="C97" i="6" s="1"/>
  <c r="J95" i="6" l="1"/>
  <c r="E13" i="6" l="1"/>
  <c r="F13" i="6" l="1"/>
  <c r="G13" i="6" l="1"/>
  <c r="H13" i="6" l="1"/>
  <c r="I13" i="6" l="1"/>
  <c r="J13" i="6" l="1"/>
  <c r="J33" i="6" l="1"/>
  <c r="J34" i="6" s="1"/>
  <c r="F33" i="6" l="1"/>
  <c r="F34" i="6" l="1"/>
  <c r="G33" i="6"/>
  <c r="G34" i="6" s="1"/>
  <c r="H33" i="6"/>
  <c r="H34" i="6" s="1"/>
  <c r="D66" i="6" l="1"/>
  <c r="D64" i="6"/>
  <c r="H64" i="6"/>
  <c r="H65" i="6" s="1"/>
  <c r="E64" i="6"/>
  <c r="E65" i="6" s="1"/>
  <c r="G64" i="6"/>
  <c r="G65" i="6" s="1"/>
  <c r="I33" i="6"/>
  <c r="I34" i="6" s="1"/>
  <c r="D65" i="6" l="1"/>
  <c r="D67" i="6"/>
  <c r="F64" i="6"/>
  <c r="F65" i="6" s="1"/>
  <c r="C33" i="6"/>
  <c r="C34" i="6" s="1"/>
  <c r="F66" i="6"/>
  <c r="F67" i="6" s="1"/>
  <c r="H66" i="6"/>
  <c r="H67" i="6" s="1"/>
  <c r="G66" i="6"/>
  <c r="G67" i="6" s="1"/>
  <c r="J64" i="6"/>
  <c r="J65" i="6" s="1"/>
  <c r="I64" i="6" l="1"/>
  <c r="I65" i="6" s="1"/>
  <c r="C64" i="6"/>
  <c r="G108" i="6"/>
  <c r="E66" i="6"/>
  <c r="J66" i="6"/>
  <c r="J67" i="6" s="1"/>
  <c r="I66" i="6"/>
  <c r="I67" i="6" s="1"/>
  <c r="E67" i="6" l="1"/>
  <c r="C67" i="6" s="1"/>
  <c r="C66" i="6"/>
  <c r="I36" i="6" l="1"/>
  <c r="G36" i="6"/>
  <c r="D36" i="6"/>
  <c r="E36" i="6" l="1"/>
  <c r="F36" i="6"/>
  <c r="H36" i="6"/>
  <c r="D108" i="6" l="1"/>
  <c r="F108" i="6" l="1"/>
  <c r="E108" i="6"/>
  <c r="H108" i="6" l="1"/>
  <c r="I108" i="6" l="1"/>
  <c r="J108" i="6"/>
  <c r="C108" i="6" s="1"/>
  <c r="C111" i="6" s="1"/>
  <c r="D96" i="6" l="1"/>
  <c r="F96" i="6" l="1"/>
  <c r="E96" i="6"/>
  <c r="G96" i="6"/>
  <c r="D110" i="6" l="1"/>
  <c r="D109" i="6" l="1"/>
  <c r="H96" i="6" l="1"/>
  <c r="I96" i="6"/>
  <c r="D75" i="6" l="1"/>
  <c r="J96" i="6" l="1"/>
  <c r="C96" i="6" s="1"/>
  <c r="D76" i="6"/>
  <c r="E110" i="6" l="1"/>
  <c r="E109" i="6" l="1"/>
  <c r="D37" i="6" l="1"/>
  <c r="E75" i="6" l="1"/>
  <c r="E76" i="6" l="1"/>
  <c r="D144" i="6" l="1"/>
  <c r="D145" i="6" s="1"/>
  <c r="F110" i="6" l="1"/>
  <c r="F109" i="6" l="1"/>
  <c r="F75" i="6" l="1"/>
  <c r="F76" i="6" l="1"/>
  <c r="G110" i="6" l="1"/>
  <c r="G109" i="6" l="1"/>
  <c r="G75" i="6" l="1"/>
  <c r="G76" i="6" l="1"/>
  <c r="H75" i="6"/>
  <c r="H76" i="6" l="1"/>
  <c r="I75" i="6"/>
  <c r="J75" i="6" l="1"/>
  <c r="C75" i="6" s="1"/>
  <c r="C77" i="6" s="1"/>
  <c r="I76" i="6"/>
  <c r="J76" i="6" l="1"/>
  <c r="H110" i="6" l="1"/>
  <c r="J110" i="6" l="1"/>
  <c r="I110" i="6"/>
  <c r="C110" i="6" l="1"/>
  <c r="H109" i="6" l="1"/>
  <c r="J109" i="6" l="1"/>
  <c r="I109" i="6"/>
  <c r="F37" i="6" l="1"/>
  <c r="E37" i="6"/>
  <c r="G37" i="6" l="1"/>
  <c r="E144" i="6" l="1"/>
  <c r="E145" i="6" s="1"/>
  <c r="F144" i="6" l="1"/>
  <c r="F145" i="6" s="1"/>
  <c r="I37" i="6" l="1"/>
  <c r="H37" i="6" l="1"/>
  <c r="H144" i="6" l="1"/>
  <c r="H145" i="6" s="1"/>
  <c r="G144" i="6"/>
  <c r="G145" i="6" s="1"/>
  <c r="J35" i="6" l="1"/>
  <c r="C35" i="6" s="1"/>
  <c r="J36" i="6" l="1"/>
  <c r="J37" i="6" l="1"/>
  <c r="C37" i="6" s="1"/>
</calcChain>
</file>

<file path=xl/sharedStrings.xml><?xml version="1.0" encoding="utf-8"?>
<sst xmlns="http://schemas.openxmlformats.org/spreadsheetml/2006/main" count="383" uniqueCount="156">
  <si>
    <t>Taux de marge / achats</t>
  </si>
  <si>
    <t>Taux inflation:</t>
  </si>
  <si>
    <t>Charges d'emprunts</t>
  </si>
  <si>
    <t>Date début année:</t>
  </si>
  <si>
    <t>Année:</t>
  </si>
  <si>
    <t>Date début simulation:</t>
  </si>
  <si>
    <t>Rubriques</t>
  </si>
  <si>
    <t>Résultat brut:</t>
  </si>
  <si>
    <t>Chiffre d'affaires</t>
  </si>
  <si>
    <t>Récap autres produit ou produits divers</t>
  </si>
  <si>
    <t>Total produit ou produits d'exploitation</t>
  </si>
  <si>
    <t>Achats matières</t>
  </si>
  <si>
    <t>Marge sur achats matières</t>
  </si>
  <si>
    <t>Charges externes ponctuelles</t>
  </si>
  <si>
    <t>Frais généraux et charges permanentes</t>
  </si>
  <si>
    <t>Leasings et locations longues durées</t>
  </si>
  <si>
    <t>Impôts et taxes:</t>
  </si>
  <si>
    <t>TVA/charges non récupérables</t>
  </si>
  <si>
    <t>Dirigeants non salariés (rémun + CS)</t>
  </si>
  <si>
    <t>Autres salaires + charges sociales</t>
  </si>
  <si>
    <t>Excédent brut d'exploitation (EBITDA):</t>
  </si>
  <si>
    <t>Dotation amortissements</t>
  </si>
  <si>
    <t>Frais de direction</t>
  </si>
  <si>
    <t>Résultat d'exploitation (EBIT):</t>
  </si>
  <si>
    <t>Autres charges financières</t>
  </si>
  <si>
    <t>Résultat financier:</t>
  </si>
  <si>
    <t>rubriques</t>
  </si>
  <si>
    <t>Prévisions année:  10</t>
  </si>
  <si>
    <t>contrôle</t>
  </si>
  <si>
    <t xml:space="preserve">Total échéances à payer: </t>
  </si>
  <si>
    <t>Total capital remboursé</t>
  </si>
  <si>
    <t>Total capital restant dû</t>
  </si>
  <si>
    <t>dont capital restant dû à la reprise</t>
  </si>
  <si>
    <t xml:space="preserve">Total intérêts </t>
  </si>
  <si>
    <t>Total intérêts, assurances et frais</t>
  </si>
  <si>
    <t>Tot. Int.+frais+assur hors différé</t>
  </si>
  <si>
    <t>Prévisions année:  11</t>
  </si>
  <si>
    <t>Prévisions pour 50 CAP (en MCFA):</t>
  </si>
  <si>
    <t>Total cumulé:</t>
  </si>
  <si>
    <t>Année 1:</t>
  </si>
  <si>
    <t>Année 2:</t>
  </si>
  <si>
    <t>Année 3:</t>
  </si>
  <si>
    <t>Prévisions pour 1 CAP  (en CFA):</t>
  </si>
  <si>
    <t>Total capital souscrit</t>
  </si>
  <si>
    <t>Total investissements:</t>
  </si>
  <si>
    <t>Total base amortissements:</t>
  </si>
  <si>
    <t>Total amortissement:</t>
  </si>
  <si>
    <t>Total investissement HT</t>
  </si>
  <si>
    <t>Total investissement TTC</t>
  </si>
  <si>
    <t>Total invest. corporels:</t>
  </si>
  <si>
    <t>Total invest. incorporels:</t>
  </si>
  <si>
    <t>Nb de CAP crées année 1</t>
  </si>
  <si>
    <t>Nb de CAP crées année 2</t>
  </si>
  <si>
    <t>Nb de CAP crées année 3</t>
  </si>
  <si>
    <t>Total 7 ans</t>
  </si>
  <si>
    <t>Investissement cumulé:</t>
  </si>
  <si>
    <t>Capital souscrit cumulé</t>
  </si>
  <si>
    <t>Investissement pour 1 CAP (en CFA):</t>
  </si>
  <si>
    <t>Base amortissements cumulés:</t>
  </si>
  <si>
    <t>Amortissements cumulés:</t>
  </si>
  <si>
    <t>Capital restant dû</t>
  </si>
  <si>
    <t>TRESORERIE 5 ANS</t>
  </si>
  <si>
    <t>BAGHARA  CAP 3 MOISSONS</t>
  </si>
  <si>
    <t>Résultats 7 ans:</t>
  </si>
  <si>
    <t>EMPRUNTS 7 ANS</t>
  </si>
  <si>
    <t>Tréso fin de période</t>
  </si>
  <si>
    <t>année 1</t>
  </si>
  <si>
    <t>année 2</t>
  </si>
  <si>
    <t>année 3</t>
  </si>
  <si>
    <t>année 4</t>
  </si>
  <si>
    <t>année 5</t>
  </si>
  <si>
    <t>Trésorerie pour 50 CAP (en MCFA):</t>
  </si>
  <si>
    <t>PREVISIONS 7 ANS:</t>
  </si>
  <si>
    <t>C.A.</t>
  </si>
  <si>
    <t>Prévisions immos pour 50 CAP (en MCFA):</t>
  </si>
  <si>
    <t>Immos financés en leasing pour 50 CAP (en MCFA):</t>
  </si>
  <si>
    <t>Total loyers:</t>
  </si>
  <si>
    <t>Loyers cumulés:</t>
  </si>
  <si>
    <t>Leasing pour 1 CAP (en CFA):</t>
  </si>
  <si>
    <t>INVESTISSEMENTS 7 ANS</t>
  </si>
  <si>
    <t>Nb de CAP crées par année:</t>
  </si>
  <si>
    <t>Investissements de l'année</t>
  </si>
  <si>
    <t>Investissements cumulés</t>
  </si>
  <si>
    <t>C.A. et Résultat:</t>
  </si>
  <si>
    <t>Investissements financés par emprunts:</t>
  </si>
  <si>
    <t>Investissements financés par leasing:</t>
  </si>
  <si>
    <t>Loyers</t>
  </si>
  <si>
    <t>Emprunts MT:</t>
  </si>
  <si>
    <t>souscriptions de l'année</t>
  </si>
  <si>
    <t>Endettement net</t>
  </si>
  <si>
    <t>Frais financiers</t>
  </si>
  <si>
    <t>Achats matière</t>
  </si>
  <si>
    <t>Taux marge / achats</t>
  </si>
  <si>
    <t>Trésorerie:</t>
  </si>
  <si>
    <t>Total 5 ans</t>
  </si>
  <si>
    <t>Trésorerie fin d'année</t>
  </si>
  <si>
    <t>Prévisions pour total des CAP</t>
  </si>
  <si>
    <t>Résultat net (hors IS)</t>
  </si>
  <si>
    <t xml:space="preserve">Trésorerie pour 1 CAP </t>
  </si>
  <si>
    <t xml:space="preserve">            en MCFA</t>
  </si>
  <si>
    <t>Investissements cumulés (en M€)</t>
  </si>
  <si>
    <t>Total souscriptions  (en M€)</t>
  </si>
  <si>
    <t>Trésorerie en M€:</t>
  </si>
  <si>
    <t>CA  (en M€):</t>
  </si>
  <si>
    <t>Consomation annuelle par CAP (kwh)</t>
  </si>
  <si>
    <t>P.U. du kwh en euros</t>
  </si>
  <si>
    <t>P.U. du kwh en CFA</t>
  </si>
  <si>
    <t>Consomation électrique en kwh</t>
  </si>
  <si>
    <t>Consomation électrique en CFA</t>
  </si>
  <si>
    <t>Consomation électrique en Mwh</t>
  </si>
  <si>
    <t>Consomation électrique en MCFA</t>
  </si>
  <si>
    <t>Consomation électrique</t>
  </si>
  <si>
    <t>Année</t>
  </si>
  <si>
    <t>au bout de 4 ans</t>
  </si>
  <si>
    <t>Puissance de crête necessaire sur 1 an                      (1 MWc = 1,8 GWh) en MWc</t>
  </si>
  <si>
    <t>II. Energie electrique</t>
  </si>
  <si>
    <t>Montants pour 50 CAP (en MCFA):</t>
  </si>
  <si>
    <t>Montant pour 1 CAP (en CFA):</t>
  </si>
  <si>
    <t>I. CA et Résultat pour 50 CAP (en MCFA):</t>
  </si>
  <si>
    <t>Montants pour 1 CAP (en CFA):</t>
  </si>
  <si>
    <t>Puissance de crête necessaire sur 1 an  en MWc   (1 MWc =&gt; 1,8 GWh)</t>
  </si>
  <si>
    <t xml:space="preserve">                                                                                                                                                        PU ne tenant compte que du coût des investissements NOUR (hors faibles coûts salariaux):</t>
  </si>
  <si>
    <t>MWc</t>
  </si>
  <si>
    <t>Consomation électrique en M€</t>
  </si>
  <si>
    <t>par CAP amorti sur 15 ans</t>
  </si>
  <si>
    <t>Detail immos:</t>
  </si>
  <si>
    <t>par CAP, amorti sur 15 ans</t>
  </si>
  <si>
    <t>Cashflow = EBITDA-CAPEX -D(BFR)-IS</t>
  </si>
  <si>
    <t>Prix suivent l'inflation</t>
  </si>
  <si>
    <t>Total</t>
  </si>
  <si>
    <t>CMPC</t>
  </si>
  <si>
    <t>CAPEX</t>
  </si>
  <si>
    <t>10 premières CAP</t>
  </si>
  <si>
    <t>Cash flow net</t>
  </si>
  <si>
    <t>CF net actualisé</t>
  </si>
  <si>
    <t>Bail 25 ans en usufruit sur le SMIC Agricole</t>
  </si>
  <si>
    <t xml:space="preserve">AN à 10 </t>
  </si>
  <si>
    <t>RN avant IS</t>
  </si>
  <si>
    <t>IMF</t>
  </si>
  <si>
    <t>VAN calculée sur les 10 premières années en MCFA</t>
  </si>
  <si>
    <t>Taux de change MCFA/€</t>
  </si>
  <si>
    <t>Production en début d'année 2</t>
  </si>
  <si>
    <t>IMF Impôt minimum forfaitaire</t>
  </si>
  <si>
    <t>3 CAP en plus dans Haraz</t>
  </si>
  <si>
    <t>1 CAP</t>
  </si>
  <si>
    <r>
      <t xml:space="preserve">50 premières CAP </t>
    </r>
    <r>
      <rPr>
        <sz val="12"/>
        <color theme="1"/>
        <rFont val="Calibri"/>
        <family val="2"/>
        <scheme val="minor"/>
      </rPr>
      <t>(étape 1)</t>
    </r>
  </si>
  <si>
    <t>VAN à 10 ans d'1 CAP en MCFA</t>
  </si>
  <si>
    <t>VAN à 10 ans d'1 CAP en M€</t>
  </si>
  <si>
    <t>VAN à 10 ans de 10 CAP en MCFA</t>
  </si>
  <si>
    <t>VAN à 10 ans de 10 CAP en M€</t>
  </si>
  <si>
    <t>Taux actualisation 1 CAP</t>
  </si>
  <si>
    <t>C.A. constant 7 ans après la mise en service</t>
  </si>
  <si>
    <t>VAN à 12 ans de 50 CAP en M€</t>
  </si>
  <si>
    <t>VAN à 12 ans de 50 CAP en MCFA</t>
  </si>
  <si>
    <t>VAN à 10 ans 50 CAP en MCFA</t>
  </si>
  <si>
    <t>VAN à 10 ans 50 CAP en M€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</si>
</sst>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#,##0\ &quot;€&quot;;[Red]\-#,##0\ &quot;€&quot;"/>
    <numFmt numFmtId="164" formatCode="0.0%"/>
    <numFmt numFmtId="165" formatCode="#,##0.0"/>
    <numFmt numFmtId="166" formatCode="#,##0.0&quot; M€&quot;"/>
    <numFmt numFmtId="167" formatCode="#,##0.00\ &quot;€&quot;"/>
    <numFmt numFmtId="168" formatCode="#,##0.00\ [$CFA-340C]"/>
    <numFmt numFmtId="169" formatCode="0.0"/>
  </numFmts>
  <fonts count="1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gray0625"/>
    </fill>
    <fill>
      <patternFill patternType="gray0625">
        <bgColor theme="4" tint="0.79998168889431442"/>
      </patternFill>
    </fill>
    <fill>
      <patternFill patternType="solid">
        <fgColor indexed="65"/>
        <bgColor indexed="64"/>
      </patternFill>
    </fill>
    <fill>
      <patternFill patternType="gray0625">
        <bgColor rgb="FFFFFF99"/>
      </patternFill>
    </fill>
    <fill>
      <patternFill patternType="solid">
        <fgColor theme="3" tint="0.599963377788628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thin">
        <color auto="1"/>
      </right>
      <top style="dashed">
        <color auto="1"/>
      </top>
      <bottom/>
      <diagonal/>
    </border>
    <border>
      <left/>
      <right style="thin">
        <color auto="1"/>
      </right>
      <top style="dashed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dashed">
        <color auto="1"/>
      </bottom>
      <diagonal/>
    </border>
    <border>
      <left style="medium">
        <color auto="1"/>
      </left>
      <right style="thin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/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dashed">
        <color auto="1"/>
      </top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dashed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ashed">
        <color auto="1"/>
      </bottom>
      <diagonal/>
    </border>
    <border>
      <left style="thin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thin">
        <color indexed="64"/>
      </left>
      <right style="thin">
        <color indexed="64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ashed">
        <color auto="1"/>
      </bottom>
      <diagonal/>
    </border>
    <border>
      <left style="thin">
        <color auto="1"/>
      </left>
      <right/>
      <top style="medium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ash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dashed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/>
      <diagonal/>
    </border>
    <border>
      <left/>
      <right/>
      <top style="dashed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/>
      <top style="dashed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</borders>
  <cellStyleXfs count="1">
    <xf numFmtId="0" fontId="0" fillId="0" borderId="0"/>
  </cellStyleXfs>
  <cellXfs count="190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3" fontId="4" fillId="0" borderId="7" xfId="0" applyNumberFormat="1" applyFont="1" applyBorder="1" applyAlignment="1">
      <alignment vertical="center" wrapText="1"/>
    </xf>
    <xf numFmtId="3" fontId="0" fillId="0" borderId="8" xfId="0" applyNumberFormat="1" applyBorder="1" applyAlignment="1">
      <alignment horizontal="center" vertical="center"/>
    </xf>
    <xf numFmtId="3" fontId="7" fillId="3" borderId="7" xfId="0" applyNumberFormat="1" applyFont="1" applyFill="1" applyBorder="1" applyAlignment="1">
      <alignment vertical="center" wrapText="1"/>
    </xf>
    <xf numFmtId="3" fontId="6" fillId="3" borderId="8" xfId="0" applyNumberFormat="1" applyFont="1" applyFill="1" applyBorder="1" applyAlignment="1">
      <alignment horizontal="center" vertical="center"/>
    </xf>
    <xf numFmtId="3" fontId="4" fillId="0" borderId="9" xfId="0" applyNumberFormat="1" applyFont="1" applyBorder="1" applyAlignment="1">
      <alignment vertical="center" wrapText="1"/>
    </xf>
    <xf numFmtId="3" fontId="7" fillId="3" borderId="11" xfId="0" applyNumberFormat="1" applyFont="1" applyFill="1" applyBorder="1" applyAlignment="1">
      <alignment vertical="center" wrapText="1"/>
    </xf>
    <xf numFmtId="3" fontId="6" fillId="3" borderId="12" xfId="0" applyNumberFormat="1" applyFont="1" applyFill="1" applyBorder="1" applyAlignment="1">
      <alignment horizontal="center" vertical="center"/>
    </xf>
    <xf numFmtId="3" fontId="4" fillId="0" borderId="13" xfId="0" applyNumberFormat="1" applyFont="1" applyBorder="1" applyAlignment="1">
      <alignment vertical="center" wrapText="1"/>
    </xf>
    <xf numFmtId="3" fontId="6" fillId="0" borderId="7" xfId="0" applyNumberFormat="1" applyFont="1" applyBorder="1" applyAlignment="1">
      <alignment vertical="center" wrapText="1"/>
    </xf>
    <xf numFmtId="3" fontId="6" fillId="3" borderId="7" xfId="0" applyNumberFormat="1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4" fillId="0" borderId="0" xfId="0" applyFont="1"/>
    <xf numFmtId="164" fontId="6" fillId="3" borderId="8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2" xfId="0" applyBorder="1"/>
    <xf numFmtId="3" fontId="6" fillId="3" borderId="23" xfId="0" applyNumberFormat="1" applyFont="1" applyFill="1" applyBorder="1" applyAlignment="1">
      <alignment horizontal="center" vertical="center"/>
    </xf>
    <xf numFmtId="3" fontId="6" fillId="3" borderId="25" xfId="0" applyNumberFormat="1" applyFont="1" applyFill="1" applyBorder="1" applyAlignment="1">
      <alignment horizontal="center" vertical="center"/>
    </xf>
    <xf numFmtId="0" fontId="8" fillId="0" borderId="0" xfId="0" applyFont="1"/>
    <xf numFmtId="0" fontId="4" fillId="0" borderId="0" xfId="0" applyFont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0" fontId="4" fillId="0" borderId="29" xfId="0" applyFont="1" applyBorder="1" applyAlignment="1">
      <alignment vertical="center" wrapText="1"/>
    </xf>
    <xf numFmtId="3" fontId="0" fillId="4" borderId="30" xfId="0" applyNumberFormat="1" applyFill="1" applyBorder="1" applyAlignment="1">
      <alignment vertical="center"/>
    </xf>
    <xf numFmtId="3" fontId="0" fillId="4" borderId="19" xfId="0" applyNumberFormat="1" applyFill="1" applyBorder="1" applyAlignment="1">
      <alignment vertical="center"/>
    </xf>
    <xf numFmtId="3" fontId="0" fillId="4" borderId="16" xfId="0" applyNumberFormat="1" applyFill="1" applyBorder="1" applyAlignment="1">
      <alignment vertical="center"/>
    </xf>
    <xf numFmtId="0" fontId="0" fillId="4" borderId="0" xfId="0" applyFill="1" applyAlignment="1">
      <alignment vertical="center"/>
    </xf>
    <xf numFmtId="3" fontId="0" fillId="4" borderId="10" xfId="0" applyNumberFormat="1" applyFill="1" applyBorder="1" applyAlignment="1">
      <alignment vertical="center"/>
    </xf>
    <xf numFmtId="3" fontId="0" fillId="4" borderId="32" xfId="0" applyNumberFormat="1" applyFill="1" applyBorder="1" applyAlignment="1">
      <alignment vertical="center"/>
    </xf>
    <xf numFmtId="0" fontId="4" fillId="0" borderId="0" xfId="0" applyFont="1" applyAlignment="1">
      <alignment vertical="center"/>
    </xf>
    <xf numFmtId="3" fontId="0" fillId="7" borderId="19" xfId="0" applyNumberFormat="1" applyFill="1" applyBorder="1" applyAlignment="1" applyProtection="1">
      <alignment vertical="center"/>
      <protection locked="0"/>
    </xf>
    <xf numFmtId="3" fontId="0" fillId="4" borderId="36" xfId="0" applyNumberFormat="1" applyFill="1" applyBorder="1" applyAlignment="1">
      <alignment vertical="center"/>
    </xf>
    <xf numFmtId="3" fontId="0" fillId="6" borderId="37" xfId="0" applyNumberFormat="1" applyFill="1" applyBorder="1" applyAlignment="1">
      <alignment vertical="center"/>
    </xf>
    <xf numFmtId="0" fontId="7" fillId="3" borderId="33" xfId="0" applyFont="1" applyFill="1" applyBorder="1" applyAlignment="1">
      <alignment horizontal="center" vertical="center" wrapText="1"/>
    </xf>
    <xf numFmtId="3" fontId="6" fillId="3" borderId="34" xfId="0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6" fillId="3" borderId="7" xfId="0" applyFont="1" applyFill="1" applyBorder="1" applyAlignment="1">
      <alignment horizontal="center" vertical="center" wrapText="1"/>
    </xf>
    <xf numFmtId="3" fontId="6" fillId="3" borderId="20" xfId="0" applyNumberFormat="1" applyFont="1" applyFill="1" applyBorder="1" applyAlignment="1">
      <alignment vertical="center"/>
    </xf>
    <xf numFmtId="0" fontId="6" fillId="3" borderId="9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3" fontId="4" fillId="3" borderId="38" xfId="0" applyNumberFormat="1" applyFont="1" applyFill="1" applyBorder="1" applyAlignment="1">
      <alignment vertical="center"/>
    </xf>
    <xf numFmtId="0" fontId="6" fillId="2" borderId="40" xfId="0" applyFont="1" applyFill="1" applyBorder="1" applyAlignment="1">
      <alignment horizontal="center" vertical="center" wrapText="1"/>
    </xf>
    <xf numFmtId="3" fontId="0" fillId="0" borderId="0" xfId="0" applyNumberFormat="1"/>
    <xf numFmtId="3" fontId="4" fillId="0" borderId="0" xfId="0" applyNumberFormat="1" applyFont="1"/>
    <xf numFmtId="0" fontId="6" fillId="2" borderId="27" xfId="0" applyFont="1" applyFill="1" applyBorder="1" applyAlignment="1">
      <alignment horizontal="centerContinuous" vertical="center" wrapText="1"/>
    </xf>
    <xf numFmtId="3" fontId="6" fillId="3" borderId="35" xfId="0" applyNumberFormat="1" applyFont="1" applyFill="1" applyBorder="1" applyAlignment="1">
      <alignment vertical="center"/>
    </xf>
    <xf numFmtId="3" fontId="6" fillId="3" borderId="16" xfId="0" applyNumberFormat="1" applyFont="1" applyFill="1" applyBorder="1" applyAlignment="1">
      <alignment vertical="center"/>
    </xf>
    <xf numFmtId="3" fontId="6" fillId="3" borderId="17" xfId="0" applyNumberFormat="1" applyFont="1" applyFill="1" applyBorder="1" applyAlignment="1">
      <alignment vertical="center"/>
    </xf>
    <xf numFmtId="3" fontId="4" fillId="3" borderId="21" xfId="0" applyNumberFormat="1" applyFont="1" applyFill="1" applyBorder="1" applyAlignment="1">
      <alignment vertical="center"/>
    </xf>
    <xf numFmtId="3" fontId="4" fillId="0" borderId="0" xfId="0" applyNumberFormat="1" applyFont="1" applyAlignment="1">
      <alignment horizontal="center" vertical="center"/>
    </xf>
    <xf numFmtId="3" fontId="4" fillId="0" borderId="23" xfId="0" applyNumberFormat="1" applyFont="1" applyBorder="1" applyAlignment="1">
      <alignment vertical="center" wrapText="1"/>
    </xf>
    <xf numFmtId="3" fontId="4" fillId="0" borderId="24" xfId="0" applyNumberFormat="1" applyFont="1" applyBorder="1" applyAlignment="1">
      <alignment vertical="center" wrapText="1"/>
    </xf>
    <xf numFmtId="3" fontId="4" fillId="0" borderId="26" xfId="0" applyNumberFormat="1" applyFont="1" applyBorder="1" applyAlignment="1">
      <alignment vertical="center" wrapText="1"/>
    </xf>
    <xf numFmtId="3" fontId="6" fillId="0" borderId="23" xfId="0" applyNumberFormat="1" applyFont="1" applyBorder="1" applyAlignment="1">
      <alignment vertical="center" wrapText="1"/>
    </xf>
    <xf numFmtId="3" fontId="6" fillId="3" borderId="23" xfId="0" applyNumberFormat="1" applyFont="1" applyFill="1" applyBorder="1" applyAlignment="1">
      <alignment vertical="center" wrapText="1"/>
    </xf>
    <xf numFmtId="3" fontId="4" fillId="0" borderId="0" xfId="0" applyNumberFormat="1" applyFont="1" applyAlignment="1">
      <alignment vertical="center"/>
    </xf>
    <xf numFmtId="0" fontId="4" fillId="0" borderId="0" xfId="0" applyFont="1" applyAlignment="1">
      <alignment horizontal="right" vertical="center"/>
    </xf>
    <xf numFmtId="0" fontId="6" fillId="2" borderId="15" xfId="0" applyFont="1" applyFill="1" applyBorder="1" applyAlignment="1">
      <alignment horizontal="center" vertical="center" wrapText="1"/>
    </xf>
    <xf numFmtId="3" fontId="9" fillId="0" borderId="0" xfId="0" applyNumberFormat="1" applyFont="1"/>
    <xf numFmtId="0" fontId="5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0" borderId="0" xfId="0" applyFont="1"/>
    <xf numFmtId="9" fontId="0" fillId="0" borderId="0" xfId="0" applyNumberFormat="1"/>
    <xf numFmtId="3" fontId="4" fillId="0" borderId="0" xfId="0" applyNumberFormat="1" applyFont="1" applyAlignment="1">
      <alignment horizontal="center"/>
    </xf>
    <xf numFmtId="3" fontId="4" fillId="0" borderId="29" xfId="0" applyNumberFormat="1" applyFont="1" applyBorder="1" applyAlignment="1">
      <alignment horizontal="center" vertical="center"/>
    </xf>
    <xf numFmtId="0" fontId="6" fillId="2" borderId="15" xfId="0" applyFont="1" applyFill="1" applyBorder="1" applyAlignment="1">
      <alignment horizontal="centerContinuous" vertical="center" wrapText="1"/>
    </xf>
    <xf numFmtId="3" fontId="6" fillId="3" borderId="41" xfId="0" applyNumberFormat="1" applyFont="1" applyFill="1" applyBorder="1" applyAlignment="1">
      <alignment vertical="center"/>
    </xf>
    <xf numFmtId="3" fontId="6" fillId="3" borderId="31" xfId="0" applyNumberFormat="1" applyFont="1" applyFill="1" applyBorder="1" applyAlignment="1">
      <alignment vertical="center"/>
    </xf>
    <xf numFmtId="3" fontId="4" fillId="3" borderId="39" xfId="0" applyNumberFormat="1" applyFont="1" applyFill="1" applyBorder="1" applyAlignment="1">
      <alignment vertical="center"/>
    </xf>
    <xf numFmtId="0" fontId="5" fillId="0" borderId="0" xfId="0" applyFont="1" applyAlignment="1">
      <alignment horizontal="center"/>
    </xf>
    <xf numFmtId="0" fontId="10" fillId="0" borderId="0" xfId="0" applyFont="1"/>
    <xf numFmtId="0" fontId="5" fillId="0" borderId="0" xfId="0" applyFont="1"/>
    <xf numFmtId="14" fontId="5" fillId="0" borderId="0" xfId="0" applyNumberFormat="1" applyFont="1"/>
    <xf numFmtId="3" fontId="5" fillId="0" borderId="0" xfId="0" applyNumberFormat="1" applyFont="1"/>
    <xf numFmtId="14" fontId="5" fillId="0" borderId="18" xfId="0" applyNumberFormat="1" applyFont="1" applyBorder="1"/>
    <xf numFmtId="3" fontId="10" fillId="0" borderId="0" xfId="0" applyNumberFormat="1" applyFont="1"/>
    <xf numFmtId="0" fontId="5" fillId="0" borderId="0" xfId="0" applyFont="1" applyAlignment="1">
      <alignment horizontal="center" vertical="center"/>
    </xf>
    <xf numFmtId="4" fontId="4" fillId="3" borderId="42" xfId="0" applyNumberFormat="1" applyFont="1" applyFill="1" applyBorder="1" applyAlignment="1">
      <alignment horizontal="center" vertical="center"/>
    </xf>
    <xf numFmtId="3" fontId="4" fillId="3" borderId="42" xfId="0" applyNumberFormat="1" applyFont="1" applyFill="1" applyBorder="1"/>
    <xf numFmtId="3" fontId="4" fillId="3" borderId="18" xfId="0" applyNumberFormat="1" applyFont="1" applyFill="1" applyBorder="1" applyAlignment="1">
      <alignment horizontal="center"/>
    </xf>
    <xf numFmtId="4" fontId="4" fillId="5" borderId="42" xfId="0" applyNumberFormat="1" applyFont="1" applyFill="1" applyBorder="1" applyAlignment="1">
      <alignment horizontal="center" vertical="center"/>
    </xf>
    <xf numFmtId="3" fontId="4" fillId="5" borderId="42" xfId="0" applyNumberFormat="1" applyFont="1" applyFill="1" applyBorder="1"/>
    <xf numFmtId="3" fontId="4" fillId="5" borderId="18" xfId="0" applyNumberFormat="1" applyFont="1" applyFill="1" applyBorder="1" applyAlignment="1">
      <alignment horizontal="center"/>
    </xf>
    <xf numFmtId="3" fontId="6" fillId="3" borderId="25" xfId="0" applyNumberFormat="1" applyFont="1" applyFill="1" applyBorder="1" applyAlignment="1">
      <alignment vertical="center" wrapText="1"/>
    </xf>
    <xf numFmtId="0" fontId="7" fillId="3" borderId="43" xfId="0" applyFont="1" applyFill="1" applyBorder="1" applyAlignment="1">
      <alignment horizontal="center" vertical="center" wrapText="1"/>
    </xf>
    <xf numFmtId="0" fontId="6" fillId="3" borderId="44" xfId="0" applyFont="1" applyFill="1" applyBorder="1" applyAlignment="1">
      <alignment horizontal="center" vertical="center" wrapText="1"/>
    </xf>
    <xf numFmtId="0" fontId="6" fillId="3" borderId="45" xfId="0" applyFont="1" applyFill="1" applyBorder="1" applyAlignment="1">
      <alignment horizontal="center" vertical="center" wrapText="1"/>
    </xf>
    <xf numFmtId="0" fontId="4" fillId="3" borderId="46" xfId="0" applyFont="1" applyFill="1" applyBorder="1" applyAlignment="1">
      <alignment horizontal="center" vertical="center" wrapText="1"/>
    </xf>
    <xf numFmtId="3" fontId="6" fillId="3" borderId="30" xfId="0" applyNumberFormat="1" applyFont="1" applyFill="1" applyBorder="1" applyAlignment="1">
      <alignment horizontal="center" vertical="center" wrapText="1"/>
    </xf>
    <xf numFmtId="3" fontId="6" fillId="3" borderId="16" xfId="0" applyNumberFormat="1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 wrapText="1"/>
    </xf>
    <xf numFmtId="3" fontId="6" fillId="3" borderId="49" xfId="0" applyNumberFormat="1" applyFont="1" applyFill="1" applyBorder="1" applyAlignment="1">
      <alignment vertical="center"/>
    </xf>
    <xf numFmtId="3" fontId="6" fillId="3" borderId="47" xfId="0" applyNumberFormat="1" applyFont="1" applyFill="1" applyBorder="1" applyAlignment="1">
      <alignment vertical="center"/>
    </xf>
    <xf numFmtId="3" fontId="7" fillId="3" borderId="14" xfId="0" applyNumberFormat="1" applyFont="1" applyFill="1" applyBorder="1" applyAlignment="1">
      <alignment vertical="center" wrapText="1"/>
    </xf>
    <xf numFmtId="3" fontId="6" fillId="3" borderId="52" xfId="0" applyNumberFormat="1" applyFont="1" applyFill="1" applyBorder="1" applyAlignment="1">
      <alignment vertical="center" wrapText="1"/>
    </xf>
    <xf numFmtId="3" fontId="6" fillId="3" borderId="52" xfId="0" applyNumberFormat="1" applyFont="1" applyFill="1" applyBorder="1" applyAlignment="1">
      <alignment horizontal="center" vertical="center"/>
    </xf>
    <xf numFmtId="3" fontId="6" fillId="3" borderId="51" xfId="0" applyNumberFormat="1" applyFont="1" applyFill="1" applyBorder="1" applyAlignment="1">
      <alignment horizontal="center" vertical="center"/>
    </xf>
    <xf numFmtId="14" fontId="6" fillId="0" borderId="0" xfId="0" applyNumberFormat="1" applyFont="1"/>
    <xf numFmtId="9" fontId="6" fillId="0" borderId="0" xfId="0" applyNumberFormat="1" applyFont="1"/>
    <xf numFmtId="3" fontId="6" fillId="0" borderId="0" xfId="0" applyNumberFormat="1" applyFont="1"/>
    <xf numFmtId="0" fontId="3" fillId="0" borderId="0" xfId="0" applyFont="1"/>
    <xf numFmtId="0" fontId="6" fillId="0" borderId="18" xfId="0" applyFont="1" applyBorder="1" applyAlignment="1">
      <alignment horizontal="center"/>
    </xf>
    <xf numFmtId="3" fontId="6" fillId="0" borderId="18" xfId="0" applyNumberFormat="1" applyFont="1" applyBorder="1" applyAlignment="1">
      <alignment horizontal="center"/>
    </xf>
    <xf numFmtId="4" fontId="6" fillId="3" borderId="48" xfId="0" applyNumberFormat="1" applyFont="1" applyFill="1" applyBorder="1" applyAlignment="1">
      <alignment horizontal="center" vertical="center"/>
    </xf>
    <xf numFmtId="3" fontId="6" fillId="3" borderId="48" xfId="0" applyNumberFormat="1" applyFont="1" applyFill="1" applyBorder="1"/>
    <xf numFmtId="3" fontId="6" fillId="3" borderId="50" xfId="0" applyNumberFormat="1" applyFont="1" applyFill="1" applyBorder="1" applyAlignment="1">
      <alignment horizontal="center"/>
    </xf>
    <xf numFmtId="4" fontId="6" fillId="5" borderId="42" xfId="0" applyNumberFormat="1" applyFont="1" applyFill="1" applyBorder="1" applyAlignment="1">
      <alignment horizontal="center" vertical="center"/>
    </xf>
    <xf numFmtId="3" fontId="6" fillId="5" borderId="42" xfId="0" applyNumberFormat="1" applyFont="1" applyFill="1" applyBorder="1"/>
    <xf numFmtId="3" fontId="6" fillId="5" borderId="18" xfId="0" applyNumberFormat="1" applyFont="1" applyFill="1" applyBorder="1" applyAlignment="1">
      <alignment horizontal="center"/>
    </xf>
    <xf numFmtId="4" fontId="6" fillId="3" borderId="42" xfId="0" applyNumberFormat="1" applyFont="1" applyFill="1" applyBorder="1" applyAlignment="1">
      <alignment horizontal="center" vertical="center"/>
    </xf>
    <xf numFmtId="3" fontId="6" fillId="3" borderId="42" xfId="0" applyNumberFormat="1" applyFont="1" applyFill="1" applyBorder="1"/>
    <xf numFmtId="3" fontId="6" fillId="3" borderId="18" xfId="0" applyNumberFormat="1" applyFont="1" applyFill="1" applyBorder="1" applyAlignment="1">
      <alignment horizontal="center"/>
    </xf>
    <xf numFmtId="0" fontId="4" fillId="0" borderId="29" xfId="0" applyFont="1" applyBorder="1" applyAlignment="1">
      <alignment horizontal="center" vertical="center" wrapText="1"/>
    </xf>
    <xf numFmtId="0" fontId="2" fillId="0" borderId="0" xfId="0" applyFont="1"/>
    <xf numFmtId="0" fontId="11" fillId="2" borderId="27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vertical="center"/>
    </xf>
    <xf numFmtId="165" fontId="12" fillId="3" borderId="2" xfId="0" applyNumberFormat="1" applyFont="1" applyFill="1" applyBorder="1"/>
    <xf numFmtId="165" fontId="12" fillId="3" borderId="3" xfId="0" applyNumberFormat="1" applyFont="1" applyFill="1" applyBorder="1"/>
    <xf numFmtId="0" fontId="12" fillId="3" borderId="2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vertical="center"/>
    </xf>
    <xf numFmtId="3" fontId="6" fillId="3" borderId="48" xfId="0" applyNumberFormat="1" applyFont="1" applyFill="1" applyBorder="1" applyAlignment="1">
      <alignment vertical="center"/>
    </xf>
    <xf numFmtId="3" fontId="6" fillId="3" borderId="19" xfId="0" applyNumberFormat="1" applyFont="1" applyFill="1" applyBorder="1" applyAlignment="1">
      <alignment vertical="center"/>
    </xf>
    <xf numFmtId="3" fontId="6" fillId="3" borderId="50" xfId="0" applyNumberFormat="1" applyFont="1" applyFill="1" applyBorder="1" applyAlignment="1">
      <alignment vertical="center"/>
    </xf>
    <xf numFmtId="3" fontId="6" fillId="3" borderId="53" xfId="0" applyNumberFormat="1" applyFont="1" applyFill="1" applyBorder="1" applyAlignment="1">
      <alignment vertical="center"/>
    </xf>
    <xf numFmtId="3" fontId="13" fillId="0" borderId="0" xfId="0" applyNumberFormat="1" applyFont="1"/>
    <xf numFmtId="0" fontId="13" fillId="0" borderId="0" xfId="0" applyFont="1"/>
    <xf numFmtId="0" fontId="0" fillId="0" borderId="0" xfId="0" applyAlignment="1">
      <alignment horizontal="centerContinuous"/>
    </xf>
    <xf numFmtId="3" fontId="6" fillId="3" borderId="54" xfId="0" applyNumberFormat="1" applyFont="1" applyFill="1" applyBorder="1" applyAlignment="1">
      <alignment vertical="center"/>
    </xf>
    <xf numFmtId="164" fontId="6" fillId="3" borderId="49" xfId="0" applyNumberFormat="1" applyFont="1" applyFill="1" applyBorder="1" applyAlignment="1">
      <alignment vertical="center"/>
    </xf>
    <xf numFmtId="164" fontId="6" fillId="3" borderId="19" xfId="0" applyNumberFormat="1" applyFont="1" applyFill="1" applyBorder="1" applyAlignment="1">
      <alignment vertical="center"/>
    </xf>
    <xf numFmtId="3" fontId="14" fillId="0" borderId="0" xfId="0" applyNumberFormat="1" applyFont="1"/>
    <xf numFmtId="0" fontId="15" fillId="0" borderId="0" xfId="0" applyFont="1"/>
    <xf numFmtId="14" fontId="4" fillId="0" borderId="0" xfId="0" applyNumberFormat="1" applyFont="1"/>
    <xf numFmtId="3" fontId="9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6" fontId="4" fillId="0" borderId="0" xfId="0" applyNumberFormat="1" applyFont="1"/>
    <xf numFmtId="166" fontId="6" fillId="3" borderId="49" xfId="0" applyNumberFormat="1" applyFont="1" applyFill="1" applyBorder="1" applyAlignment="1">
      <alignment vertical="center"/>
    </xf>
    <xf numFmtId="166" fontId="6" fillId="3" borderId="19" xfId="0" applyNumberFormat="1" applyFont="1" applyFill="1" applyBorder="1" applyAlignment="1">
      <alignment vertical="center"/>
    </xf>
    <xf numFmtId="166" fontId="6" fillId="3" borderId="18" xfId="0" applyNumberFormat="1" applyFont="1" applyFill="1" applyBorder="1" applyAlignment="1">
      <alignment vertical="center"/>
    </xf>
    <xf numFmtId="3" fontId="6" fillId="3" borderId="0" xfId="0" applyNumberFormat="1" applyFont="1" applyFill="1" applyAlignment="1">
      <alignment vertical="center"/>
    </xf>
    <xf numFmtId="0" fontId="1" fillId="0" borderId="0" xfId="0" applyFont="1"/>
    <xf numFmtId="3" fontId="6" fillId="0" borderId="0" xfId="0" applyNumberFormat="1" applyFont="1" applyAlignment="1">
      <alignment horizontal="center"/>
    </xf>
    <xf numFmtId="4" fontId="4" fillId="0" borderId="0" xfId="0" applyNumberFormat="1" applyFont="1" applyAlignment="1">
      <alignment vertical="center"/>
    </xf>
    <xf numFmtId="3" fontId="6" fillId="2" borderId="1" xfId="0" applyNumberFormat="1" applyFont="1" applyFill="1" applyBorder="1" applyAlignment="1">
      <alignment horizontal="center" vertical="center" wrapText="1"/>
    </xf>
    <xf numFmtId="167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 wrapText="1"/>
    </xf>
    <xf numFmtId="165" fontId="0" fillId="0" borderId="0" xfId="0" applyNumberFormat="1" applyAlignment="1">
      <alignment vertical="center"/>
    </xf>
    <xf numFmtId="3" fontId="11" fillId="0" borderId="0" xfId="0" applyNumberFormat="1" applyFont="1"/>
    <xf numFmtId="0" fontId="9" fillId="0" borderId="0" xfId="0" applyFont="1"/>
    <xf numFmtId="4" fontId="6" fillId="3" borderId="48" xfId="0" applyNumberFormat="1" applyFont="1" applyFill="1" applyBorder="1" applyAlignment="1">
      <alignment vertical="center" wrapText="1"/>
    </xf>
    <xf numFmtId="165" fontId="6" fillId="3" borderId="49" xfId="0" applyNumberFormat="1" applyFont="1" applyFill="1" applyBorder="1" applyAlignment="1">
      <alignment vertical="center"/>
    </xf>
    <xf numFmtId="165" fontId="6" fillId="3" borderId="19" xfId="0" applyNumberFormat="1" applyFont="1" applyFill="1" applyBorder="1" applyAlignment="1">
      <alignment vertical="center"/>
    </xf>
    <xf numFmtId="6" fontId="4" fillId="0" borderId="0" xfId="0" applyNumberFormat="1" applyFont="1" applyAlignment="1">
      <alignment horizontal="center"/>
    </xf>
    <xf numFmtId="3" fontId="6" fillId="3" borderId="49" xfId="0" applyNumberFormat="1" applyFont="1" applyFill="1" applyBorder="1" applyAlignment="1">
      <alignment horizontal="center" vertical="center"/>
    </xf>
    <xf numFmtId="167" fontId="0" fillId="0" borderId="0" xfId="0" applyNumberFormat="1"/>
    <xf numFmtId="168" fontId="4" fillId="0" borderId="0" xfId="0" applyNumberFormat="1" applyFont="1" applyAlignment="1">
      <alignment vertical="center"/>
    </xf>
    <xf numFmtId="3" fontId="4" fillId="0" borderId="18" xfId="0" applyNumberFormat="1" applyFont="1" applyBorder="1"/>
    <xf numFmtId="164" fontId="0" fillId="0" borderId="0" xfId="0" applyNumberFormat="1"/>
    <xf numFmtId="3" fontId="4" fillId="0" borderId="8" xfId="0" applyNumberFormat="1" applyFont="1" applyBorder="1" applyAlignment="1">
      <alignment horizontal="center" vertical="center"/>
    </xf>
    <xf numFmtId="164" fontId="4" fillId="0" borderId="0" xfId="0" applyNumberFormat="1" applyFont="1"/>
    <xf numFmtId="4" fontId="6" fillId="3" borderId="48" xfId="0" applyNumberFormat="1" applyFont="1" applyFill="1" applyBorder="1" applyAlignment="1">
      <alignment vertical="center"/>
    </xf>
    <xf numFmtId="4" fontId="6" fillId="3" borderId="18" xfId="0" applyNumberFormat="1" applyFont="1" applyFill="1" applyBorder="1" applyAlignment="1">
      <alignment vertical="center"/>
    </xf>
    <xf numFmtId="0" fontId="11" fillId="0" borderId="0" xfId="0" applyFont="1"/>
    <xf numFmtId="2" fontId="0" fillId="0" borderId="0" xfId="0" applyNumberFormat="1"/>
    <xf numFmtId="0" fontId="0" fillId="9" borderId="0" xfId="0" applyFill="1" applyAlignment="1">
      <alignment horizontal="left"/>
    </xf>
    <xf numFmtId="3" fontId="0" fillId="0" borderId="0" xfId="0" applyNumberFormat="1" applyAlignment="1">
      <alignment horizontal="center"/>
    </xf>
    <xf numFmtId="9" fontId="0" fillId="9" borderId="0" xfId="0" applyNumberFormat="1" applyFill="1" applyAlignment="1">
      <alignment horizontal="center"/>
    </xf>
    <xf numFmtId="4" fontId="0" fillId="0" borderId="0" xfId="0" applyNumberFormat="1"/>
    <xf numFmtId="4" fontId="4" fillId="0" borderId="0" xfId="0" applyNumberFormat="1" applyFont="1"/>
    <xf numFmtId="2" fontId="0" fillId="9" borderId="0" xfId="0" applyNumberFormat="1" applyFill="1" applyAlignment="1">
      <alignment horizontal="center"/>
    </xf>
    <xf numFmtId="0" fontId="6" fillId="0" borderId="0" xfId="0" applyFont="1" applyAlignment="1">
      <alignment horizontal="center"/>
    </xf>
    <xf numFmtId="0" fontId="4" fillId="10" borderId="0" xfId="0" applyFont="1" applyFill="1"/>
    <xf numFmtId="4" fontId="4" fillId="10" borderId="0" xfId="0" applyNumberFormat="1" applyFont="1" applyFill="1"/>
    <xf numFmtId="165" fontId="4" fillId="10" borderId="0" xfId="0" applyNumberFormat="1" applyFont="1" applyFill="1"/>
    <xf numFmtId="10" fontId="0" fillId="9" borderId="0" xfId="0" applyNumberFormat="1" applyFill="1" applyAlignment="1">
      <alignment horizontal="center"/>
    </xf>
    <xf numFmtId="0" fontId="16" fillId="0" borderId="0" xfId="0" applyFont="1"/>
    <xf numFmtId="4" fontId="16" fillId="0" borderId="0" xfId="0" applyNumberFormat="1" applyFont="1"/>
    <xf numFmtId="169" fontId="1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1"/>
          <c:tx>
            <c:v>C.A.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'1 CAP'!$D$33:$J$33</c:f>
              <c:numCache>
                <c:formatCode>#,##0</c:formatCode>
                <c:ptCount val="7"/>
                <c:pt idx="0">
                  <c:v>0</c:v>
                </c:pt>
                <c:pt idx="1">
                  <c:v>218.11173999999994</c:v>
                </c:pt>
                <c:pt idx="2">
                  <c:v>280.32445649999994</c:v>
                </c:pt>
                <c:pt idx="3">
                  <c:v>346.64504777499997</c:v>
                </c:pt>
                <c:pt idx="4">
                  <c:v>395.34723770874996</c:v>
                </c:pt>
                <c:pt idx="5">
                  <c:v>437.3834559561875</c:v>
                </c:pt>
                <c:pt idx="6">
                  <c:v>459.25262875399693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C0-480C-9143-7F33C5E22709}"/>
            </c:ext>
          </c:extLst>
        </c:ser>
        <c:ser>
          <c:idx val="4"/>
          <c:order val="4"/>
          <c:tx>
            <c:v>Résultat net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 CAP'!$D$37:$J$37</c:f>
              <c:numCache>
                <c:formatCode>#,##0</c:formatCode>
                <c:ptCount val="7"/>
                <c:pt idx="0">
                  <c:v>-26.3957591118807</c:v>
                </c:pt>
                <c:pt idx="1">
                  <c:v>-13.186374707383564</c:v>
                </c:pt>
                <c:pt idx="2">
                  <c:v>31.820880686958422</c:v>
                </c:pt>
                <c:pt idx="3">
                  <c:v>46.55095262135179</c:v>
                </c:pt>
                <c:pt idx="4">
                  <c:v>84.411473446498334</c:v>
                </c:pt>
                <c:pt idx="5">
                  <c:v>109.27569547679538</c:v>
                </c:pt>
                <c:pt idx="6">
                  <c:v>118.07472905440416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C0-480C-9143-7F33C5E22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535520"/>
        <c:axId val="174947180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'1 CAP'!$D$32:$J$32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7BC0-480C-9143-7F33C5E22709}"/>
                  </c:ext>
                </c:extLst>
              </c15:ser>
            </c15:filteredLineSeries>
            <c15:filteredLineSeries>
              <c15:ser>
                <c:idx val="2"/>
                <c:order val="2"/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 CAP'!$D$35:$J$35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0</c:v>
                      </c:pt>
                      <c:pt idx="1">
                        <c:v>132.57599188636362</c:v>
                      </c:pt>
                      <c:pt idx="2">
                        <c:v>124.47599188636362</c:v>
                      </c:pt>
                      <c:pt idx="3">
                        <c:v>136.36815255123966</c:v>
                      </c:pt>
                      <c:pt idx="4">
                        <c:v>142.56436369090909</c:v>
                      </c:pt>
                      <c:pt idx="5">
                        <c:v>156.1498176838636</c:v>
                      </c:pt>
                      <c:pt idx="6">
                        <c:v>164.78315188358479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BC0-480C-9143-7F33C5E22709}"/>
                  </c:ext>
                </c:extLst>
              </c15:ser>
            </c15:filteredLineSeries>
            <c15:filteredLineSeries>
              <c15:ser>
                <c:idx val="3"/>
                <c:order val="3"/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 CAP'!$D$36:$J$36</c15:sqref>
                        </c15:formulaRef>
                      </c:ext>
                    </c:extLst>
                    <c:numCache>
                      <c:formatCode>0.0%</c:formatCode>
                      <c:ptCount val="7"/>
                      <c:pt idx="0">
                        <c:v>0</c:v>
                      </c:pt>
                      <c:pt idx="1">
                        <c:v>0.39216480558834815</c:v>
                      </c:pt>
                      <c:pt idx="2">
                        <c:v>0.55595743075537318</c:v>
                      </c:pt>
                      <c:pt idx="3">
                        <c:v>0.60660579625602107</c:v>
                      </c:pt>
                      <c:pt idx="4">
                        <c:v>0.63939456231654401</c:v>
                      </c:pt>
                      <c:pt idx="5">
                        <c:v>0.64299102867872293</c:v>
                      </c:pt>
                      <c:pt idx="6">
                        <c:v>0.64119279549763342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BC0-480C-9143-7F33C5E22709}"/>
                  </c:ext>
                </c:extLst>
              </c15:ser>
            </c15:filteredLineSeries>
          </c:ext>
        </c:extLst>
      </c:lineChart>
      <c:catAx>
        <c:axId val="16865355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49471808"/>
        <c:crosses val="autoZero"/>
        <c:auto val="1"/>
        <c:lblAlgn val="ctr"/>
        <c:lblOffset val="100"/>
        <c:noMultiLvlLbl val="0"/>
      </c:catAx>
      <c:valAx>
        <c:axId val="174947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653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Emprunts MT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Souscriptions annuelles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 CAP'!$D$108:$J$108</c:f>
              <c:numCache>
                <c:formatCode>#,##0</c:formatCode>
                <c:ptCount val="7"/>
                <c:pt idx="0">
                  <c:v>250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73-41AD-892B-3A18D61F8E85}"/>
            </c:ext>
          </c:extLst>
        </c:ser>
        <c:ser>
          <c:idx val="1"/>
          <c:order val="1"/>
          <c:tx>
            <c:v>Endettement net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'1 CAP'!$D$109:$J$109</c:f>
              <c:numCache>
                <c:formatCode>#,##0</c:formatCode>
                <c:ptCount val="7"/>
                <c:pt idx="0">
                  <c:v>249.99999997330201</c:v>
                </c:pt>
                <c:pt idx="1">
                  <c:v>208.33333427829049</c:v>
                </c:pt>
                <c:pt idx="2">
                  <c:v>166.66666758153076</c:v>
                </c:pt>
                <c:pt idx="3">
                  <c:v>125.00000088291513</c:v>
                </c:pt>
                <c:pt idx="4">
                  <c:v>83.333334182328983</c:v>
                </c:pt>
                <c:pt idx="5">
                  <c:v>41.666666666666359</c:v>
                </c:pt>
                <c:pt idx="6">
                  <c:v>-2.9569491744041445E-13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73-41AD-892B-3A18D61F8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9432224"/>
        <c:axId val="1875077504"/>
      </c:lineChart>
      <c:catAx>
        <c:axId val="17494322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75077504"/>
        <c:crosses val="autoZero"/>
        <c:auto val="1"/>
        <c:lblAlgn val="ctr"/>
        <c:lblOffset val="100"/>
        <c:noMultiLvlLbl val="0"/>
      </c:catAx>
      <c:valAx>
        <c:axId val="187507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49432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Trésorerie fin d'année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'1 CAP'!$D$144:$J$144</c:f>
              <c:numCache>
                <c:formatCode>#,##0</c:formatCode>
                <c:ptCount val="7"/>
                <c:pt idx="0">
                  <c:v>13.185041930938581</c:v>
                </c:pt>
                <c:pt idx="1">
                  <c:v>26.874422587804077</c:v>
                </c:pt>
                <c:pt idx="2">
                  <c:v>55.293875177206885</c:v>
                </c:pt>
                <c:pt idx="3">
                  <c:v>119.32551525645239</c:v>
                </c:pt>
                <c:pt idx="4">
                  <c:v>206.54187731394282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81-4FB3-B66F-EE259E06B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9434224"/>
        <c:axId val="1875076256"/>
      </c:barChart>
      <c:catAx>
        <c:axId val="17494342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75076256"/>
        <c:crosses val="autoZero"/>
        <c:auto val="1"/>
        <c:lblAlgn val="ctr"/>
        <c:lblOffset val="100"/>
        <c:noMultiLvlLbl val="0"/>
      </c:catAx>
      <c:valAx>
        <c:axId val="187507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4943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1"/>
          <c:tx>
            <c:v>C.A.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'50 CAP'!$D$33:$J$33</c:f>
              <c:numCache>
                <c:formatCode>#,##0</c:formatCode>
                <c:ptCount val="7"/>
                <c:pt idx="0">
                  <c:v>0</c:v>
                </c:pt>
                <c:pt idx="1">
                  <c:v>2181.1173999999996</c:v>
                </c:pt>
                <c:pt idx="2">
                  <c:v>7165.4793649999983</c:v>
                </c:pt>
                <c:pt idx="3">
                  <c:v>13435.174407750001</c:v>
                </c:pt>
                <c:pt idx="4">
                  <c:v>16492.862462587498</c:v>
                </c:pt>
                <c:pt idx="5">
                  <c:v>19213.680269236873</c:v>
                </c:pt>
                <c:pt idx="6">
                  <c:v>21247.140160838717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B5-4D70-9405-D82F3A254541}"/>
            </c:ext>
          </c:extLst>
        </c:ser>
        <c:ser>
          <c:idx val="4"/>
          <c:order val="4"/>
          <c:tx>
            <c:v>Résultat net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'50 CAP'!$D$37:$J$37</c:f>
              <c:numCache>
                <c:formatCode>#,##0</c:formatCode>
                <c:ptCount val="7"/>
                <c:pt idx="0">
                  <c:v>-263.95759111880699</c:v>
                </c:pt>
                <c:pt idx="1">
                  <c:v>-659.7789293114497</c:v>
                </c:pt>
                <c:pt idx="2">
                  <c:v>-704.17741839808468</c:v>
                </c:pt>
                <c:pt idx="3">
                  <c:v>187.61749909212381</c:v>
                </c:pt>
                <c:pt idx="4">
                  <c:v>1466.6103044384358</c:v>
                </c:pt>
                <c:pt idx="5">
                  <c:v>2587.563745262712</c:v>
                </c:pt>
                <c:pt idx="6">
                  <c:v>3796.4578330830986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2B5-4D70-9405-D82F3A254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535520"/>
        <c:axId val="174947180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'50 CAP'!$D$32:$J$32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2B5-4D70-9405-D82F3A254541}"/>
                  </c:ext>
                </c:extLst>
              </c15:ser>
            </c15:filteredLineSeries>
            <c15:filteredLineSeries>
              <c15:ser>
                <c:idx val="2"/>
                <c:order val="2"/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'50 CAP'!$D$35:$J$35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0</c:v>
                      </c:pt>
                      <c:pt idx="1">
                        <c:v>1325.7599188636364</c:v>
                      </c:pt>
                      <c:pt idx="2">
                        <c:v>3896.2797565909086</c:v>
                      </c:pt>
                      <c:pt idx="3">
                        <c:v>6504.721200966942</c:v>
                      </c:pt>
                      <c:pt idx="4">
                        <c:v>6642.5265256611565</c:v>
                      </c:pt>
                      <c:pt idx="5">
                        <c:v>7140.1485016816123</c:v>
                      </c:pt>
                      <c:pt idx="6">
                        <c:v>7622.1151463313026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2B5-4D70-9405-D82F3A254541}"/>
                  </c:ext>
                </c:extLst>
              </c15:ser>
            </c15:filteredLineSeries>
            <c15:filteredLineSeries>
              <c15:ser>
                <c:idx val="3"/>
                <c:order val="3"/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'50 CAP'!$D$36:$J$36</c15:sqref>
                        </c15:formulaRef>
                      </c:ext>
                    </c:extLst>
                    <c:numCache>
                      <c:formatCode>0.0%</c:formatCode>
                      <c:ptCount val="7"/>
                      <c:pt idx="0">
                        <c:v>0</c:v>
                      </c:pt>
                      <c:pt idx="1">
                        <c:v>0.39216480558834815</c:v>
                      </c:pt>
                      <c:pt idx="2">
                        <c:v>0.45624297299320887</c:v>
                      </c:pt>
                      <c:pt idx="3">
                        <c:v>0.51584393298126952</c:v>
                      </c:pt>
                      <c:pt idx="4">
                        <c:v>0.59724841332248413</c:v>
                      </c:pt>
                      <c:pt idx="5">
                        <c:v>0.62838204853893909</c:v>
                      </c:pt>
                      <c:pt idx="6">
                        <c:v>0.64126394947119203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2B5-4D70-9405-D82F3A254541}"/>
                  </c:ext>
                </c:extLst>
              </c15:ser>
            </c15:filteredLineSeries>
          </c:ext>
        </c:extLst>
      </c:lineChart>
      <c:catAx>
        <c:axId val="16865355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49471808"/>
        <c:crosses val="autoZero"/>
        <c:auto val="1"/>
        <c:lblAlgn val="ctr"/>
        <c:lblOffset val="100"/>
        <c:noMultiLvlLbl val="0"/>
      </c:catAx>
      <c:valAx>
        <c:axId val="174947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653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Emprunts MT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Souscriptions annuelles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'50 CAP'!$D$108:$J$108</c:f>
              <c:numCache>
                <c:formatCode>#,##0</c:formatCode>
                <c:ptCount val="7"/>
                <c:pt idx="0">
                  <c:v>2500</c:v>
                </c:pt>
                <c:pt idx="1">
                  <c:v>5000</c:v>
                </c:pt>
                <c:pt idx="2">
                  <c:v>5000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1C-4819-AF59-6021F0A8EFDC}"/>
            </c:ext>
          </c:extLst>
        </c:ser>
        <c:ser>
          <c:idx val="1"/>
          <c:order val="1"/>
          <c:tx>
            <c:v>Endettement net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'50 CAP'!$D$109:$J$109</c:f>
              <c:numCache>
                <c:formatCode>#,##0</c:formatCode>
                <c:ptCount val="7"/>
                <c:pt idx="0">
                  <c:v>2499.9999997330196</c:v>
                </c:pt>
                <c:pt idx="1">
                  <c:v>7083.3333422489441</c:v>
                </c:pt>
                <c:pt idx="2">
                  <c:v>10833.333360847157</c:v>
                </c:pt>
                <c:pt idx="3">
                  <c:v>8750.000046025576</c:v>
                </c:pt>
                <c:pt idx="4">
                  <c:v>6666.6667111122078</c:v>
                </c:pt>
                <c:pt idx="5">
                  <c:v>4583.3333679715461</c:v>
                </c:pt>
                <c:pt idx="6">
                  <c:v>2500.0000169799041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1C-4819-AF59-6021F0A8EF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9432224"/>
        <c:axId val="1875077504"/>
      </c:lineChart>
      <c:catAx>
        <c:axId val="17494322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75077504"/>
        <c:crosses val="autoZero"/>
        <c:auto val="1"/>
        <c:lblAlgn val="ctr"/>
        <c:lblOffset val="100"/>
        <c:noMultiLvlLbl val="0"/>
      </c:catAx>
      <c:valAx>
        <c:axId val="187507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49432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Trésorerie fin d'année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'50 CAP'!$D$144:$J$144</c:f>
              <c:numCache>
                <c:formatCode>#,##0</c:formatCode>
                <c:ptCount val="7"/>
                <c:pt idx="0">
                  <c:v>131.85041930938581</c:v>
                </c:pt>
                <c:pt idx="1">
                  <c:v>532.44506449681239</c:v>
                </c:pt>
                <c:pt idx="2">
                  <c:v>1354.1280421469219</c:v>
                </c:pt>
                <c:pt idx="3">
                  <c:v>2836.621107864743</c:v>
                </c:pt>
                <c:pt idx="4">
                  <c:v>5557.8065818126142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7C-4DFB-9A44-77C982AC2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9434224"/>
        <c:axId val="1875076256"/>
      </c:barChart>
      <c:catAx>
        <c:axId val="17494342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75076256"/>
        <c:crosses val="autoZero"/>
        <c:auto val="1"/>
        <c:lblAlgn val="ctr"/>
        <c:lblOffset val="100"/>
        <c:noMultiLvlLbl val="0"/>
      </c:catAx>
      <c:valAx>
        <c:axId val="187507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4943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200025</xdr:colOff>
      <xdr:row>40</xdr:row>
      <xdr:rowOff>28575</xdr:rowOff>
    </xdr:from>
    <xdr:to>
      <xdr:col>8</xdr:col>
      <xdr:colOff>561975</xdr:colOff>
      <xdr:row>51</xdr:row>
      <xdr:rowOff>133350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45E53C3-C4BA-48FE-9BA0-3FC849F680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1971674</xdr:colOff>
      <xdr:row>112</xdr:row>
      <xdr:rowOff>38100</xdr:rowOff>
    </xdr:from>
    <xdr:to>
      <xdr:col>8</xdr:col>
      <xdr:colOff>781049</xdr:colOff>
      <xdr:row>132</xdr:row>
      <xdr:rowOff>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168A795-F897-4352-8A4B-2714E0D8E2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171450</xdr:colOff>
      <xdr:row>149</xdr:row>
      <xdr:rowOff>180975</xdr:rowOff>
    </xdr:from>
    <xdr:to>
      <xdr:col>7</xdr:col>
      <xdr:colOff>466725</xdr:colOff>
      <xdr:row>165</xdr:row>
      <xdr:rowOff>123824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5E415673-CE51-4091-A4CD-8E42BDC245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200025</xdr:colOff>
      <xdr:row>40</xdr:row>
      <xdr:rowOff>28575</xdr:rowOff>
    </xdr:from>
    <xdr:to>
      <xdr:col>8</xdr:col>
      <xdr:colOff>561975</xdr:colOff>
      <xdr:row>51</xdr:row>
      <xdr:rowOff>133350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8DFDB4B-DCE2-421D-90E3-91CECE85BA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1971674</xdr:colOff>
      <xdr:row>112</xdr:row>
      <xdr:rowOff>38100</xdr:rowOff>
    </xdr:from>
    <xdr:to>
      <xdr:col>8</xdr:col>
      <xdr:colOff>781049</xdr:colOff>
      <xdr:row>132</xdr:row>
      <xdr:rowOff>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B89A1AF8-AF28-43F8-9421-01CB90AD94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171450</xdr:colOff>
      <xdr:row>149</xdr:row>
      <xdr:rowOff>180975</xdr:rowOff>
    </xdr:from>
    <xdr:to>
      <xdr:col>7</xdr:col>
      <xdr:colOff>466725</xdr:colOff>
      <xdr:row>165</xdr:row>
      <xdr:rowOff>123824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122C744-9C60-4590-A648-60DEBDAF4F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Ecti\Ecti%20missions%20CC\Baghara\ECTI%20PFP%20Baghara%203%20moissons%20V4%20-%20pr&#233;vision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Ecti\Ecti%20missions%20CC\Baghara\Pr&#233;visions%203%20moissons%201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Ecti\Ecti%20missions%20CC\Baghara\ECTI%20PFP%20Baghara%203%20moissons%20V5%20-%20pr&#233;vis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ini"/>
      <sheetName val="MAJbudgt"/>
      <sheetName val="MAJCG"/>
      <sheetName val="contbudgt"/>
      <sheetName val="budget"/>
      <sheetName val="param"/>
      <sheetName val="invest"/>
      <sheetName val="amort"/>
      <sheetName val="achats"/>
      <sheetName val="emprunts"/>
      <sheetName val="rémun"/>
      <sheetName val="leasing"/>
      <sheetName val="recetdép"/>
      <sheetName val="CA"/>
      <sheetName val="chargeponct"/>
      <sheetName val="chargepermt"/>
      <sheetName val="libel"/>
      <sheetName val="TVA"/>
      <sheetName val="BO"/>
      <sheetName val="CR"/>
      <sheetName val="dirigtns"/>
      <sheetName val="tréso"/>
      <sheetName val="PR"/>
      <sheetName val="marges"/>
      <sheetName val="graphtréso"/>
      <sheetName val="tabfinanct"/>
      <sheetName val="ratios"/>
      <sheetName val="graphCA"/>
      <sheetName val="graphCAcum"/>
      <sheetName val="graphCR"/>
      <sheetName val="graphemprts"/>
      <sheetName val="impdf"/>
      <sheetName val="IS"/>
    </sheetNames>
    <sheetDataSet>
      <sheetData sheetId="0"/>
      <sheetData sheetId="1"/>
      <sheetData sheetId="2"/>
      <sheetData sheetId="3"/>
      <sheetData sheetId="4"/>
      <sheetData sheetId="5">
        <row r="49">
          <cell r="B49" t="str">
            <v>Direction</v>
          </cell>
        </row>
        <row r="50">
          <cell r="B50" t="str">
            <v>Agriculture</v>
          </cell>
        </row>
        <row r="51">
          <cell r="B51" t="str">
            <v>Agroforesterie</v>
          </cell>
        </row>
        <row r="52">
          <cell r="B52" t="str">
            <v>Elevage bovins</v>
          </cell>
        </row>
        <row r="53">
          <cell r="B53" t="str">
            <v>Aviculture</v>
          </cell>
        </row>
        <row r="54">
          <cell r="B54" t="str">
            <v>non affecte</v>
          </cell>
        </row>
      </sheetData>
      <sheetData sheetId="6">
        <row r="5">
          <cell r="V5">
            <v>21857333.333333336</v>
          </cell>
        </row>
        <row r="227">
          <cell r="U227">
            <v>23536833.333333328</v>
          </cell>
        </row>
      </sheetData>
      <sheetData sheetId="7"/>
      <sheetData sheetId="8"/>
      <sheetData sheetId="9">
        <row r="149">
          <cell r="S149">
            <v>54135416.752638377</v>
          </cell>
          <cell r="T149">
            <v>51885416.752638377</v>
          </cell>
          <cell r="U149">
            <v>49635416.75263837</v>
          </cell>
          <cell r="V149">
            <v>47385416.752638377</v>
          </cell>
          <cell r="W149">
            <v>45135416.752638377</v>
          </cell>
          <cell r="X149">
            <v>42885416.752638377</v>
          </cell>
        </row>
        <row r="150">
          <cell r="T150">
            <v>0</v>
          </cell>
          <cell r="U150">
            <v>0</v>
          </cell>
          <cell r="V150">
            <v>0</v>
          </cell>
          <cell r="W150"/>
          <cell r="X150"/>
        </row>
        <row r="151">
          <cell r="S151">
            <v>41666666.695011325</v>
          </cell>
          <cell r="T151">
            <v>41666666.696759574</v>
          </cell>
          <cell r="U151">
            <v>41666666.69861564</v>
          </cell>
          <cell r="V151">
            <v>41666666.700586177</v>
          </cell>
          <cell r="W151">
            <v>41666666.702678256</v>
          </cell>
          <cell r="X151">
            <v>41666666.704899371</v>
          </cell>
        </row>
        <row r="152">
          <cell r="S152">
            <v>208333334.27829048</v>
          </cell>
          <cell r="T152">
            <v>166666667.58153075</v>
          </cell>
          <cell r="U152">
            <v>125000000.88291512</v>
          </cell>
          <cell r="V152">
            <v>83333334.182328984</v>
          </cell>
          <cell r="W152">
            <v>41666666.666666359</v>
          </cell>
          <cell r="X152">
            <v>-2.9569491744041443E-7</v>
          </cell>
        </row>
        <row r="155">
          <cell r="T155">
            <v>0</v>
          </cell>
          <cell r="U155">
            <v>0</v>
          </cell>
          <cell r="V155">
            <v>0</v>
          </cell>
          <cell r="W155"/>
          <cell r="X155"/>
        </row>
        <row r="156">
          <cell r="S156">
            <v>12468750.05762706</v>
          </cell>
          <cell r="T156">
            <v>10218750.055878811</v>
          </cell>
          <cell r="U156">
            <v>7968750.0540227443</v>
          </cell>
          <cell r="V156">
            <v>5718750.0520522045</v>
          </cell>
          <cell r="W156">
            <v>3468749.9999999828</v>
          </cell>
          <cell r="X156">
            <v>1218749.9999999837</v>
          </cell>
        </row>
        <row r="157">
          <cell r="S157">
            <v>12468750.05762706</v>
          </cell>
          <cell r="T157">
            <v>10218750.055878811</v>
          </cell>
          <cell r="U157">
            <v>7968750.0540227443</v>
          </cell>
          <cell r="V157">
            <v>5718750.0520522045</v>
          </cell>
          <cell r="W157">
            <v>3468750.0499601243</v>
          </cell>
          <cell r="X157">
            <v>1218750.0477390096</v>
          </cell>
        </row>
        <row r="158">
          <cell r="S158">
            <v>12468750.05762706</v>
          </cell>
          <cell r="T158">
            <v>10218750.055878811</v>
          </cell>
          <cell r="U158">
            <v>7968750.0540227443</v>
          </cell>
          <cell r="V158">
            <v>5718750.0520522045</v>
          </cell>
          <cell r="W158">
            <v>3468750.0499601243</v>
          </cell>
          <cell r="X158">
            <v>1218750.0477390096</v>
          </cell>
        </row>
      </sheetData>
      <sheetData sheetId="10"/>
      <sheetData sheetId="11">
        <row r="20">
          <cell r="F20">
            <v>150000000</v>
          </cell>
        </row>
      </sheetData>
      <sheetData sheetId="12"/>
      <sheetData sheetId="13"/>
      <sheetData sheetId="14"/>
      <sheetData sheetId="15"/>
      <sheetData sheetId="16"/>
      <sheetData sheetId="17"/>
      <sheetData sheetId="18">
        <row r="4">
          <cell r="B4" t="str">
            <v>échéance constante</v>
          </cell>
          <cell r="C4" t="str">
            <v>prêt d'honneur</v>
          </cell>
        </row>
        <row r="5">
          <cell r="B5" t="str">
            <v>amort. constant</v>
          </cell>
          <cell r="C5" t="str">
            <v>prêt bancaire</v>
          </cell>
        </row>
        <row r="6">
          <cell r="B6" t="str">
            <v>différé ou in fine</v>
          </cell>
        </row>
        <row r="12">
          <cell r="E12" t="str">
            <v>creation</v>
          </cell>
        </row>
        <row r="13">
          <cell r="E13" t="str">
            <v>reprise</v>
          </cell>
        </row>
        <row r="44">
          <cell r="E44" t="str">
            <v>ventes</v>
          </cell>
        </row>
        <row r="45">
          <cell r="E45" t="str">
            <v>salaires</v>
          </cell>
        </row>
        <row r="46">
          <cell r="E46" t="str">
            <v>clé 1</v>
          </cell>
        </row>
        <row r="47">
          <cell r="E47" t="str">
            <v>clé 2</v>
          </cell>
        </row>
      </sheetData>
      <sheetData sheetId="19">
        <row r="20">
          <cell r="E20">
            <v>437383455.95618749</v>
          </cell>
        </row>
        <row r="21">
          <cell r="E21">
            <v>29753709.890299696</v>
          </cell>
        </row>
        <row r="23">
          <cell r="E23">
            <v>156149817.68386361</v>
          </cell>
        </row>
        <row r="26">
          <cell r="E26">
            <v>0</v>
          </cell>
        </row>
        <row r="27">
          <cell r="E27">
            <v>32934680.171340749</v>
          </cell>
        </row>
        <row r="28">
          <cell r="E28">
            <v>12895759.052606961</v>
          </cell>
        </row>
        <row r="29">
          <cell r="E29">
            <v>17495338.238247495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83306082</v>
          </cell>
        </row>
        <row r="34">
          <cell r="E34">
            <v>23536833.333333328</v>
          </cell>
        </row>
        <row r="35">
          <cell r="E35">
            <v>29753709.890299693</v>
          </cell>
        </row>
        <row r="37">
          <cell r="E37">
            <v>5718750.0520522045</v>
          </cell>
        </row>
        <row r="38">
          <cell r="E38">
            <v>0</v>
          </cell>
        </row>
      </sheetData>
      <sheetData sheetId="20"/>
      <sheetData sheetId="21">
        <row r="9">
          <cell r="E9">
            <v>119325515.25645253</v>
          </cell>
        </row>
        <row r="39">
          <cell r="E39">
            <v>206541877.31394282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CAP"/>
      <sheetName val="PL"/>
      <sheetName val="Tréso"/>
      <sheetName val="Invest"/>
      <sheetName val="Emprunts"/>
    </sheetNames>
    <sheetDataSet>
      <sheetData sheetId="0"/>
      <sheetData sheetId="1">
        <row r="5">
          <cell r="E5">
            <v>46388</v>
          </cell>
          <cell r="F5">
            <v>46753</v>
          </cell>
          <cell r="G5">
            <v>47119</v>
          </cell>
          <cell r="H5">
            <v>47484</v>
          </cell>
          <cell r="I5">
            <v>47849</v>
          </cell>
          <cell r="J5">
            <v>48214</v>
          </cell>
        </row>
        <row r="27">
          <cell r="D27">
            <v>0</v>
          </cell>
          <cell r="E27">
            <v>218.11173999999994</v>
          </cell>
          <cell r="F27">
            <v>280.32445649999994</v>
          </cell>
          <cell r="G27">
            <v>346.64504777499997</v>
          </cell>
          <cell r="H27">
            <v>395.34723770874996</v>
          </cell>
          <cell r="I27">
            <v>437.3834559561875</v>
          </cell>
          <cell r="J27">
            <v>459.25262875399693</v>
          </cell>
        </row>
        <row r="30">
          <cell r="D30">
            <v>0</v>
          </cell>
          <cell r="E30">
            <v>132.57599188636362</v>
          </cell>
          <cell r="F30">
            <v>124.47599188636362</v>
          </cell>
          <cell r="G30">
            <v>136.36815255123966</v>
          </cell>
          <cell r="H30">
            <v>142.56436369090909</v>
          </cell>
          <cell r="I30">
            <v>156.1498176838636</v>
          </cell>
          <cell r="J30">
            <v>164.78315188358479</v>
          </cell>
        </row>
        <row r="32">
          <cell r="D32">
            <v>0</v>
          </cell>
          <cell r="E32">
            <v>0.39216480558834815</v>
          </cell>
          <cell r="F32">
            <v>0.55595743075537318</v>
          </cell>
          <cell r="G32">
            <v>0.60660579625602107</v>
          </cell>
          <cell r="H32">
            <v>0.63939456231654401</v>
          </cell>
          <cell r="I32">
            <v>0.64299102867872293</v>
          </cell>
          <cell r="J32">
            <v>0.64119279549763342</v>
          </cell>
        </row>
        <row r="35">
          <cell r="D35">
            <v>12.895759052606962</v>
          </cell>
          <cell r="E35">
            <v>12.895759052606962</v>
          </cell>
          <cell r="F35">
            <v>12.895759052606962</v>
          </cell>
          <cell r="G35">
            <v>12.895759052606962</v>
          </cell>
          <cell r="H35">
            <v>12.895759052606961</v>
          </cell>
          <cell r="I35">
            <v>12.895759052606961</v>
          </cell>
          <cell r="J35">
            <v>12.895759052606961</v>
          </cell>
        </row>
        <row r="47">
          <cell r="D47">
            <v>-26.3957591118807</v>
          </cell>
          <cell r="E47">
            <v>-13.186374707383564</v>
          </cell>
          <cell r="F47">
            <v>31.820880686958422</v>
          </cell>
          <cell r="G47">
            <v>46.55095262135179</v>
          </cell>
          <cell r="H47">
            <v>84.411473446498334</v>
          </cell>
          <cell r="I47">
            <v>109.27569547679538</v>
          </cell>
          <cell r="J47">
            <v>118.07472905440416</v>
          </cell>
        </row>
        <row r="144">
          <cell r="D144">
            <v>0</v>
          </cell>
          <cell r="E144">
            <v>41.65309580873172</v>
          </cell>
          <cell r="F144">
            <v>53.533942941930356</v>
          </cell>
          <cell r="G144">
            <v>66.199276511179377</v>
          </cell>
          <cell r="H144">
            <v>75.5</v>
          </cell>
          <cell r="I144">
            <v>83.527713804388853</v>
          </cell>
          <cell r="J144">
            <v>87.704099494608315</v>
          </cell>
        </row>
        <row r="146">
          <cell r="D146">
            <v>0</v>
          </cell>
          <cell r="E146">
            <v>4.5187264441191797</v>
          </cell>
          <cell r="F146">
            <v>5.8076173915254943</v>
          </cell>
          <cell r="G146">
            <v>7.18161316811213</v>
          </cell>
          <cell r="H146">
            <v>8.1906000000000017</v>
          </cell>
          <cell r="I146">
            <v>9.0614846713407591</v>
          </cell>
          <cell r="J146">
            <v>9.5145589049077994</v>
          </cell>
        </row>
      </sheetData>
      <sheetData sheetId="2">
        <row r="21">
          <cell r="D21">
            <v>13.185041930938581</v>
          </cell>
          <cell r="E21">
            <v>26.874422587804077</v>
          </cell>
          <cell r="F21">
            <v>55.293875177206885</v>
          </cell>
          <cell r="G21">
            <v>119.32551525645239</v>
          </cell>
          <cell r="H21">
            <v>206.54187731394282</v>
          </cell>
        </row>
      </sheetData>
      <sheetData sheetId="3">
        <row r="20">
          <cell r="D20">
            <v>248.38249999999996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D21">
            <v>248.38249999999996</v>
          </cell>
          <cell r="E21">
            <v>248.38249999999996</v>
          </cell>
          <cell r="F21">
            <v>248.38249999999996</v>
          </cell>
          <cell r="G21">
            <v>248.38249999999996</v>
          </cell>
          <cell r="H21">
            <v>248.38249999999996</v>
          </cell>
          <cell r="I21">
            <v>248.38249999999996</v>
          </cell>
          <cell r="J21">
            <v>248.38249999999996</v>
          </cell>
        </row>
        <row r="72">
          <cell r="D72">
            <v>150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</row>
        <row r="73">
          <cell r="D73">
            <v>150</v>
          </cell>
          <cell r="E73">
            <v>150</v>
          </cell>
          <cell r="F73">
            <v>150</v>
          </cell>
          <cell r="G73">
            <v>150</v>
          </cell>
          <cell r="H73">
            <v>150</v>
          </cell>
          <cell r="I73">
            <v>150</v>
          </cell>
          <cell r="J73">
            <v>150</v>
          </cell>
        </row>
      </sheetData>
      <sheetData sheetId="4">
        <row r="27">
          <cell r="E27">
            <v>250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</row>
        <row r="30">
          <cell r="E30">
            <v>249.99999997330201</v>
          </cell>
          <cell r="F30">
            <v>208.33333427829049</v>
          </cell>
          <cell r="G30">
            <v>166.66666758153076</v>
          </cell>
          <cell r="H30">
            <v>125.00000088291513</v>
          </cell>
          <cell r="I30">
            <v>83.333334182328983</v>
          </cell>
          <cell r="J30">
            <v>41.666666666666359</v>
          </cell>
          <cell r="K30">
            <v>-2.9569491744041445E-13</v>
          </cell>
        </row>
        <row r="32">
          <cell r="E32">
            <v>13.500000059273736</v>
          </cell>
          <cell r="F32">
            <v>12.468750057627059</v>
          </cell>
          <cell r="G32">
            <v>10.218750055878811</v>
          </cell>
          <cell r="H32">
            <v>7.9687500540227445</v>
          </cell>
          <cell r="I32">
            <v>5.7187500520522043</v>
          </cell>
          <cell r="J32">
            <v>3.4687499999999827</v>
          </cell>
          <cell r="K32">
            <v>1.2187499999999838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ini"/>
      <sheetName val="MAJbudgt"/>
      <sheetName val="MAJCG"/>
      <sheetName val="contbudgt"/>
      <sheetName val="budget"/>
      <sheetName val="param"/>
      <sheetName val="invest"/>
      <sheetName val="amort"/>
      <sheetName val="achats"/>
      <sheetName val="emprunts"/>
      <sheetName val="rémun"/>
      <sheetName val="leasing"/>
      <sheetName val="recetdép"/>
      <sheetName val="CA"/>
      <sheetName val="chargeponct"/>
      <sheetName val="chargepermt"/>
      <sheetName val="TVA"/>
      <sheetName val="BO"/>
      <sheetName val="CR"/>
      <sheetName val="dirigtns"/>
      <sheetName val="tréso"/>
      <sheetName val="PR"/>
      <sheetName val="marges"/>
      <sheetName val="graphtréso"/>
      <sheetName val="tabfinanct"/>
      <sheetName val="ratios"/>
      <sheetName val="graphCA"/>
      <sheetName val="graphCAcum"/>
      <sheetName val="graphCR"/>
      <sheetName val="graphemprts"/>
      <sheetName val="impdf"/>
      <sheetName val="libel"/>
      <sheetName val="IS"/>
    </sheetNames>
    <sheetDataSet>
      <sheetData sheetId="0"/>
      <sheetData sheetId="1"/>
      <sheetData sheetId="2"/>
      <sheetData sheetId="3"/>
      <sheetData sheetId="4"/>
      <sheetData sheetId="5"/>
      <sheetData sheetId="6">
        <row r="225">
          <cell r="H225" t="str">
            <v>charges immobilisées</v>
          </cell>
          <cell r="I225">
            <v>5000000</v>
          </cell>
          <cell r="J225" t="str">
            <v>matériels et équipements</v>
          </cell>
          <cell r="L225">
            <v>135400000</v>
          </cell>
          <cell r="R225">
            <v>248382499.99999997</v>
          </cell>
          <cell r="S225">
            <v>0</v>
          </cell>
          <cell r="T225">
            <v>0</v>
          </cell>
          <cell r="U225">
            <v>0</v>
          </cell>
        </row>
        <row r="226">
          <cell r="H226" t="str">
            <v>immos incorporelles</v>
          </cell>
          <cell r="I226">
            <v>1840000</v>
          </cell>
          <cell r="J226" t="str">
            <v>moyens roulants</v>
          </cell>
          <cell r="L226">
            <v>4800000</v>
          </cell>
          <cell r="R226">
            <v>348382500</v>
          </cell>
          <cell r="S226">
            <v>0</v>
          </cell>
          <cell r="T226">
            <v>0</v>
          </cell>
          <cell r="U226">
            <v>0</v>
          </cell>
        </row>
        <row r="227">
          <cell r="H227" t="str">
            <v>foncier</v>
          </cell>
          <cell r="J227" t="str">
            <v>matériels de bureau</v>
          </cell>
          <cell r="L227">
            <v>3597500</v>
          </cell>
          <cell r="R227">
            <v>0</v>
          </cell>
          <cell r="S227">
            <v>25785166.66666666</v>
          </cell>
          <cell r="T227">
            <v>25785166.66666666</v>
          </cell>
          <cell r="U227">
            <v>25785166.66666666</v>
          </cell>
        </row>
        <row r="228">
          <cell r="H228" t="str">
            <v>aménagements et const.</v>
          </cell>
          <cell r="I228">
            <v>96000000</v>
          </cell>
          <cell r="J228" t="str">
            <v>info et reproduction</v>
          </cell>
          <cell r="L228">
            <v>1745000</v>
          </cell>
          <cell r="R228">
            <v>248382499.99999997</v>
          </cell>
          <cell r="S228">
            <v>0</v>
          </cell>
          <cell r="T228">
            <v>0</v>
          </cell>
          <cell r="U228">
            <v>0</v>
          </cell>
        </row>
        <row r="229">
          <cell r="R229">
            <v>248382499.99999997</v>
          </cell>
          <cell r="S229">
            <v>0</v>
          </cell>
          <cell r="T229">
            <v>0</v>
          </cell>
          <cell r="U229">
            <v>0</v>
          </cell>
        </row>
        <row r="230">
          <cell r="R230">
            <v>241542499.99999997</v>
          </cell>
          <cell r="S230">
            <v>0</v>
          </cell>
          <cell r="T230">
            <v>0</v>
          </cell>
          <cell r="U230">
            <v>0</v>
          </cell>
        </row>
        <row r="231">
          <cell r="R231">
            <v>6840000</v>
          </cell>
          <cell r="S231">
            <v>0</v>
          </cell>
          <cell r="T231">
            <v>0</v>
          </cell>
          <cell r="U231">
            <v>0</v>
          </cell>
        </row>
      </sheetData>
      <sheetData sheetId="7"/>
      <sheetData sheetId="8"/>
      <sheetData sheetId="9">
        <row r="149">
          <cell r="S149">
            <v>13500000.085971728</v>
          </cell>
        </row>
        <row r="150">
          <cell r="S150">
            <v>250000000</v>
          </cell>
        </row>
        <row r="151">
          <cell r="S151">
            <v>2.6697988212901501E-2</v>
          </cell>
        </row>
        <row r="152">
          <cell r="S152">
            <v>249999999.97330201</v>
          </cell>
        </row>
        <row r="155">
          <cell r="S155">
            <v>0</v>
          </cell>
        </row>
        <row r="156">
          <cell r="S156">
            <v>13500000.059273737</v>
          </cell>
        </row>
        <row r="157">
          <cell r="S157">
            <v>13500000.059273737</v>
          </cell>
        </row>
        <row r="158">
          <cell r="S158">
            <v>13500000.059273737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0">
          <cell r="B20">
            <v>218111739.99999994</v>
          </cell>
          <cell r="C20">
            <v>280324456.49999994</v>
          </cell>
          <cell r="D20">
            <v>346645047.77499998</v>
          </cell>
          <cell r="E20">
            <v>395347237.70874995</v>
          </cell>
        </row>
        <row r="21">
          <cell r="B21">
            <v>24069069.65927374</v>
          </cell>
          <cell r="C21">
            <v>27418328.317627061</v>
          </cell>
          <cell r="D21">
            <v>28990651.966878805</v>
          </cell>
          <cell r="E21">
            <v>30118682.562372744</v>
          </cell>
        </row>
        <row r="23">
          <cell r="B23">
            <v>132575991.88636363</v>
          </cell>
          <cell r="C23">
            <v>124475991.88636361</v>
          </cell>
          <cell r="D23">
            <v>136368152.55123967</v>
          </cell>
          <cell r="E23">
            <v>142564363.69090909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</row>
        <row r="27">
          <cell r="B27">
            <v>11537177.44411918</v>
          </cell>
          <cell r="C27">
            <v>20991929.891525488</v>
          </cell>
          <cell r="D27">
            <v>26255124.918112129</v>
          </cell>
          <cell r="E27">
            <v>29966961.625000015</v>
          </cell>
        </row>
        <row r="28">
          <cell r="B28">
            <v>12895759.052606963</v>
          </cell>
          <cell r="C28">
            <v>12895759.052606963</v>
          </cell>
          <cell r="D28">
            <v>12895759.052606963</v>
          </cell>
          <cell r="E28">
            <v>12895759.052606963</v>
          </cell>
        </row>
        <row r="29">
          <cell r="B29">
            <v>8724469.5999999959</v>
          </cell>
          <cell r="C29">
            <v>11212978.26</v>
          </cell>
          <cell r="D29">
            <v>13865801.910999997</v>
          </cell>
          <cell r="E29">
            <v>15813889.508350002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27310800</v>
          </cell>
          <cell r="C32">
            <v>42923000</v>
          </cell>
          <cell r="D32">
            <v>76955340</v>
          </cell>
          <cell r="E32">
            <v>80439207</v>
          </cell>
        </row>
        <row r="34">
          <cell r="B34">
            <v>0</v>
          </cell>
          <cell r="C34">
            <v>25785166.666666664</v>
          </cell>
          <cell r="D34">
            <v>25785166.66666666</v>
          </cell>
          <cell r="E34">
            <v>25785166.666666664</v>
          </cell>
        </row>
        <row r="35">
          <cell r="B35">
            <v>24069069.659273759</v>
          </cell>
          <cell r="C35">
            <v>27418328.317627069</v>
          </cell>
          <cell r="D35">
            <v>28990651.966878805</v>
          </cell>
          <cell r="E35">
            <v>30118682.562372744</v>
          </cell>
        </row>
        <row r="37">
          <cell r="B37">
            <v>13500000.059273737</v>
          </cell>
          <cell r="C37">
            <v>12468750.05762706</v>
          </cell>
          <cell r="D37">
            <v>10218750.055878811</v>
          </cell>
          <cell r="E37">
            <v>7968750.0540227443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</row>
      </sheetData>
      <sheetData sheetId="19"/>
      <sheetData sheetId="20">
        <row r="9">
          <cell r="B9">
            <v>0</v>
          </cell>
          <cell r="C9">
            <v>13185041.930938581</v>
          </cell>
          <cell r="D9">
            <v>26874422.587804075</v>
          </cell>
          <cell r="E9">
            <v>55293875.177206889</v>
          </cell>
        </row>
        <row r="39">
          <cell r="B39">
            <v>13185041.930938581</v>
          </cell>
          <cell r="C39">
            <v>26874422.587804075</v>
          </cell>
          <cell r="D39">
            <v>55293875.177206889</v>
          </cell>
          <cell r="E39">
            <v>119325515.2564524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140">
          <cell r="C140" t="str">
            <v>Tréso début de période</v>
          </cell>
        </row>
      </sheetData>
      <sheetData sheetId="3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834A3-6818-4A3B-A2E4-721AC9D6E278}">
  <dimension ref="A2:Q52"/>
  <sheetViews>
    <sheetView tabSelected="1" topLeftCell="A40" workbookViewId="0">
      <selection activeCell="F54" sqref="F54"/>
    </sheetView>
  </sheetViews>
  <sheetFormatPr baseColWidth="10" defaultRowHeight="14.5" x14ac:dyDescent="0.35"/>
  <cols>
    <col min="2" max="2" width="36.26953125" customWidth="1"/>
  </cols>
  <sheetData>
    <row r="2" spans="2:15" ht="21" x14ac:dyDescent="0.5">
      <c r="B2" s="174" t="s">
        <v>139</v>
      </c>
    </row>
    <row r="4" spans="2:15" x14ac:dyDescent="0.35">
      <c r="B4" t="s">
        <v>127</v>
      </c>
    </row>
    <row r="5" spans="2:15" x14ac:dyDescent="0.35">
      <c r="B5" s="176" t="s">
        <v>140</v>
      </c>
      <c r="C5" s="181">
        <v>655.95699999999999</v>
      </c>
    </row>
    <row r="6" spans="2:15" x14ac:dyDescent="0.35">
      <c r="B6" s="176" t="s">
        <v>130</v>
      </c>
      <c r="C6" s="178">
        <v>0.02</v>
      </c>
      <c r="D6" s="175">
        <f>1/(1+C6)</f>
        <v>0.98039215686274506</v>
      </c>
    </row>
    <row r="7" spans="2:15" x14ac:dyDescent="0.35">
      <c r="B7" s="176" t="s">
        <v>142</v>
      </c>
      <c r="C7" s="186">
        <v>0</v>
      </c>
    </row>
    <row r="8" spans="2:15" x14ac:dyDescent="0.35">
      <c r="B8" s="176" t="s">
        <v>135</v>
      </c>
    </row>
    <row r="9" spans="2:15" x14ac:dyDescent="0.35">
      <c r="B9" s="176" t="s">
        <v>141</v>
      </c>
    </row>
    <row r="10" spans="2:15" x14ac:dyDescent="0.35">
      <c r="B10" s="176" t="s">
        <v>151</v>
      </c>
    </row>
    <row r="11" spans="2:15" x14ac:dyDescent="0.35">
      <c r="B11" s="176" t="s">
        <v>128</v>
      </c>
    </row>
    <row r="12" spans="2:15" x14ac:dyDescent="0.35">
      <c r="B12" s="176" t="s">
        <v>143</v>
      </c>
    </row>
    <row r="13" spans="2:15" s="146" customFormat="1" x14ac:dyDescent="0.35">
      <c r="B13" s="146" t="s">
        <v>112</v>
      </c>
      <c r="D13" s="146">
        <v>1</v>
      </c>
      <c r="E13" s="146">
        <v>2</v>
      </c>
      <c r="F13" s="146">
        <v>3</v>
      </c>
      <c r="G13" s="146">
        <v>4</v>
      </c>
      <c r="H13" s="146">
        <v>5</v>
      </c>
      <c r="I13" s="146">
        <v>6</v>
      </c>
      <c r="J13" s="146">
        <v>7</v>
      </c>
      <c r="K13" s="146">
        <v>8</v>
      </c>
      <c r="L13" s="146">
        <v>9</v>
      </c>
      <c r="M13" s="146">
        <v>10</v>
      </c>
      <c r="N13" s="146">
        <v>11</v>
      </c>
      <c r="O13" s="146">
        <v>12</v>
      </c>
    </row>
    <row r="14" spans="2:15" x14ac:dyDescent="0.35">
      <c r="B14" t="s">
        <v>130</v>
      </c>
      <c r="C14" s="72"/>
      <c r="D14" s="72">
        <v>0</v>
      </c>
      <c r="E14" s="72">
        <v>0</v>
      </c>
      <c r="F14" s="72">
        <v>0</v>
      </c>
      <c r="G14" s="72">
        <v>0</v>
      </c>
      <c r="H14" s="72">
        <v>0</v>
      </c>
      <c r="I14" s="72">
        <v>0</v>
      </c>
      <c r="J14" s="72">
        <v>0</v>
      </c>
      <c r="K14" s="72">
        <v>0</v>
      </c>
      <c r="L14" s="72">
        <f t="shared" ref="D14:O14" si="0">$C$6</f>
        <v>0.02</v>
      </c>
      <c r="M14" s="72">
        <f t="shared" si="0"/>
        <v>0.02</v>
      </c>
      <c r="N14" s="72">
        <f t="shared" si="0"/>
        <v>0.02</v>
      </c>
      <c r="O14" s="72">
        <f t="shared" si="0"/>
        <v>0.02</v>
      </c>
    </row>
    <row r="15" spans="2:15" x14ac:dyDescent="0.35">
      <c r="B15" t="s">
        <v>150</v>
      </c>
      <c r="D15" s="175">
        <v>1</v>
      </c>
      <c r="E15" s="175">
        <f>1/(1+E14)</f>
        <v>1</v>
      </c>
      <c r="F15" s="175">
        <f>E15*$E$15</f>
        <v>1</v>
      </c>
      <c r="G15" s="175">
        <f t="shared" ref="G15:L15" si="1">F15*$E$15</f>
        <v>1</v>
      </c>
      <c r="H15" s="175">
        <f t="shared" si="1"/>
        <v>1</v>
      </c>
      <c r="I15" s="175">
        <f t="shared" si="1"/>
        <v>1</v>
      </c>
      <c r="J15" s="175">
        <f t="shared" si="1"/>
        <v>1</v>
      </c>
      <c r="K15" s="175">
        <f t="shared" si="1"/>
        <v>1</v>
      </c>
      <c r="L15" s="175">
        <f>K15*$D$6</f>
        <v>0.98039215686274506</v>
      </c>
      <c r="M15" s="175">
        <f t="shared" ref="M15:O15" si="2">L15*$D$6</f>
        <v>0.96116878123798533</v>
      </c>
      <c r="N15" s="175">
        <f t="shared" si="2"/>
        <v>0.94232233454704439</v>
      </c>
      <c r="O15" s="175">
        <f t="shared" si="2"/>
        <v>0.92384542602651409</v>
      </c>
    </row>
    <row r="16" spans="2:15" x14ac:dyDescent="0.35">
      <c r="D16" s="175"/>
      <c r="E16" s="175"/>
      <c r="F16" s="175"/>
      <c r="G16" s="175"/>
      <c r="H16" s="175"/>
      <c r="I16" s="175"/>
      <c r="J16" s="175"/>
      <c r="K16" s="175"/>
      <c r="L16" s="175"/>
      <c r="M16" s="175"/>
    </row>
    <row r="17" spans="1:17" ht="15.5" x14ac:dyDescent="0.35">
      <c r="B17" s="182" t="s">
        <v>144</v>
      </c>
    </row>
    <row r="18" spans="1:17" x14ac:dyDescent="0.35">
      <c r="B18" s="146" t="s">
        <v>112</v>
      </c>
      <c r="C18" s="146" t="s">
        <v>129</v>
      </c>
      <c r="D18" s="146">
        <v>1</v>
      </c>
      <c r="E18" s="146">
        <v>2</v>
      </c>
      <c r="F18" s="146">
        <v>3</v>
      </c>
      <c r="G18" s="146">
        <v>4</v>
      </c>
      <c r="H18" s="146">
        <v>5</v>
      </c>
      <c r="I18" s="146">
        <v>6</v>
      </c>
      <c r="J18" s="146">
        <v>7</v>
      </c>
      <c r="K18" s="146">
        <v>8</v>
      </c>
      <c r="L18" s="146">
        <v>9</v>
      </c>
      <c r="M18" s="146">
        <v>10</v>
      </c>
    </row>
    <row r="19" spans="1:17" x14ac:dyDescent="0.35">
      <c r="B19" t="s">
        <v>73</v>
      </c>
      <c r="C19" s="146"/>
      <c r="D19" s="177">
        <f>'1 CAP'!D33</f>
        <v>0</v>
      </c>
      <c r="E19" s="177">
        <f>'1 CAP'!E33</f>
        <v>218.11173999999994</v>
      </c>
      <c r="F19" s="177">
        <f>'1 CAP'!F33</f>
        <v>280.32445649999994</v>
      </c>
      <c r="G19" s="177">
        <f>'1 CAP'!G33</f>
        <v>346.64504777499997</v>
      </c>
      <c r="H19" s="177">
        <f>'1 CAP'!H33</f>
        <v>395.34723770874996</v>
      </c>
      <c r="I19" s="177">
        <f>'1 CAP'!I33</f>
        <v>437.3834559561875</v>
      </c>
      <c r="J19" s="177">
        <f>'1 CAP'!J33</f>
        <v>459.25262875399693</v>
      </c>
      <c r="K19" s="177">
        <f>$J$19</f>
        <v>459.25262875399693</v>
      </c>
      <c r="L19" s="177">
        <f t="shared" ref="L19:M19" si="3">$J$19</f>
        <v>459.25262875399693</v>
      </c>
      <c r="M19" s="177">
        <f t="shared" si="3"/>
        <v>459.25262875399693</v>
      </c>
    </row>
    <row r="20" spans="1:17" x14ac:dyDescent="0.35">
      <c r="B20" t="s">
        <v>137</v>
      </c>
      <c r="D20" s="175">
        <f>'1 CAP'!D37</f>
        <v>-26.3957591118807</v>
      </c>
      <c r="E20" s="175">
        <f>'1 CAP'!E37</f>
        <v>-13.186374707383564</v>
      </c>
      <c r="F20" s="175">
        <f>'1 CAP'!F37</f>
        <v>31.820880686958422</v>
      </c>
      <c r="G20" s="175">
        <f>'1 CAP'!G37</f>
        <v>46.55095262135179</v>
      </c>
      <c r="H20" s="175">
        <f>'1 CAP'!H37</f>
        <v>84.411473446498334</v>
      </c>
      <c r="I20" s="175">
        <f>'1 CAP'!I37</f>
        <v>109.27569547679538</v>
      </c>
      <c r="J20" s="175">
        <f>'1 CAP'!J37</f>
        <v>118.07472905440416</v>
      </c>
      <c r="K20" s="175">
        <f>$J$20</f>
        <v>118.07472905440416</v>
      </c>
      <c r="L20" s="175">
        <f t="shared" ref="L20:M20" si="4">$J$20</f>
        <v>118.07472905440416</v>
      </c>
      <c r="M20" s="175">
        <f t="shared" si="4"/>
        <v>118.07472905440416</v>
      </c>
    </row>
    <row r="21" spans="1:17" x14ac:dyDescent="0.35">
      <c r="B21" t="s">
        <v>138</v>
      </c>
      <c r="D21" s="175">
        <f t="shared" ref="D21:M21" si="5">D19*$C$7</f>
        <v>0</v>
      </c>
      <c r="E21" s="175">
        <f t="shared" si="5"/>
        <v>0</v>
      </c>
      <c r="F21" s="175">
        <f t="shared" si="5"/>
        <v>0</v>
      </c>
      <c r="G21" s="175">
        <f t="shared" si="5"/>
        <v>0</v>
      </c>
      <c r="H21" s="175">
        <f t="shared" si="5"/>
        <v>0</v>
      </c>
      <c r="I21" s="175">
        <f t="shared" si="5"/>
        <v>0</v>
      </c>
      <c r="J21" s="175">
        <f t="shared" si="5"/>
        <v>0</v>
      </c>
      <c r="K21" s="175">
        <f t="shared" si="5"/>
        <v>0</v>
      </c>
      <c r="L21" s="175">
        <f t="shared" si="5"/>
        <v>0</v>
      </c>
      <c r="M21" s="175">
        <f t="shared" si="5"/>
        <v>0</v>
      </c>
    </row>
    <row r="22" spans="1:17" x14ac:dyDescent="0.35">
      <c r="B22" t="s">
        <v>131</v>
      </c>
      <c r="D22" s="175">
        <f>Invest!$D$36/1000000</f>
        <v>248.38249999999996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7" x14ac:dyDescent="0.35">
      <c r="B23" t="s">
        <v>133</v>
      </c>
      <c r="D23" s="179">
        <f>D20-D21-D22</f>
        <v>-274.77825911188069</v>
      </c>
      <c r="E23" s="179">
        <f>E20-E21-E22</f>
        <v>-13.186374707383564</v>
      </c>
      <c r="F23" s="179">
        <f>F20-F21-F22</f>
        <v>31.820880686958422</v>
      </c>
      <c r="G23" s="179">
        <f t="shared" ref="G23:M23" si="6">G20-G21-G22</f>
        <v>46.55095262135179</v>
      </c>
      <c r="H23" s="179">
        <f t="shared" si="6"/>
        <v>84.411473446498334</v>
      </c>
      <c r="I23" s="179">
        <f t="shared" si="6"/>
        <v>109.27569547679538</v>
      </c>
      <c r="J23" s="179">
        <f t="shared" si="6"/>
        <v>118.07472905440416</v>
      </c>
      <c r="K23" s="179">
        <f t="shared" si="6"/>
        <v>118.07472905440416</v>
      </c>
      <c r="L23" s="179">
        <f t="shared" si="6"/>
        <v>118.07472905440416</v>
      </c>
      <c r="M23" s="179">
        <f t="shared" si="6"/>
        <v>118.07472905440416</v>
      </c>
      <c r="N23" s="179"/>
      <c r="O23" s="179"/>
      <c r="P23" s="179"/>
      <c r="Q23" s="179"/>
    </row>
    <row r="24" spans="1:17" x14ac:dyDescent="0.35">
      <c r="A24" t="s">
        <v>136</v>
      </c>
      <c r="B24" t="s">
        <v>134</v>
      </c>
      <c r="D24" s="179">
        <f>D23*D15</f>
        <v>-274.77825911188069</v>
      </c>
      <c r="E24" s="179">
        <f t="shared" ref="E24:M24" si="7">E23*E15</f>
        <v>-13.186374707383564</v>
      </c>
      <c r="F24" s="179">
        <f t="shared" si="7"/>
        <v>31.820880686958422</v>
      </c>
      <c r="G24" s="179">
        <f t="shared" si="7"/>
        <v>46.55095262135179</v>
      </c>
      <c r="H24" s="179">
        <f t="shared" si="7"/>
        <v>84.411473446498334</v>
      </c>
      <c r="I24" s="179">
        <f t="shared" si="7"/>
        <v>109.27569547679538</v>
      </c>
      <c r="J24" s="179">
        <f t="shared" si="7"/>
        <v>118.07472905440416</v>
      </c>
      <c r="K24" s="179">
        <f t="shared" si="7"/>
        <v>118.07472905440416</v>
      </c>
      <c r="L24" s="179">
        <f t="shared" si="7"/>
        <v>115.75953828863152</v>
      </c>
      <c r="M24" s="179">
        <f t="shared" si="7"/>
        <v>113.48974342022699</v>
      </c>
    </row>
    <row r="25" spans="1:17" x14ac:dyDescent="0.35">
      <c r="B25" s="19" t="s">
        <v>146</v>
      </c>
      <c r="C25" s="52">
        <f>SUM(D24:M24)</f>
        <v>449.49310823000656</v>
      </c>
    </row>
    <row r="26" spans="1:17" x14ac:dyDescent="0.35">
      <c r="B26" s="183" t="s">
        <v>147</v>
      </c>
      <c r="C26" s="184">
        <f>C25/$C$5</f>
        <v>0.68524782604653434</v>
      </c>
    </row>
    <row r="28" spans="1:17" ht="15.5" x14ac:dyDescent="0.35">
      <c r="B28" s="182" t="s">
        <v>132</v>
      </c>
    </row>
    <row r="29" spans="1:17" x14ac:dyDescent="0.35">
      <c r="B29" s="146" t="s">
        <v>112</v>
      </c>
      <c r="C29" s="146" t="s">
        <v>129</v>
      </c>
      <c r="D29" s="146">
        <v>1</v>
      </c>
      <c r="E29" s="146">
        <v>2</v>
      </c>
      <c r="F29" s="146">
        <v>3</v>
      </c>
      <c r="G29" s="146">
        <v>4</v>
      </c>
      <c r="H29" s="146">
        <v>5</v>
      </c>
      <c r="I29" s="146">
        <v>6</v>
      </c>
      <c r="J29" s="146">
        <v>7</v>
      </c>
      <c r="K29" s="146">
        <v>8</v>
      </c>
      <c r="L29" s="146">
        <v>9</v>
      </c>
      <c r="M29" s="146">
        <v>10</v>
      </c>
    </row>
    <row r="30" spans="1:17" x14ac:dyDescent="0.35">
      <c r="B30" t="s">
        <v>73</v>
      </c>
      <c r="D30" s="177">
        <f>10*D19</f>
        <v>0</v>
      </c>
      <c r="E30" s="177">
        <f t="shared" ref="E30:M30" si="8">10*E19</f>
        <v>2181.1173999999992</v>
      </c>
      <c r="F30" s="177">
        <f t="shared" si="8"/>
        <v>2803.2445649999995</v>
      </c>
      <c r="G30" s="177">
        <f t="shared" si="8"/>
        <v>3466.4504777499997</v>
      </c>
      <c r="H30" s="177">
        <f t="shared" si="8"/>
        <v>3953.4723770874998</v>
      </c>
      <c r="I30" s="177">
        <f t="shared" si="8"/>
        <v>4373.8345595618748</v>
      </c>
      <c r="J30" s="177">
        <f t="shared" si="8"/>
        <v>4592.5262875399694</v>
      </c>
      <c r="K30" s="177">
        <f t="shared" si="8"/>
        <v>4592.5262875399694</v>
      </c>
      <c r="L30" s="177">
        <f t="shared" si="8"/>
        <v>4592.5262875399694</v>
      </c>
      <c r="M30" s="177">
        <f t="shared" si="8"/>
        <v>4592.5262875399694</v>
      </c>
    </row>
    <row r="31" spans="1:17" x14ac:dyDescent="0.35">
      <c r="B31" t="s">
        <v>137</v>
      </c>
      <c r="D31" s="175">
        <f>10*D20</f>
        <v>-263.95759111880699</v>
      </c>
      <c r="E31" s="175">
        <f t="shared" ref="E31:M31" si="9">10*E20</f>
        <v>-131.86374707383564</v>
      </c>
      <c r="F31" s="175">
        <f t="shared" si="9"/>
        <v>318.20880686958424</v>
      </c>
      <c r="G31" s="175">
        <f t="shared" si="9"/>
        <v>465.50952621351792</v>
      </c>
      <c r="H31" s="175">
        <f t="shared" si="9"/>
        <v>844.11473446498337</v>
      </c>
      <c r="I31" s="175">
        <f t="shared" si="9"/>
        <v>1092.7569547679539</v>
      </c>
      <c r="J31" s="175">
        <f t="shared" si="9"/>
        <v>1180.7472905440416</v>
      </c>
      <c r="K31" s="175">
        <f t="shared" si="9"/>
        <v>1180.7472905440416</v>
      </c>
      <c r="L31" s="175">
        <f t="shared" si="9"/>
        <v>1180.7472905440416</v>
      </c>
      <c r="M31" s="175">
        <f t="shared" si="9"/>
        <v>1180.7472905440416</v>
      </c>
    </row>
    <row r="32" spans="1:17" x14ac:dyDescent="0.35">
      <c r="B32" t="s">
        <v>138</v>
      </c>
      <c r="D32" s="175">
        <f t="shared" ref="D32:M35" si="10">10*D21</f>
        <v>0</v>
      </c>
      <c r="E32" s="175">
        <f t="shared" si="10"/>
        <v>0</v>
      </c>
      <c r="F32" s="175">
        <f t="shared" si="10"/>
        <v>0</v>
      </c>
      <c r="G32" s="175">
        <f t="shared" si="10"/>
        <v>0</v>
      </c>
      <c r="H32" s="175">
        <f t="shared" si="10"/>
        <v>0</v>
      </c>
      <c r="I32" s="175">
        <f t="shared" si="10"/>
        <v>0</v>
      </c>
      <c r="J32" s="175">
        <f t="shared" si="10"/>
        <v>0</v>
      </c>
      <c r="K32" s="175">
        <f t="shared" si="10"/>
        <v>0</v>
      </c>
      <c r="L32" s="175">
        <f t="shared" si="10"/>
        <v>0</v>
      </c>
      <c r="M32" s="175">
        <f t="shared" si="10"/>
        <v>0</v>
      </c>
    </row>
    <row r="33" spans="2:15" x14ac:dyDescent="0.35">
      <c r="B33" t="s">
        <v>131</v>
      </c>
      <c r="D33" s="175">
        <f t="shared" si="10"/>
        <v>2483.8249999999998</v>
      </c>
      <c r="E33" s="175">
        <f t="shared" si="10"/>
        <v>0</v>
      </c>
      <c r="F33" s="175">
        <f t="shared" si="10"/>
        <v>0</v>
      </c>
      <c r="G33" s="175">
        <f t="shared" si="10"/>
        <v>0</v>
      </c>
      <c r="H33" s="175">
        <f t="shared" si="10"/>
        <v>0</v>
      </c>
      <c r="I33" s="175">
        <f t="shared" si="10"/>
        <v>0</v>
      </c>
      <c r="J33" s="175">
        <f t="shared" si="10"/>
        <v>0</v>
      </c>
      <c r="K33" s="175">
        <f t="shared" si="10"/>
        <v>0</v>
      </c>
      <c r="L33" s="175">
        <f t="shared" si="10"/>
        <v>0</v>
      </c>
      <c r="M33" s="175">
        <f t="shared" si="10"/>
        <v>0</v>
      </c>
    </row>
    <row r="34" spans="2:15" x14ac:dyDescent="0.35">
      <c r="B34" t="s">
        <v>133</v>
      </c>
      <c r="D34" s="175">
        <f t="shared" si="10"/>
        <v>-2747.782591118807</v>
      </c>
      <c r="E34" s="175">
        <f t="shared" si="10"/>
        <v>-131.86374707383564</v>
      </c>
      <c r="F34" s="175">
        <f t="shared" si="10"/>
        <v>318.20880686958424</v>
      </c>
      <c r="G34" s="175">
        <f t="shared" si="10"/>
        <v>465.50952621351792</v>
      </c>
      <c r="H34" s="175">
        <f t="shared" si="10"/>
        <v>844.11473446498337</v>
      </c>
      <c r="I34" s="175">
        <f t="shared" si="10"/>
        <v>1092.7569547679539</v>
      </c>
      <c r="J34" s="175">
        <f t="shared" si="10"/>
        <v>1180.7472905440416</v>
      </c>
      <c r="K34" s="175">
        <f t="shared" si="10"/>
        <v>1180.7472905440416</v>
      </c>
      <c r="L34" s="175">
        <f t="shared" si="10"/>
        <v>1180.7472905440416</v>
      </c>
      <c r="M34" s="175">
        <f t="shared" si="10"/>
        <v>1180.7472905440416</v>
      </c>
    </row>
    <row r="35" spans="2:15" x14ac:dyDescent="0.35">
      <c r="B35" t="s">
        <v>134</v>
      </c>
      <c r="D35" s="175">
        <f t="shared" si="10"/>
        <v>-2747.782591118807</v>
      </c>
      <c r="E35" s="175">
        <f t="shared" si="10"/>
        <v>-131.86374707383564</v>
      </c>
      <c r="F35" s="175">
        <f t="shared" si="10"/>
        <v>318.20880686958424</v>
      </c>
      <c r="G35" s="175">
        <f t="shared" si="10"/>
        <v>465.50952621351792</v>
      </c>
      <c r="H35" s="175">
        <f t="shared" si="10"/>
        <v>844.11473446498337</v>
      </c>
      <c r="I35" s="175">
        <f t="shared" si="10"/>
        <v>1092.7569547679539</v>
      </c>
      <c r="J35" s="175">
        <f t="shared" si="10"/>
        <v>1180.7472905440416</v>
      </c>
      <c r="K35" s="175">
        <f t="shared" si="10"/>
        <v>1180.7472905440416</v>
      </c>
      <c r="L35" s="175">
        <f t="shared" si="10"/>
        <v>1157.5953828863153</v>
      </c>
      <c r="M35" s="175">
        <f t="shared" si="10"/>
        <v>1134.8974342022698</v>
      </c>
    </row>
    <row r="36" spans="2:15" x14ac:dyDescent="0.35">
      <c r="B36" s="19" t="s">
        <v>148</v>
      </c>
      <c r="C36" s="53">
        <f>SUM(D35:M35)</f>
        <v>4494.9310823000651</v>
      </c>
    </row>
    <row r="37" spans="2:15" x14ac:dyDescent="0.35">
      <c r="B37" s="183" t="s">
        <v>149</v>
      </c>
      <c r="C37" s="185">
        <f>C36/$C$5</f>
        <v>6.8524782604653431</v>
      </c>
    </row>
    <row r="40" spans="2:15" ht="15.5" x14ac:dyDescent="0.35">
      <c r="B40" s="182" t="s">
        <v>145</v>
      </c>
    </row>
    <row r="41" spans="2:15" x14ac:dyDescent="0.35">
      <c r="B41" s="146" t="s">
        <v>112</v>
      </c>
      <c r="C41" s="146" t="s">
        <v>129</v>
      </c>
      <c r="D41" s="146">
        <v>1</v>
      </c>
      <c r="E41" s="146">
        <v>2</v>
      </c>
      <c r="F41" s="146">
        <v>3</v>
      </c>
      <c r="G41" s="146">
        <v>4</v>
      </c>
      <c r="H41" s="146">
        <v>5</v>
      </c>
      <c r="I41" s="146">
        <v>6</v>
      </c>
      <c r="J41" s="146">
        <v>7</v>
      </c>
      <c r="K41" s="146">
        <v>8</v>
      </c>
      <c r="L41" s="146">
        <v>9</v>
      </c>
      <c r="M41" s="146">
        <v>10</v>
      </c>
      <c r="N41" s="146">
        <v>11</v>
      </c>
      <c r="O41" s="146">
        <v>12</v>
      </c>
    </row>
    <row r="42" spans="2:15" x14ac:dyDescent="0.35">
      <c r="B42" t="s">
        <v>73</v>
      </c>
      <c r="D42" s="52">
        <f>'50 CAP'!D33</f>
        <v>0</v>
      </c>
      <c r="E42" s="52">
        <f>'50 CAP'!E33</f>
        <v>2181.1173999999996</v>
      </c>
      <c r="F42" s="52">
        <f>'50 CAP'!F33</f>
        <v>7165.4793649999983</v>
      </c>
      <c r="G42" s="52">
        <f>'50 CAP'!G33</f>
        <v>13435.174407750001</v>
      </c>
      <c r="H42" s="52">
        <f>'50 CAP'!H33</f>
        <v>16492.862462587498</v>
      </c>
      <c r="I42" s="52">
        <f>'50 CAP'!I33</f>
        <v>19213.680269236873</v>
      </c>
      <c r="J42" s="52">
        <f>'50 CAP'!J33</f>
        <v>21247.140160838717</v>
      </c>
      <c r="K42" s="52">
        <f>$J$42</f>
        <v>21247.140160838717</v>
      </c>
      <c r="L42" s="52">
        <f t="shared" ref="L42:O42" si="11">$J$42</f>
        <v>21247.140160838717</v>
      </c>
      <c r="M42" s="52">
        <f t="shared" si="11"/>
        <v>21247.140160838717</v>
      </c>
      <c r="N42" s="52">
        <f t="shared" si="11"/>
        <v>21247.140160838717</v>
      </c>
      <c r="O42" s="52">
        <f t="shared" si="11"/>
        <v>21247.140160838717</v>
      </c>
    </row>
    <row r="43" spans="2:15" x14ac:dyDescent="0.35">
      <c r="B43" t="s">
        <v>137</v>
      </c>
      <c r="D43" s="52">
        <f>'50 CAP'!D37</f>
        <v>-263.95759111880699</v>
      </c>
      <c r="E43" s="52">
        <f>'50 CAP'!E37</f>
        <v>-659.7789293114497</v>
      </c>
      <c r="F43" s="52">
        <f>'50 CAP'!F37</f>
        <v>-704.17741839808468</v>
      </c>
      <c r="G43" s="52">
        <f>'50 CAP'!G37</f>
        <v>187.61749909212381</v>
      </c>
      <c r="H43" s="52">
        <f>'50 CAP'!H37</f>
        <v>1466.6103044384358</v>
      </c>
      <c r="I43" s="52">
        <f>'50 CAP'!I37</f>
        <v>2587.563745262712</v>
      </c>
      <c r="J43" s="52">
        <f>'50 CAP'!J37</f>
        <v>3796.4578330830986</v>
      </c>
      <c r="K43" s="52">
        <f>$J$43</f>
        <v>3796.4578330830986</v>
      </c>
      <c r="L43" s="52">
        <f t="shared" ref="L43:O43" si="12">$J$43</f>
        <v>3796.4578330830986</v>
      </c>
      <c r="M43" s="52">
        <f t="shared" si="12"/>
        <v>3796.4578330830986</v>
      </c>
      <c r="N43" s="52">
        <f t="shared" si="12"/>
        <v>3796.4578330830986</v>
      </c>
      <c r="O43" s="52">
        <f t="shared" si="12"/>
        <v>3796.4578330830986</v>
      </c>
    </row>
    <row r="44" spans="2:15" x14ac:dyDescent="0.35">
      <c r="B44" t="s">
        <v>138</v>
      </c>
      <c r="D44" s="175">
        <f>D42*$C$7</f>
        <v>0</v>
      </c>
      <c r="E44" s="175">
        <f t="shared" ref="E44:F44" si="13">E42*$C$7</f>
        <v>0</v>
      </c>
      <c r="F44" s="175">
        <f t="shared" si="13"/>
        <v>0</v>
      </c>
      <c r="G44" s="175">
        <f t="shared" ref="G44:M44" si="14">G42*$C$7</f>
        <v>0</v>
      </c>
      <c r="H44" s="175">
        <f t="shared" si="14"/>
        <v>0</v>
      </c>
      <c r="I44" s="175">
        <f t="shared" si="14"/>
        <v>0</v>
      </c>
      <c r="J44" s="175">
        <f t="shared" si="14"/>
        <v>0</v>
      </c>
      <c r="K44" s="175">
        <f t="shared" si="14"/>
        <v>0</v>
      </c>
      <c r="L44" s="175">
        <f t="shared" si="14"/>
        <v>0</v>
      </c>
      <c r="M44" s="175">
        <f t="shared" si="14"/>
        <v>0</v>
      </c>
      <c r="N44" s="175">
        <f t="shared" ref="N44:O44" si="15">N42*$C$7</f>
        <v>0</v>
      </c>
      <c r="O44" s="175">
        <f t="shared" si="15"/>
        <v>0</v>
      </c>
    </row>
    <row r="45" spans="2:15" x14ac:dyDescent="0.35">
      <c r="B45" t="s">
        <v>131</v>
      </c>
      <c r="D45" s="52">
        <f>Invest!D20</f>
        <v>2483.8249999999994</v>
      </c>
      <c r="E45" s="52">
        <f>Invest!E20</f>
        <v>4967.6499999999987</v>
      </c>
      <c r="F45" s="52">
        <f>Invest!F20</f>
        <v>4967.6499999999987</v>
      </c>
      <c r="G45" s="52">
        <f>Invest!G22</f>
        <v>0</v>
      </c>
      <c r="H45" s="52">
        <f>Invest!H22</f>
        <v>0</v>
      </c>
      <c r="I45" s="52">
        <f>Invest!I22</f>
        <v>0</v>
      </c>
      <c r="J45" s="52">
        <f>Invest!J22</f>
        <v>0</v>
      </c>
      <c r="K45" s="52">
        <f>Invest!K22</f>
        <v>0</v>
      </c>
      <c r="L45" s="52">
        <f>Invest!L22</f>
        <v>0</v>
      </c>
      <c r="M45" s="52">
        <f>Invest!M22</f>
        <v>0</v>
      </c>
      <c r="N45" s="52">
        <f>Invest!N22</f>
        <v>0</v>
      </c>
      <c r="O45" s="52">
        <f>Invest!O22</f>
        <v>0</v>
      </c>
    </row>
    <row r="46" spans="2:15" x14ac:dyDescent="0.35">
      <c r="B46" t="s">
        <v>133</v>
      </c>
      <c r="D46" s="179">
        <f>D43-D44-D45</f>
        <v>-2747.7825911188065</v>
      </c>
      <c r="E46" s="179">
        <f t="shared" ref="E46:M46" si="16">E43-E44-E45</f>
        <v>-5627.4289293114489</v>
      </c>
      <c r="F46" s="179">
        <f t="shared" si="16"/>
        <v>-5671.827418398083</v>
      </c>
      <c r="G46" s="179">
        <f t="shared" si="16"/>
        <v>187.61749909212381</v>
      </c>
      <c r="H46" s="179">
        <f t="shared" si="16"/>
        <v>1466.6103044384358</v>
      </c>
      <c r="I46" s="179">
        <f t="shared" si="16"/>
        <v>2587.563745262712</v>
      </c>
      <c r="J46" s="179">
        <f t="shared" si="16"/>
        <v>3796.4578330830986</v>
      </c>
      <c r="K46" s="179">
        <f t="shared" si="16"/>
        <v>3796.4578330830986</v>
      </c>
      <c r="L46" s="179">
        <f t="shared" si="16"/>
        <v>3796.4578330830986</v>
      </c>
      <c r="M46" s="179">
        <f t="shared" si="16"/>
        <v>3796.4578330830986</v>
      </c>
      <c r="N46" s="179">
        <f t="shared" ref="N46:O46" si="17">N43-N44-N45</f>
        <v>3796.4578330830986</v>
      </c>
      <c r="O46" s="179">
        <f t="shared" si="17"/>
        <v>3796.4578330830986</v>
      </c>
    </row>
    <row r="47" spans="2:15" x14ac:dyDescent="0.35">
      <c r="B47" t="s">
        <v>134</v>
      </c>
      <c r="D47" s="179">
        <f>D46*D$15</f>
        <v>-2747.7825911188065</v>
      </c>
      <c r="E47" s="179">
        <f t="shared" ref="E47:M47" si="18">E46*E$15</f>
        <v>-5627.4289293114489</v>
      </c>
      <c r="F47" s="179">
        <f t="shared" si="18"/>
        <v>-5671.827418398083</v>
      </c>
      <c r="G47" s="179">
        <f t="shared" si="18"/>
        <v>187.61749909212381</v>
      </c>
      <c r="H47" s="179">
        <f t="shared" si="18"/>
        <v>1466.6103044384358</v>
      </c>
      <c r="I47" s="179">
        <f t="shared" si="18"/>
        <v>2587.563745262712</v>
      </c>
      <c r="J47" s="179">
        <f t="shared" si="18"/>
        <v>3796.4578330830986</v>
      </c>
      <c r="K47" s="179">
        <f t="shared" si="18"/>
        <v>3796.4578330830986</v>
      </c>
      <c r="L47" s="179">
        <f t="shared" si="18"/>
        <v>3722.0174834148024</v>
      </c>
      <c r="M47" s="179">
        <f t="shared" si="18"/>
        <v>3649.0367484458848</v>
      </c>
      <c r="N47" s="179">
        <f t="shared" ref="N47:O47" si="19">N46*N$15</f>
        <v>3577.487008280279</v>
      </c>
      <c r="O47" s="179">
        <f t="shared" si="19"/>
        <v>3507.3402041963518</v>
      </c>
    </row>
    <row r="48" spans="2:15" x14ac:dyDescent="0.35">
      <c r="B48" s="19" t="s">
        <v>153</v>
      </c>
      <c r="C48" s="180">
        <f>SUM(D47:O47)</f>
        <v>12243.549720468451</v>
      </c>
    </row>
    <row r="49" spans="2:3" x14ac:dyDescent="0.35">
      <c r="B49" s="183" t="s">
        <v>152</v>
      </c>
      <c r="C49" s="185">
        <f>C48/$C$5</f>
        <v>18.665171223827858</v>
      </c>
    </row>
    <row r="51" spans="2:3" x14ac:dyDescent="0.35">
      <c r="B51" s="187" t="s">
        <v>154</v>
      </c>
      <c r="C51" s="188">
        <f>SUM(D47:M47)</f>
        <v>5158.7225079918198</v>
      </c>
    </row>
    <row r="52" spans="2:3" x14ac:dyDescent="0.35">
      <c r="B52" s="187" t="s">
        <v>155</v>
      </c>
      <c r="C52" s="189">
        <f>C51/$C$5</f>
        <v>7.8644217654386184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C0714-71F7-4BC6-928E-C83D8E13DE2A}">
  <dimension ref="A1:J145"/>
  <sheetViews>
    <sheetView zoomScale="70" zoomScaleNormal="70" workbookViewId="0">
      <selection activeCell="D37" sqref="D37:J37"/>
    </sheetView>
  </sheetViews>
  <sheetFormatPr baseColWidth="10" defaultRowHeight="14.5" x14ac:dyDescent="0.35"/>
  <cols>
    <col min="2" max="2" width="38.81640625" customWidth="1"/>
    <col min="3" max="3" width="16.7265625" customWidth="1"/>
    <col min="4" max="4" width="17" customWidth="1"/>
    <col min="5" max="5" width="15.7265625" customWidth="1"/>
    <col min="6" max="6" width="19.54296875" customWidth="1"/>
    <col min="7" max="7" width="15.7265625" customWidth="1"/>
    <col min="8" max="8" width="18.26953125" customWidth="1"/>
    <col min="9" max="9" width="13.7265625" customWidth="1"/>
    <col min="10" max="10" width="15.7265625" customWidth="1"/>
  </cols>
  <sheetData>
    <row r="1" spans="1:10" ht="28.5" x14ac:dyDescent="0.65">
      <c r="A1" s="26" t="s">
        <v>62</v>
      </c>
      <c r="B1" s="26"/>
      <c r="E1" s="68" t="s">
        <v>72</v>
      </c>
    </row>
    <row r="2" spans="1:10" ht="26" x14ac:dyDescent="0.6">
      <c r="E2" s="145" t="s">
        <v>99</v>
      </c>
      <c r="G2" s="18"/>
      <c r="H2" s="138"/>
    </row>
    <row r="3" spans="1:10" ht="26" x14ac:dyDescent="0.6">
      <c r="F3" s="145"/>
      <c r="G3" s="18"/>
      <c r="H3" s="138"/>
    </row>
    <row r="4" spans="1:10" ht="26" x14ac:dyDescent="0.6">
      <c r="F4" s="145"/>
      <c r="G4" s="18"/>
      <c r="H4" s="138"/>
    </row>
    <row r="5" spans="1:10" ht="26" x14ac:dyDescent="0.6">
      <c r="F5" s="145"/>
      <c r="G5" s="18"/>
      <c r="H5" s="138"/>
    </row>
    <row r="6" spans="1:10" ht="26" x14ac:dyDescent="0.6">
      <c r="F6" s="145"/>
      <c r="G6" s="18"/>
      <c r="H6" s="138"/>
    </row>
    <row r="7" spans="1:10" ht="26" x14ac:dyDescent="0.6">
      <c r="F7" s="145"/>
      <c r="G7" s="18"/>
      <c r="H7" s="138"/>
    </row>
    <row r="8" spans="1:10" ht="26" x14ac:dyDescent="0.6">
      <c r="F8" s="145"/>
      <c r="G8" s="18"/>
      <c r="H8" s="138"/>
    </row>
    <row r="9" spans="1:10" ht="26" x14ac:dyDescent="0.6">
      <c r="F9" s="145"/>
      <c r="G9" s="18"/>
      <c r="H9" s="138"/>
    </row>
    <row r="10" spans="1:10" ht="18.5" x14ac:dyDescent="0.45">
      <c r="B10" s="81" t="s">
        <v>5</v>
      </c>
      <c r="C10" s="81"/>
      <c r="D10" s="84">
        <v>46023</v>
      </c>
    </row>
    <row r="12" spans="1:10" ht="18.5" x14ac:dyDescent="0.45">
      <c r="B12" s="83" t="s">
        <v>4</v>
      </c>
      <c r="C12" s="83"/>
      <c r="D12" s="110">
        <v>1</v>
      </c>
      <c r="E12" s="110">
        <f t="shared" ref="E12:J12" si="0">1+D12</f>
        <v>2</v>
      </c>
      <c r="F12" s="110">
        <f t="shared" si="0"/>
        <v>3</v>
      </c>
      <c r="G12" s="110">
        <f t="shared" si="0"/>
        <v>4</v>
      </c>
      <c r="H12" s="110">
        <f t="shared" si="0"/>
        <v>5</v>
      </c>
      <c r="I12" s="110">
        <f t="shared" si="0"/>
        <v>6</v>
      </c>
      <c r="J12" s="110">
        <f t="shared" si="0"/>
        <v>7</v>
      </c>
    </row>
    <row r="13" spans="1:10" ht="18.5" x14ac:dyDescent="0.45">
      <c r="B13" s="81" t="s">
        <v>3</v>
      </c>
      <c r="C13" s="81"/>
      <c r="D13" s="144">
        <f>D10</f>
        <v>46023</v>
      </c>
      <c r="E13" s="144">
        <f>[2]PL!E5</f>
        <v>46388</v>
      </c>
      <c r="F13" s="144">
        <f>[2]PL!F5</f>
        <v>46753</v>
      </c>
      <c r="G13" s="144">
        <f>[2]PL!G5</f>
        <v>47119</v>
      </c>
      <c r="H13" s="144">
        <f>[2]PL!H5</f>
        <v>47484</v>
      </c>
      <c r="I13" s="144">
        <f>[2]PL!I5</f>
        <v>47849</v>
      </c>
      <c r="J13" s="144">
        <f>[2]PL!J5</f>
        <v>48214</v>
      </c>
    </row>
    <row r="15" spans="1:10" ht="23.5" x14ac:dyDescent="0.55000000000000004">
      <c r="B15" s="143" t="s">
        <v>80</v>
      </c>
    </row>
    <row r="16" spans="1:10" ht="15" thickBot="1" x14ac:dyDescent="0.4"/>
    <row r="17" spans="2:10" ht="16.5" customHeight="1" thickBot="1" x14ac:dyDescent="0.4">
      <c r="B17" s="1" t="s">
        <v>51</v>
      </c>
      <c r="C17" s="1">
        <v>1</v>
      </c>
    </row>
    <row r="18" spans="2:10" ht="15" thickBot="1" x14ac:dyDescent="0.4">
      <c r="B18" s="53"/>
      <c r="C18" s="53"/>
    </row>
    <row r="19" spans="2:10" ht="15" customHeight="1" thickBot="1" x14ac:dyDescent="0.4">
      <c r="B19" s="1" t="s">
        <v>52</v>
      </c>
      <c r="C19" s="1"/>
    </row>
    <row r="20" spans="2:10" ht="15" customHeight="1" thickBot="1" x14ac:dyDescent="0.4">
      <c r="B20" s="53"/>
      <c r="C20" s="53"/>
    </row>
    <row r="21" spans="2:10" ht="15" customHeight="1" thickBot="1" x14ac:dyDescent="0.4">
      <c r="B21" s="1" t="s">
        <v>53</v>
      </c>
      <c r="C21" s="1"/>
    </row>
    <row r="22" spans="2:10" ht="15" customHeight="1" thickBot="1" x14ac:dyDescent="0.4">
      <c r="B22" s="53"/>
      <c r="C22" s="53"/>
    </row>
    <row r="23" spans="2:10" ht="15" customHeight="1" thickBot="1" x14ac:dyDescent="0.4">
      <c r="B23" s="69" t="s">
        <v>38</v>
      </c>
      <c r="C23" s="70">
        <f>SUM(C17:C22)</f>
        <v>1</v>
      </c>
    </row>
    <row r="24" spans="2:10" ht="15" customHeight="1" x14ac:dyDescent="0.35"/>
    <row r="25" spans="2:10" ht="15" customHeight="1" x14ac:dyDescent="0.35"/>
    <row r="26" spans="2:10" ht="15" customHeight="1" x14ac:dyDescent="0.35"/>
    <row r="27" spans="2:10" ht="15" customHeight="1" x14ac:dyDescent="0.35"/>
    <row r="28" spans="2:10" ht="26" x14ac:dyDescent="0.6">
      <c r="B28" s="142" t="s">
        <v>96</v>
      </c>
    </row>
    <row r="30" spans="2:10" ht="23.5" x14ac:dyDescent="0.55000000000000004">
      <c r="B30" s="137" t="s">
        <v>83</v>
      </c>
    </row>
    <row r="31" spans="2:10" s="19" customFormat="1" x14ac:dyDescent="0.35"/>
    <row r="32" spans="2:10" ht="15.5" x14ac:dyDescent="0.35">
      <c r="B32" s="112" t="s">
        <v>4</v>
      </c>
      <c r="C32" s="112" t="s">
        <v>54</v>
      </c>
      <c r="D32" s="113">
        <f t="shared" ref="D32:J32" si="1">D12</f>
        <v>1</v>
      </c>
      <c r="E32" s="113">
        <f t="shared" si="1"/>
        <v>2</v>
      </c>
      <c r="F32" s="113">
        <f t="shared" si="1"/>
        <v>3</v>
      </c>
      <c r="G32" s="113">
        <f t="shared" si="1"/>
        <v>4</v>
      </c>
      <c r="H32" s="113">
        <f t="shared" si="1"/>
        <v>5</v>
      </c>
      <c r="I32" s="113">
        <f t="shared" si="1"/>
        <v>6</v>
      </c>
      <c r="J32" s="113">
        <f t="shared" si="1"/>
        <v>7</v>
      </c>
    </row>
    <row r="33" spans="2:10" ht="15.5" x14ac:dyDescent="0.35">
      <c r="B33" s="114" t="s">
        <v>73</v>
      </c>
      <c r="C33" s="102">
        <f>SUM(D33:J33)</f>
        <v>2137.064566693934</v>
      </c>
      <c r="D33" s="102">
        <f>[2]PL!D27</f>
        <v>0</v>
      </c>
      <c r="E33" s="102">
        <f>[2]PL!E27</f>
        <v>218.11173999999994</v>
      </c>
      <c r="F33" s="102">
        <f>[2]PL!F27</f>
        <v>280.32445649999994</v>
      </c>
      <c r="G33" s="102">
        <f>[2]PL!G27</f>
        <v>346.64504777499997</v>
      </c>
      <c r="H33" s="102">
        <f>[2]PL!H27</f>
        <v>395.34723770874996</v>
      </c>
      <c r="I33" s="102">
        <f>[2]PL!I27</f>
        <v>437.3834559561875</v>
      </c>
      <c r="J33" s="133">
        <f>[2]PL!J27</f>
        <v>459.25262875399693</v>
      </c>
    </row>
    <row r="34" spans="2:10" ht="15.5" x14ac:dyDescent="0.35">
      <c r="B34" s="114" t="s">
        <v>103</v>
      </c>
      <c r="C34" s="148">
        <f t="shared" ref="C34:J34" si="2">C33/656</f>
        <v>3.2577203760578262</v>
      </c>
      <c r="D34" s="148">
        <f t="shared" si="2"/>
        <v>0</v>
      </c>
      <c r="E34" s="148">
        <f t="shared" si="2"/>
        <v>0.33248740853658526</v>
      </c>
      <c r="F34" s="148">
        <f t="shared" si="2"/>
        <v>0.42732386661585359</v>
      </c>
      <c r="G34" s="148">
        <f t="shared" si="2"/>
        <v>0.52842232892530483</v>
      </c>
      <c r="H34" s="148">
        <f t="shared" si="2"/>
        <v>0.60266347211699689</v>
      </c>
      <c r="I34" s="148">
        <f t="shared" si="2"/>
        <v>0.66674307310394432</v>
      </c>
      <c r="J34" s="149">
        <f t="shared" si="2"/>
        <v>0.70008022675914161</v>
      </c>
    </row>
    <row r="35" spans="2:10" ht="15.5" x14ac:dyDescent="0.35">
      <c r="B35" s="114" t="s">
        <v>91</v>
      </c>
      <c r="C35" s="102">
        <f>SUM(D35:J35)</f>
        <v>856.91746958232432</v>
      </c>
      <c r="D35" s="102">
        <f>[2]PL!D30</f>
        <v>0</v>
      </c>
      <c r="E35" s="102">
        <f>[2]PL!E30</f>
        <v>132.57599188636362</v>
      </c>
      <c r="F35" s="102">
        <f>[2]PL!F30</f>
        <v>124.47599188636362</v>
      </c>
      <c r="G35" s="102">
        <f>[2]PL!G30</f>
        <v>136.36815255123966</v>
      </c>
      <c r="H35" s="102">
        <f>[2]PL!H30</f>
        <v>142.56436369090909</v>
      </c>
      <c r="I35" s="102">
        <f>[2]PL!I30</f>
        <v>156.1498176838636</v>
      </c>
      <c r="J35" s="133">
        <f>[2]PL!J30</f>
        <v>164.78315188358479</v>
      </c>
    </row>
    <row r="36" spans="2:10" ht="15.5" x14ac:dyDescent="0.35">
      <c r="B36" s="114" t="s">
        <v>92</v>
      </c>
      <c r="C36" s="102"/>
      <c r="D36" s="140">
        <f>[2]PL!D32</f>
        <v>0</v>
      </c>
      <c r="E36" s="140">
        <f>[2]PL!E32</f>
        <v>0.39216480558834815</v>
      </c>
      <c r="F36" s="140">
        <f>[2]PL!F32</f>
        <v>0.55595743075537318</v>
      </c>
      <c r="G36" s="140">
        <f>[2]PL!G32</f>
        <v>0.60660579625602107</v>
      </c>
      <c r="H36" s="140">
        <f>[2]PL!H32</f>
        <v>0.63939456231654401</v>
      </c>
      <c r="I36" s="140">
        <f>[2]PL!I32</f>
        <v>0.64299102867872293</v>
      </c>
      <c r="J36" s="141">
        <f>[2]PL!J32</f>
        <v>0.64119279549763342</v>
      </c>
    </row>
    <row r="37" spans="2:10" ht="15.5" x14ac:dyDescent="0.35">
      <c r="B37" s="114" t="s">
        <v>97</v>
      </c>
      <c r="C37" s="132">
        <f>SUM(D37:J37)</f>
        <v>350.55159746674383</v>
      </c>
      <c r="D37" s="132">
        <f>[2]PL!D47</f>
        <v>-26.3957591118807</v>
      </c>
      <c r="E37" s="132">
        <f>[2]PL!E47</f>
        <v>-13.186374707383564</v>
      </c>
      <c r="F37" s="132">
        <f>[2]PL!F47</f>
        <v>31.820880686958422</v>
      </c>
      <c r="G37" s="132">
        <f>[2]PL!G47</f>
        <v>46.55095262135179</v>
      </c>
      <c r="H37" s="132">
        <f>[2]PL!H47</f>
        <v>84.411473446498334</v>
      </c>
      <c r="I37" s="132">
        <f>[2]PL!I47</f>
        <v>109.27569547679538</v>
      </c>
      <c r="J37" s="134">
        <f>[2]PL!J47</f>
        <v>118.07472905440416</v>
      </c>
    </row>
    <row r="57" spans="2:10" ht="23.5" x14ac:dyDescent="0.55000000000000004">
      <c r="B57" s="137" t="s">
        <v>111</v>
      </c>
    </row>
    <row r="58" spans="2:10" ht="23.5" x14ac:dyDescent="0.55000000000000004">
      <c r="B58" s="137"/>
    </row>
    <row r="59" spans="2:10" ht="15.5" x14ac:dyDescent="0.35">
      <c r="B59" s="110" t="s">
        <v>104</v>
      </c>
      <c r="C59" s="65">
        <v>75500</v>
      </c>
      <c r="D59" s="59" t="s">
        <v>113</v>
      </c>
    </row>
    <row r="60" spans="2:10" ht="15.5" x14ac:dyDescent="0.35">
      <c r="B60" s="110" t="s">
        <v>105</v>
      </c>
      <c r="C60" s="156">
        <f>E61/15/75500</f>
        <v>0.16512141280353201</v>
      </c>
      <c r="D60" s="59" t="s">
        <v>121</v>
      </c>
    </row>
    <row r="61" spans="2:10" ht="15.5" x14ac:dyDescent="0.35">
      <c r="B61" s="110" t="s">
        <v>106</v>
      </c>
      <c r="C61" s="167">
        <f>657*C60</f>
        <v>108.48476821192054</v>
      </c>
      <c r="D61" s="166"/>
      <c r="E61" s="164">
        <v>187000</v>
      </c>
      <c r="F61" s="19" t="str">
        <f>CONCATENATE("( soit ",E61*656," CFA)")</f>
        <v>( soit 122672000 CFA)</v>
      </c>
      <c r="G61" s="19" t="s">
        <v>124</v>
      </c>
    </row>
    <row r="62" spans="2:10" ht="15" thickBot="1" x14ac:dyDescent="0.4"/>
    <row r="63" spans="2:10" ht="16" thickBot="1" x14ac:dyDescent="0.4">
      <c r="B63" s="112" t="s">
        <v>112</v>
      </c>
      <c r="C63" s="112" t="s">
        <v>54</v>
      </c>
      <c r="D63" s="155">
        <f t="shared" ref="D63:J63" si="3">D74</f>
        <v>1</v>
      </c>
      <c r="E63" s="155">
        <f t="shared" si="3"/>
        <v>2</v>
      </c>
      <c r="F63" s="155">
        <f t="shared" si="3"/>
        <v>3</v>
      </c>
      <c r="G63" s="155">
        <f t="shared" si="3"/>
        <v>4</v>
      </c>
      <c r="H63" s="155">
        <f t="shared" si="3"/>
        <v>5</v>
      </c>
      <c r="I63" s="155">
        <f t="shared" si="3"/>
        <v>6</v>
      </c>
      <c r="J63" s="155">
        <f t="shared" si="3"/>
        <v>7</v>
      </c>
    </row>
    <row r="64" spans="2:10" ht="15.5" x14ac:dyDescent="0.35">
      <c r="B64" s="114" t="s">
        <v>109</v>
      </c>
      <c r="C64" s="102">
        <f>SUM(D64:J64)</f>
        <v>408.11812856083861</v>
      </c>
      <c r="D64" s="102">
        <f>[2]PL!D144</f>
        <v>0</v>
      </c>
      <c r="E64" s="102">
        <f>[2]PL!E144</f>
        <v>41.65309580873172</v>
      </c>
      <c r="F64" s="102">
        <f>[2]PL!F144</f>
        <v>53.533942941930356</v>
      </c>
      <c r="G64" s="102">
        <f>[2]PL!G144</f>
        <v>66.199276511179377</v>
      </c>
      <c r="H64" s="102">
        <f>[2]PL!H144</f>
        <v>75.5</v>
      </c>
      <c r="I64" s="102">
        <f>[2]PL!I144</f>
        <v>83.527713804388853</v>
      </c>
      <c r="J64" s="133">
        <f>[2]PL!J144</f>
        <v>87.704099494608315</v>
      </c>
    </row>
    <row r="65" spans="2:10" ht="30.75" customHeight="1" x14ac:dyDescent="0.35">
      <c r="B65" s="161" t="s">
        <v>120</v>
      </c>
      <c r="C65" s="165" t="s">
        <v>122</v>
      </c>
      <c r="D65" s="162">
        <f t="shared" ref="D65:J65" si="4">D64/1800</f>
        <v>0</v>
      </c>
      <c r="E65" s="162">
        <f t="shared" si="4"/>
        <v>2.3140608782628733E-2</v>
      </c>
      <c r="F65" s="162">
        <f t="shared" si="4"/>
        <v>2.974107941218353E-2</v>
      </c>
      <c r="G65" s="162">
        <f t="shared" si="4"/>
        <v>3.6777375839544102E-2</v>
      </c>
      <c r="H65" s="162">
        <f t="shared" si="4"/>
        <v>4.1944444444444444E-2</v>
      </c>
      <c r="I65" s="162">
        <f t="shared" si="4"/>
        <v>4.6404285446882694E-2</v>
      </c>
      <c r="J65" s="163">
        <f t="shared" si="4"/>
        <v>4.8724499719226842E-2</v>
      </c>
    </row>
    <row r="66" spans="2:10" ht="15.5" x14ac:dyDescent="0.35">
      <c r="B66" s="114" t="s">
        <v>110</v>
      </c>
      <c r="C66" s="132">
        <f>SUM(D66:J66)</f>
        <v>44.274600580005362</v>
      </c>
      <c r="D66" s="132">
        <f>[2]PL!D146</f>
        <v>0</v>
      </c>
      <c r="E66" s="132">
        <f>[2]PL!E146</f>
        <v>4.5187264441191797</v>
      </c>
      <c r="F66" s="132">
        <f>[2]PL!F146</f>
        <v>5.8076173915254943</v>
      </c>
      <c r="G66" s="132">
        <f>[2]PL!G146</f>
        <v>7.18161316811213</v>
      </c>
      <c r="H66" s="132">
        <f>[2]PL!H146</f>
        <v>8.1906000000000017</v>
      </c>
      <c r="I66" s="132">
        <f>[2]PL!I146</f>
        <v>9.0614846713407591</v>
      </c>
      <c r="J66" s="134">
        <f>[2]PL!J146</f>
        <v>9.5145589049077994</v>
      </c>
    </row>
    <row r="67" spans="2:10" ht="15.5" x14ac:dyDescent="0.35">
      <c r="B67" s="114" t="s">
        <v>123</v>
      </c>
      <c r="C67" s="172">
        <f>SUM(D67:J67)</f>
        <v>6.7491769176837441E-2</v>
      </c>
      <c r="D67" s="172">
        <f t="shared" ref="D67:J67" si="5">D66/656</f>
        <v>0</v>
      </c>
      <c r="E67" s="172">
        <f t="shared" si="5"/>
        <v>6.8883025062792371E-3</v>
      </c>
      <c r="F67" s="172">
        <f t="shared" si="5"/>
        <v>8.8530752919595956E-3</v>
      </c>
      <c r="G67" s="172">
        <f t="shared" si="5"/>
        <v>1.0947581048951417E-2</v>
      </c>
      <c r="H67" s="172">
        <f t="shared" si="5"/>
        <v>1.2485670731707319E-2</v>
      </c>
      <c r="I67" s="172">
        <f t="shared" si="5"/>
        <v>1.3813238828263352E-2</v>
      </c>
      <c r="J67" s="173">
        <f t="shared" si="5"/>
        <v>1.4503900769676524E-2</v>
      </c>
    </row>
    <row r="72" spans="2:10" s="19" customFormat="1" ht="23.5" x14ac:dyDescent="0.55000000000000004">
      <c r="B72" s="137" t="s">
        <v>84</v>
      </c>
      <c r="C72"/>
      <c r="D72"/>
      <c r="E72"/>
      <c r="F72"/>
      <c r="G72"/>
      <c r="H72"/>
      <c r="I72"/>
      <c r="J72"/>
    </row>
    <row r="73" spans="2:10" x14ac:dyDescent="0.35">
      <c r="B73" s="146"/>
      <c r="C73" s="19"/>
      <c r="D73" s="19"/>
      <c r="E73" s="19"/>
      <c r="F73" s="19"/>
      <c r="G73" s="19"/>
      <c r="H73" s="19"/>
      <c r="I73" s="19"/>
      <c r="J73" s="19"/>
    </row>
    <row r="74" spans="2:10" ht="15.5" x14ac:dyDescent="0.35">
      <c r="B74" s="112" t="s">
        <v>4</v>
      </c>
      <c r="C74" s="112" t="s">
        <v>54</v>
      </c>
      <c r="D74" s="113">
        <f t="shared" ref="D74:J74" si="6">D$12</f>
        <v>1</v>
      </c>
      <c r="E74" s="113">
        <f t="shared" si="6"/>
        <v>2</v>
      </c>
      <c r="F74" s="113">
        <f t="shared" si="6"/>
        <v>3</v>
      </c>
      <c r="G74" s="113">
        <f t="shared" si="6"/>
        <v>4</v>
      </c>
      <c r="H74" s="113">
        <f t="shared" si="6"/>
        <v>5</v>
      </c>
      <c r="I74" s="113">
        <f t="shared" si="6"/>
        <v>6</v>
      </c>
      <c r="J74" s="113">
        <f t="shared" si="6"/>
        <v>7</v>
      </c>
    </row>
    <row r="75" spans="2:10" ht="15.5" x14ac:dyDescent="0.35">
      <c r="B75" s="114" t="s">
        <v>81</v>
      </c>
      <c r="C75" s="102">
        <f>SUM(D75:J75)</f>
        <v>248.38249999999996</v>
      </c>
      <c r="D75" s="102">
        <f>[2]Invest!D20</f>
        <v>248.38249999999996</v>
      </c>
      <c r="E75" s="102">
        <f>[2]Invest!E20</f>
        <v>0</v>
      </c>
      <c r="F75" s="102">
        <f>[2]Invest!F20</f>
        <v>0</v>
      </c>
      <c r="G75" s="102">
        <f>[2]Invest!G20</f>
        <v>0</v>
      </c>
      <c r="H75" s="102">
        <f>[2]Invest!H20</f>
        <v>0</v>
      </c>
      <c r="I75" s="102">
        <f>[2]Invest!I20</f>
        <v>0</v>
      </c>
      <c r="J75" s="133">
        <f>[2]Invest!J20</f>
        <v>0</v>
      </c>
    </row>
    <row r="76" spans="2:10" ht="15.5" x14ac:dyDescent="0.35">
      <c r="B76" s="114" t="s">
        <v>82</v>
      </c>
      <c r="C76" s="132"/>
      <c r="D76" s="132">
        <f>[2]Invest!D21</f>
        <v>248.38249999999996</v>
      </c>
      <c r="E76" s="132">
        <f>[2]Invest!E21</f>
        <v>248.38249999999996</v>
      </c>
      <c r="F76" s="132">
        <f>[2]Invest!F21</f>
        <v>248.38249999999996</v>
      </c>
      <c r="G76" s="132">
        <f>[2]Invest!G21</f>
        <v>248.38249999999996</v>
      </c>
      <c r="H76" s="132">
        <f>[2]Invest!H21</f>
        <v>248.38249999999996</v>
      </c>
      <c r="I76" s="132">
        <f>[2]Invest!I21</f>
        <v>248.38249999999996</v>
      </c>
      <c r="J76" s="134">
        <f>[2]Invest!J21</f>
        <v>248.38249999999996</v>
      </c>
    </row>
    <row r="77" spans="2:10" ht="15.5" x14ac:dyDescent="0.35">
      <c r="B77" s="114" t="s">
        <v>100</v>
      </c>
      <c r="C77" s="150">
        <f>C75/656</f>
        <v>0.37863185975609753</v>
      </c>
    </row>
    <row r="78" spans="2:10" ht="15.5" x14ac:dyDescent="0.35">
      <c r="B78" s="112" t="s">
        <v>125</v>
      </c>
      <c r="C78" s="168">
        <f>SUM(C79:C86)</f>
        <v>248.38250000000002</v>
      </c>
    </row>
    <row r="79" spans="2:10" ht="15.5" x14ac:dyDescent="0.35">
      <c r="B79" s="114" t="str">
        <f>[3]invest!$H225</f>
        <v>charges immobilisées</v>
      </c>
      <c r="C79" s="139">
        <f>[3]invest!$I225*$C$23/1000000</f>
        <v>5</v>
      </c>
    </row>
    <row r="80" spans="2:10" ht="15.5" x14ac:dyDescent="0.35">
      <c r="B80" s="114" t="str">
        <f>[3]invest!$H226</f>
        <v>immos incorporelles</v>
      </c>
      <c r="C80" s="139">
        <f>[3]invest!$I226*$C$23/1000000</f>
        <v>1.84</v>
      </c>
    </row>
    <row r="81" spans="2:10" ht="15.5" x14ac:dyDescent="0.35">
      <c r="B81" s="114" t="str">
        <f>[3]invest!$H227</f>
        <v>foncier</v>
      </c>
      <c r="C81" s="139"/>
    </row>
    <row r="82" spans="2:10" ht="15.5" x14ac:dyDescent="0.35">
      <c r="B82" s="114" t="str">
        <f>[3]invest!$H228</f>
        <v>aménagements et const.</v>
      </c>
      <c r="C82" s="139">
        <f>[3]invest!$I228*$C$23/1000000</f>
        <v>96</v>
      </c>
    </row>
    <row r="83" spans="2:10" ht="15.5" x14ac:dyDescent="0.35">
      <c r="B83" s="114" t="str">
        <f>[3]invest!$J225</f>
        <v>matériels et équipements</v>
      </c>
      <c r="C83" s="139">
        <f>[3]invest!$L225*$C$23/1000000</f>
        <v>135.4</v>
      </c>
    </row>
    <row r="84" spans="2:10" ht="15.5" x14ac:dyDescent="0.35">
      <c r="B84" s="114" t="str">
        <f>[3]invest!$J226</f>
        <v>moyens roulants</v>
      </c>
      <c r="C84" s="139">
        <f>[3]invest!$L226*$C$23/1000000</f>
        <v>4.8</v>
      </c>
    </row>
    <row r="85" spans="2:10" ht="15.5" x14ac:dyDescent="0.35">
      <c r="B85" s="114" t="str">
        <f>[3]invest!$J227</f>
        <v>matériels de bureau</v>
      </c>
      <c r="C85" s="139">
        <f>[3]invest!$L227*$C$23/1000000</f>
        <v>3.5975000000000001</v>
      </c>
    </row>
    <row r="86" spans="2:10" ht="15.5" x14ac:dyDescent="0.35">
      <c r="B86" s="114" t="str">
        <f>[3]invest!$J228</f>
        <v>info et reproduction</v>
      </c>
      <c r="C86" s="139">
        <f>[3]invest!$L228*$C$23/1000000</f>
        <v>1.7450000000000001</v>
      </c>
    </row>
    <row r="91" spans="2:10" s="19" customFormat="1" ht="23.5" x14ac:dyDescent="0.55000000000000004">
      <c r="B91" s="137" t="s">
        <v>85</v>
      </c>
      <c r="C91"/>
      <c r="D91"/>
      <c r="E91"/>
      <c r="F91"/>
      <c r="G91"/>
      <c r="H91"/>
      <c r="I91"/>
      <c r="J91"/>
    </row>
    <row r="92" spans="2:10" x14ac:dyDescent="0.35">
      <c r="B92" s="146"/>
      <c r="C92" s="147"/>
      <c r="D92" s="19"/>
      <c r="E92" s="19"/>
      <c r="F92" s="19"/>
      <c r="G92" s="19"/>
      <c r="H92" s="19"/>
      <c r="I92" s="19"/>
      <c r="J92" s="19"/>
    </row>
    <row r="93" spans="2:10" ht="15.5" x14ac:dyDescent="0.35">
      <c r="B93" s="112" t="s">
        <v>4</v>
      </c>
      <c r="C93" s="112" t="s">
        <v>54</v>
      </c>
      <c r="D93" s="113">
        <f t="shared" ref="D93:J93" si="7">D$12</f>
        <v>1</v>
      </c>
      <c r="E93" s="113">
        <f t="shared" si="7"/>
        <v>2</v>
      </c>
      <c r="F93" s="113">
        <f t="shared" si="7"/>
        <v>3</v>
      </c>
      <c r="G93" s="113">
        <f t="shared" si="7"/>
        <v>4</v>
      </c>
      <c r="H93" s="113">
        <f t="shared" si="7"/>
        <v>5</v>
      </c>
      <c r="I93" s="113">
        <f t="shared" si="7"/>
        <v>6</v>
      </c>
      <c r="J93" s="113">
        <f t="shared" si="7"/>
        <v>7</v>
      </c>
    </row>
    <row r="94" spans="2:10" ht="15.5" x14ac:dyDescent="0.35">
      <c r="B94" s="114" t="s">
        <v>81</v>
      </c>
      <c r="C94" s="102">
        <f>SUM(D94:J94)</f>
        <v>150</v>
      </c>
      <c r="D94" s="102">
        <f>[2]Invest!D72</f>
        <v>150</v>
      </c>
      <c r="E94" s="102">
        <f>[2]Invest!E72</f>
        <v>0</v>
      </c>
      <c r="F94" s="102">
        <f>[2]Invest!F72</f>
        <v>0</v>
      </c>
      <c r="G94" s="102">
        <f>[2]Invest!G72</f>
        <v>0</v>
      </c>
      <c r="H94" s="102">
        <f>[2]Invest!H72</f>
        <v>0</v>
      </c>
      <c r="I94" s="102">
        <f>[2]Invest!I72</f>
        <v>0</v>
      </c>
      <c r="J94" s="139">
        <f>[2]Invest!J72</f>
        <v>0</v>
      </c>
    </row>
    <row r="95" spans="2:10" ht="15.5" x14ac:dyDescent="0.35">
      <c r="B95" s="114" t="s">
        <v>82</v>
      </c>
      <c r="C95" s="102"/>
      <c r="D95" s="132">
        <f>[2]Invest!D73</f>
        <v>150</v>
      </c>
      <c r="E95" s="132">
        <f>[2]Invest!E73</f>
        <v>150</v>
      </c>
      <c r="F95" s="132">
        <f>[2]Invest!F73</f>
        <v>150</v>
      </c>
      <c r="G95" s="132">
        <f>[2]Invest!G73</f>
        <v>150</v>
      </c>
      <c r="H95" s="132">
        <f>[2]Invest!H73</f>
        <v>150</v>
      </c>
      <c r="I95" s="132">
        <f>[2]Invest!I73</f>
        <v>150</v>
      </c>
      <c r="J95" s="134">
        <f>[2]Invest!J73</f>
        <v>150</v>
      </c>
    </row>
    <row r="96" spans="2:10" ht="15.5" x14ac:dyDescent="0.35">
      <c r="B96" s="114" t="s">
        <v>86</v>
      </c>
      <c r="C96" s="102">
        <f>SUM(D96:J96)</f>
        <v>90.270313368248736</v>
      </c>
      <c r="D96" s="132">
        <f>[2]PL!D35</f>
        <v>12.895759052606962</v>
      </c>
      <c r="E96" s="132">
        <f>[2]PL!E35</f>
        <v>12.895759052606962</v>
      </c>
      <c r="F96" s="132">
        <f>[2]PL!F35</f>
        <v>12.895759052606962</v>
      </c>
      <c r="G96" s="132">
        <f>[2]PL!G35</f>
        <v>12.895759052606962</v>
      </c>
      <c r="H96" s="132">
        <f>[2]PL!H35</f>
        <v>12.895759052606961</v>
      </c>
      <c r="I96" s="132">
        <f>[2]PL!I35</f>
        <v>12.895759052606961</v>
      </c>
      <c r="J96" s="134">
        <f>[2]PL!J35</f>
        <v>12.895759052606961</v>
      </c>
    </row>
    <row r="97" spans="2:10" ht="15.5" x14ac:dyDescent="0.35">
      <c r="B97" s="114" t="s">
        <v>100</v>
      </c>
      <c r="C97" s="150">
        <f>C94/656</f>
        <v>0.22865853658536586</v>
      </c>
    </row>
    <row r="104" spans="2:10" s="19" customFormat="1" ht="23.5" x14ac:dyDescent="0.55000000000000004">
      <c r="B104" s="137" t="s">
        <v>87</v>
      </c>
      <c r="C104"/>
      <c r="D104"/>
      <c r="E104"/>
      <c r="F104"/>
      <c r="G104"/>
      <c r="H104"/>
      <c r="I104"/>
      <c r="J104"/>
    </row>
    <row r="105" spans="2:10" s="19" customFormat="1" ht="23.5" x14ac:dyDescent="0.55000000000000004">
      <c r="B105" s="137"/>
      <c r="C105"/>
      <c r="D105"/>
      <c r="E105"/>
      <c r="F105"/>
      <c r="G105"/>
      <c r="H105"/>
      <c r="I105"/>
      <c r="J105"/>
    </row>
    <row r="106" spans="2:10" x14ac:dyDescent="0.35">
      <c r="B106" s="146"/>
      <c r="C106" s="147"/>
      <c r="D106" s="19"/>
      <c r="E106" s="19"/>
      <c r="F106" s="19"/>
      <c r="G106" s="19"/>
      <c r="H106" s="19"/>
      <c r="I106" s="19"/>
      <c r="J106" s="19"/>
    </row>
    <row r="107" spans="2:10" ht="15.5" x14ac:dyDescent="0.35">
      <c r="B107" s="112" t="s">
        <v>4</v>
      </c>
      <c r="C107" s="112" t="s">
        <v>54</v>
      </c>
      <c r="D107" s="113">
        <f t="shared" ref="D107:J107" si="8">D$12</f>
        <v>1</v>
      </c>
      <c r="E107" s="113">
        <f t="shared" si="8"/>
        <v>2</v>
      </c>
      <c r="F107" s="113">
        <f t="shared" si="8"/>
        <v>3</v>
      </c>
      <c r="G107" s="113">
        <f t="shared" si="8"/>
        <v>4</v>
      </c>
      <c r="H107" s="113">
        <f t="shared" si="8"/>
        <v>5</v>
      </c>
      <c r="I107" s="113">
        <f t="shared" si="8"/>
        <v>6</v>
      </c>
      <c r="J107" s="113">
        <f t="shared" si="8"/>
        <v>7</v>
      </c>
    </row>
    <row r="108" spans="2:10" ht="15.5" x14ac:dyDescent="0.35">
      <c r="B108" s="114" t="s">
        <v>88</v>
      </c>
      <c r="C108" s="102">
        <f>SUM(D108:J108)</f>
        <v>250</v>
      </c>
      <c r="D108" s="102">
        <f>[2]Emprunts!E27</f>
        <v>250</v>
      </c>
      <c r="E108" s="102">
        <f>[2]Emprunts!F27</f>
        <v>0</v>
      </c>
      <c r="F108" s="102">
        <f>[2]Emprunts!G27</f>
        <v>0</v>
      </c>
      <c r="G108" s="102">
        <f>[2]Emprunts!H27</f>
        <v>0</v>
      </c>
      <c r="H108" s="102">
        <f>[2]Emprunts!I27</f>
        <v>0</v>
      </c>
      <c r="I108" s="102">
        <f>[2]Emprunts!J27</f>
        <v>0</v>
      </c>
      <c r="J108" s="139">
        <f>[2]Emprunts!K27</f>
        <v>0</v>
      </c>
    </row>
    <row r="109" spans="2:10" ht="15.5" x14ac:dyDescent="0.35">
      <c r="B109" s="114" t="s">
        <v>89</v>
      </c>
      <c r="C109" s="102"/>
      <c r="D109" s="132">
        <f>[2]Emprunts!E30</f>
        <v>249.99999997330201</v>
      </c>
      <c r="E109" s="132">
        <f>[2]Emprunts!F30</f>
        <v>208.33333427829049</v>
      </c>
      <c r="F109" s="132">
        <f>[2]Emprunts!G30</f>
        <v>166.66666758153076</v>
      </c>
      <c r="G109" s="132">
        <f>[2]Emprunts!H30</f>
        <v>125.00000088291513</v>
      </c>
      <c r="H109" s="132">
        <f>[2]Emprunts!I30</f>
        <v>83.333334182328983</v>
      </c>
      <c r="I109" s="132">
        <f>[2]Emprunts!J30</f>
        <v>41.666666666666359</v>
      </c>
      <c r="J109" s="134">
        <f>[2]Emprunts!K30</f>
        <v>-2.9569491744041445E-13</v>
      </c>
    </row>
    <row r="110" spans="2:10" ht="15.5" x14ac:dyDescent="0.35">
      <c r="B110" s="114" t="s">
        <v>90</v>
      </c>
      <c r="C110" s="102">
        <f>SUM(D110:J110)</f>
        <v>54.562500278854529</v>
      </c>
      <c r="D110" s="132">
        <f>[2]Emprunts!E32</f>
        <v>13.500000059273736</v>
      </c>
      <c r="E110" s="132">
        <f>[2]Emprunts!F32</f>
        <v>12.468750057627059</v>
      </c>
      <c r="F110" s="132">
        <f>[2]Emprunts!G32</f>
        <v>10.218750055878811</v>
      </c>
      <c r="G110" s="132">
        <f>[2]Emprunts!H32</f>
        <v>7.9687500540227445</v>
      </c>
      <c r="H110" s="132">
        <f>[2]Emprunts!I32</f>
        <v>5.7187500520522043</v>
      </c>
      <c r="I110" s="132">
        <f>[2]Emprunts!J32</f>
        <v>3.4687499999999827</v>
      </c>
      <c r="J110" s="134">
        <f>[2]Emprunts!K32</f>
        <v>1.2187499999999838</v>
      </c>
    </row>
    <row r="111" spans="2:10" ht="15.5" x14ac:dyDescent="0.35">
      <c r="B111" s="114" t="s">
        <v>101</v>
      </c>
      <c r="C111" s="150">
        <f>C108/656</f>
        <v>0.38109756097560976</v>
      </c>
      <c r="D111" s="151"/>
      <c r="E111" s="151"/>
      <c r="F111" s="151"/>
      <c r="G111" s="151"/>
      <c r="H111" s="151"/>
      <c r="I111" s="151"/>
      <c r="J111" s="151"/>
    </row>
    <row r="141" spans="2:8" ht="23.5" x14ac:dyDescent="0.55000000000000004">
      <c r="B141" s="137" t="s">
        <v>93</v>
      </c>
    </row>
    <row r="143" spans="2:8" ht="15.5" x14ac:dyDescent="0.35">
      <c r="B143" s="112" t="s">
        <v>4</v>
      </c>
      <c r="C143" s="112" t="s">
        <v>94</v>
      </c>
      <c r="D143" s="113">
        <f>D$12</f>
        <v>1</v>
      </c>
      <c r="E143" s="113">
        <f>E$12</f>
        <v>2</v>
      </c>
      <c r="F143" s="113">
        <f>F$12</f>
        <v>3</v>
      </c>
      <c r="G143" s="113">
        <f>G$12</f>
        <v>4</v>
      </c>
      <c r="H143" s="113">
        <f>H$12</f>
        <v>5</v>
      </c>
    </row>
    <row r="144" spans="2:8" ht="15.5" x14ac:dyDescent="0.35">
      <c r="B144" s="114" t="s">
        <v>95</v>
      </c>
      <c r="C144" s="102"/>
      <c r="D144" s="102">
        <f>[2]Tréso!D21</f>
        <v>13.185041930938581</v>
      </c>
      <c r="E144" s="102">
        <f>[2]Tréso!E21</f>
        <v>26.874422587804077</v>
      </c>
      <c r="F144" s="102">
        <f>[2]Tréso!F21</f>
        <v>55.293875177206885</v>
      </c>
      <c r="G144" s="102">
        <f>[2]Tréso!G21</f>
        <v>119.32551525645239</v>
      </c>
      <c r="H144" s="133">
        <f>[2]Tréso!H21</f>
        <v>206.54187731394282</v>
      </c>
    </row>
    <row r="145" spans="2:8" ht="15.5" x14ac:dyDescent="0.35">
      <c r="B145" s="114" t="s">
        <v>102</v>
      </c>
      <c r="C145" s="102"/>
      <c r="D145" s="148">
        <f>D144/656</f>
        <v>2.0099149284967349E-2</v>
      </c>
      <c r="E145" s="148">
        <f>E144/656</f>
        <v>4.0967107603359872E-2</v>
      </c>
      <c r="F145" s="148">
        <f>F144/656</f>
        <v>8.4289443867693423E-2</v>
      </c>
      <c r="G145" s="148">
        <f>G144/656</f>
        <v>0.18189865130556768</v>
      </c>
      <c r="H145" s="148">
        <f>H144/656</f>
        <v>0.31485042273466896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DA448-A293-4F7D-99EA-F5153C472B15}">
  <dimension ref="A1:J145"/>
  <sheetViews>
    <sheetView topLeftCell="A28" workbookViewId="0">
      <selection activeCell="D33" sqref="D33"/>
    </sheetView>
  </sheetViews>
  <sheetFormatPr baseColWidth="10" defaultRowHeight="14.5" x14ac:dyDescent="0.35"/>
  <cols>
    <col min="2" max="2" width="38.81640625" customWidth="1"/>
    <col min="3" max="3" width="16.7265625" customWidth="1"/>
    <col min="4" max="4" width="17" customWidth="1"/>
    <col min="5" max="5" width="15.7265625" customWidth="1"/>
    <col min="6" max="6" width="19.54296875" customWidth="1"/>
    <col min="7" max="7" width="15.7265625" customWidth="1"/>
    <col min="8" max="8" width="18.26953125" customWidth="1"/>
    <col min="9" max="9" width="13.7265625" customWidth="1"/>
    <col min="10" max="10" width="15.7265625" customWidth="1"/>
  </cols>
  <sheetData>
    <row r="1" spans="1:10" ht="28.5" x14ac:dyDescent="0.65">
      <c r="A1" s="26" t="s">
        <v>62</v>
      </c>
      <c r="B1" s="26"/>
      <c r="E1" s="68" t="s">
        <v>72</v>
      </c>
    </row>
    <row r="2" spans="1:10" ht="26" x14ac:dyDescent="0.6">
      <c r="E2" s="145" t="s">
        <v>99</v>
      </c>
      <c r="G2" s="18"/>
      <c r="H2" s="138"/>
    </row>
    <row r="3" spans="1:10" ht="15" customHeight="1" x14ac:dyDescent="0.6">
      <c r="F3" s="145"/>
      <c r="G3" s="18"/>
      <c r="H3" s="138"/>
    </row>
    <row r="4" spans="1:10" ht="15" customHeight="1" x14ac:dyDescent="0.6">
      <c r="F4" s="145"/>
      <c r="G4" s="18"/>
      <c r="H4" s="138"/>
    </row>
    <row r="5" spans="1:10" ht="15" customHeight="1" x14ac:dyDescent="0.6">
      <c r="F5" s="145"/>
      <c r="G5" s="18"/>
      <c r="H5" s="138"/>
    </row>
    <row r="6" spans="1:10" ht="15" customHeight="1" x14ac:dyDescent="0.6">
      <c r="F6" s="145"/>
      <c r="G6" s="18"/>
      <c r="H6" s="138"/>
    </row>
    <row r="7" spans="1:10" ht="15" customHeight="1" x14ac:dyDescent="0.6">
      <c r="F7" s="145"/>
      <c r="G7" s="18"/>
      <c r="H7" s="138"/>
    </row>
    <row r="8" spans="1:10" ht="15" customHeight="1" x14ac:dyDescent="0.6">
      <c r="F8" s="145"/>
      <c r="G8" s="18"/>
      <c r="H8" s="138"/>
    </row>
    <row r="9" spans="1:10" ht="15" customHeight="1" x14ac:dyDescent="0.6">
      <c r="F9" s="145"/>
      <c r="G9" s="18"/>
      <c r="H9" s="138"/>
    </row>
    <row r="10" spans="1:10" ht="18.5" x14ac:dyDescent="0.45">
      <c r="B10" s="81" t="s">
        <v>5</v>
      </c>
      <c r="C10" s="81"/>
      <c r="D10" s="84">
        <v>46023</v>
      </c>
    </row>
    <row r="12" spans="1:10" ht="18.5" x14ac:dyDescent="0.45">
      <c r="B12" s="83" t="s">
        <v>4</v>
      </c>
      <c r="C12" s="83"/>
      <c r="D12" s="110">
        <v>1</v>
      </c>
      <c r="E12" s="110">
        <f>1+D12</f>
        <v>2</v>
      </c>
      <c r="F12" s="110">
        <f t="shared" ref="F12:J12" si="0">1+E12</f>
        <v>3</v>
      </c>
      <c r="G12" s="110">
        <f t="shared" si="0"/>
        <v>4</v>
      </c>
      <c r="H12" s="110">
        <f t="shared" si="0"/>
        <v>5</v>
      </c>
      <c r="I12" s="110">
        <f t="shared" si="0"/>
        <v>6</v>
      </c>
      <c r="J12" s="110">
        <f t="shared" si="0"/>
        <v>7</v>
      </c>
    </row>
    <row r="13" spans="1:10" ht="18.5" x14ac:dyDescent="0.45">
      <c r="B13" s="81" t="s">
        <v>3</v>
      </c>
      <c r="C13" s="81"/>
      <c r="D13" s="144">
        <f>D10</f>
        <v>46023</v>
      </c>
      <c r="E13" s="144">
        <f>PL!E5</f>
        <v>46388</v>
      </c>
      <c r="F13" s="144">
        <f>PL!F5</f>
        <v>46753</v>
      </c>
      <c r="G13" s="144">
        <f>PL!G5</f>
        <v>47119</v>
      </c>
      <c r="H13" s="144">
        <f>PL!H5</f>
        <v>47484</v>
      </c>
      <c r="I13" s="144">
        <f>PL!I5</f>
        <v>47849</v>
      </c>
      <c r="J13" s="144">
        <f>PL!J5</f>
        <v>48214</v>
      </c>
    </row>
    <row r="15" spans="1:10" ht="23.5" x14ac:dyDescent="0.55000000000000004">
      <c r="B15" s="143" t="s">
        <v>80</v>
      </c>
    </row>
    <row r="16" spans="1:10" ht="15" thickBot="1" x14ac:dyDescent="0.4"/>
    <row r="17" spans="2:10" ht="15" customHeight="1" thickBot="1" x14ac:dyDescent="0.4">
      <c r="B17" s="1" t="s">
        <v>51</v>
      </c>
      <c r="C17" s="1">
        <v>10</v>
      </c>
    </row>
    <row r="18" spans="2:10" ht="15" customHeight="1" thickBot="1" x14ac:dyDescent="0.4">
      <c r="B18" s="53"/>
      <c r="C18" s="53"/>
    </row>
    <row r="19" spans="2:10" ht="15" customHeight="1" thickBot="1" x14ac:dyDescent="0.4">
      <c r="B19" s="1" t="s">
        <v>52</v>
      </c>
      <c r="C19" s="1">
        <v>20</v>
      </c>
    </row>
    <row r="20" spans="2:10" ht="15" customHeight="1" thickBot="1" x14ac:dyDescent="0.4">
      <c r="B20" s="53"/>
      <c r="C20" s="53"/>
    </row>
    <row r="21" spans="2:10" ht="15" customHeight="1" thickBot="1" x14ac:dyDescent="0.4">
      <c r="B21" s="1" t="s">
        <v>53</v>
      </c>
      <c r="C21" s="1">
        <v>20</v>
      </c>
    </row>
    <row r="22" spans="2:10" ht="15" customHeight="1" thickBot="1" x14ac:dyDescent="0.4">
      <c r="B22" s="53"/>
      <c r="C22" s="53"/>
    </row>
    <row r="23" spans="2:10" ht="15" customHeight="1" thickBot="1" x14ac:dyDescent="0.4">
      <c r="B23" s="69" t="s">
        <v>38</v>
      </c>
      <c r="C23" s="70">
        <f>SUM(C17:C22)</f>
        <v>50</v>
      </c>
    </row>
    <row r="24" spans="2:10" ht="15" customHeight="1" x14ac:dyDescent="0.35"/>
    <row r="25" spans="2:10" ht="15" customHeight="1" x14ac:dyDescent="0.35"/>
    <row r="26" spans="2:10" ht="15" customHeight="1" x14ac:dyDescent="0.35"/>
    <row r="27" spans="2:10" ht="15" customHeight="1" x14ac:dyDescent="0.35"/>
    <row r="28" spans="2:10" ht="26" x14ac:dyDescent="0.6">
      <c r="B28" s="142" t="s">
        <v>96</v>
      </c>
    </row>
    <row r="30" spans="2:10" ht="23.5" x14ac:dyDescent="0.55000000000000004">
      <c r="B30" s="137" t="s">
        <v>83</v>
      </c>
    </row>
    <row r="31" spans="2:10" s="19" customFormat="1" x14ac:dyDescent="0.35"/>
    <row r="32" spans="2:10" ht="15.5" x14ac:dyDescent="0.35">
      <c r="B32" s="112" t="s">
        <v>4</v>
      </c>
      <c r="C32" s="112" t="s">
        <v>54</v>
      </c>
      <c r="D32" s="113">
        <f>D12</f>
        <v>1</v>
      </c>
      <c r="E32" s="113">
        <f t="shared" ref="E32:J32" si="1">E12</f>
        <v>2</v>
      </c>
      <c r="F32" s="113">
        <f t="shared" si="1"/>
        <v>3</v>
      </c>
      <c r="G32" s="113">
        <f t="shared" si="1"/>
        <v>4</v>
      </c>
      <c r="H32" s="113">
        <f t="shared" si="1"/>
        <v>5</v>
      </c>
      <c r="I32" s="113">
        <f t="shared" si="1"/>
        <v>6</v>
      </c>
      <c r="J32" s="113">
        <f t="shared" si="1"/>
        <v>7</v>
      </c>
    </row>
    <row r="33" spans="2:10" ht="15.5" x14ac:dyDescent="0.35">
      <c r="B33" s="114" t="s">
        <v>73</v>
      </c>
      <c r="C33" s="102">
        <f>SUM(D33:J33)</f>
        <v>79735.454065413083</v>
      </c>
      <c r="D33" s="102">
        <f>PL!D27</f>
        <v>0</v>
      </c>
      <c r="E33" s="102">
        <f>PL!E27</f>
        <v>2181.1173999999996</v>
      </c>
      <c r="F33" s="102">
        <f>PL!F27</f>
        <v>7165.4793649999983</v>
      </c>
      <c r="G33" s="102">
        <f>PL!G27</f>
        <v>13435.174407750001</v>
      </c>
      <c r="H33" s="102">
        <f>PL!H27</f>
        <v>16492.862462587498</v>
      </c>
      <c r="I33" s="102">
        <f>PL!I27</f>
        <v>19213.680269236873</v>
      </c>
      <c r="J33" s="133">
        <f>PL!J27</f>
        <v>21247.140160838717</v>
      </c>
    </row>
    <row r="34" spans="2:10" ht="15.5" x14ac:dyDescent="0.35">
      <c r="B34" s="114" t="s">
        <v>103</v>
      </c>
      <c r="C34" s="148">
        <f t="shared" ref="C34:J34" si="2">C33/656</f>
        <v>121.54794827044677</v>
      </c>
      <c r="D34" s="148">
        <f t="shared" si="2"/>
        <v>0</v>
      </c>
      <c r="E34" s="148">
        <f t="shared" si="2"/>
        <v>3.3248740853658529</v>
      </c>
      <c r="F34" s="148">
        <f t="shared" si="2"/>
        <v>10.922986836890241</v>
      </c>
      <c r="G34" s="148">
        <f t="shared" si="2"/>
        <v>20.480448792301829</v>
      </c>
      <c r="H34" s="148">
        <f t="shared" si="2"/>
        <v>25.141558631993139</v>
      </c>
      <c r="I34" s="148">
        <f t="shared" si="2"/>
        <v>29.289146751885475</v>
      </c>
      <c r="J34" s="149">
        <f t="shared" si="2"/>
        <v>32.38893317201024</v>
      </c>
    </row>
    <row r="35" spans="2:10" ht="15.5" x14ac:dyDescent="0.35">
      <c r="B35" s="114" t="s">
        <v>91</v>
      </c>
      <c r="C35" s="102">
        <f>SUM(D35:J35)</f>
        <v>33131.551050095557</v>
      </c>
      <c r="D35" s="102">
        <f>PL!D30</f>
        <v>0</v>
      </c>
      <c r="E35" s="102">
        <f>PL!E30</f>
        <v>1325.7599188636364</v>
      </c>
      <c r="F35" s="102">
        <f>PL!F30</f>
        <v>3896.2797565909086</v>
      </c>
      <c r="G35" s="102">
        <f>PL!G30</f>
        <v>6504.721200966942</v>
      </c>
      <c r="H35" s="102">
        <f>PL!H30</f>
        <v>6642.5265256611565</v>
      </c>
      <c r="I35" s="102">
        <f>PL!I30</f>
        <v>7140.1485016816123</v>
      </c>
      <c r="J35" s="133">
        <f>PL!J30</f>
        <v>7622.1151463313026</v>
      </c>
    </row>
    <row r="36" spans="2:10" ht="15.5" x14ac:dyDescent="0.35">
      <c r="B36" s="114" t="s">
        <v>92</v>
      </c>
      <c r="C36" s="102"/>
      <c r="D36" s="140">
        <f>PL!D32</f>
        <v>0</v>
      </c>
      <c r="E36" s="140">
        <f>PL!E32</f>
        <v>0.39216480558834815</v>
      </c>
      <c r="F36" s="140">
        <f>PL!F32</f>
        <v>0.45624297299320887</v>
      </c>
      <c r="G36" s="140">
        <f>PL!G32</f>
        <v>0.51584393298126952</v>
      </c>
      <c r="H36" s="140">
        <f>PL!H32</f>
        <v>0.59724841332248413</v>
      </c>
      <c r="I36" s="140">
        <f>PL!I32</f>
        <v>0.62838204853893909</v>
      </c>
      <c r="J36" s="141">
        <f>PL!J32</f>
        <v>0.64126394947119203</v>
      </c>
    </row>
    <row r="37" spans="2:10" ht="15.5" x14ac:dyDescent="0.35">
      <c r="B37" s="114" t="s">
        <v>97</v>
      </c>
      <c r="C37" s="132">
        <f>SUM(D37:J37)</f>
        <v>6410.3354430480285</v>
      </c>
      <c r="D37" s="132">
        <f>PL!D47</f>
        <v>-263.95759111880699</v>
      </c>
      <c r="E37" s="132">
        <f>PL!E47</f>
        <v>-659.7789293114497</v>
      </c>
      <c r="F37" s="132">
        <f>PL!F47</f>
        <v>-704.17741839808468</v>
      </c>
      <c r="G37" s="132">
        <f>PL!G47</f>
        <v>187.61749909212381</v>
      </c>
      <c r="H37" s="132">
        <f>PL!H47</f>
        <v>1466.6103044384358</v>
      </c>
      <c r="I37" s="132">
        <f>PL!I47</f>
        <v>2587.563745262712</v>
      </c>
      <c r="J37" s="134">
        <f>PL!J47</f>
        <v>3796.4578330830986</v>
      </c>
    </row>
    <row r="57" spans="2:10" ht="23.5" x14ac:dyDescent="0.55000000000000004">
      <c r="B57" s="137" t="s">
        <v>111</v>
      </c>
    </row>
    <row r="58" spans="2:10" ht="15" customHeight="1" x14ac:dyDescent="0.55000000000000004">
      <c r="B58" s="137"/>
    </row>
    <row r="59" spans="2:10" ht="15" customHeight="1" x14ac:dyDescent="0.35">
      <c r="B59" s="110" t="s">
        <v>104</v>
      </c>
      <c r="C59" s="65">
        <v>75500</v>
      </c>
      <c r="D59" s="59" t="s">
        <v>113</v>
      </c>
    </row>
    <row r="60" spans="2:10" ht="15" customHeight="1" x14ac:dyDescent="0.35">
      <c r="B60" s="110" t="s">
        <v>105</v>
      </c>
      <c r="C60" s="156">
        <f>E61/15/75500</f>
        <v>0.16512141280353201</v>
      </c>
      <c r="D60" s="59" t="s">
        <v>121</v>
      </c>
    </row>
    <row r="61" spans="2:10" ht="15" customHeight="1" x14ac:dyDescent="0.35">
      <c r="B61" s="110" t="s">
        <v>106</v>
      </c>
      <c r="C61" s="167">
        <f>657*C60</f>
        <v>108.48476821192054</v>
      </c>
      <c r="D61" s="166"/>
      <c r="E61" s="164">
        <v>187000</v>
      </c>
      <c r="F61" s="19" t="str">
        <f>CONCATENATE("( soit ",E61*656," CFA)")</f>
        <v>( soit 122672000 CFA)</v>
      </c>
      <c r="G61" s="19" t="s">
        <v>126</v>
      </c>
    </row>
    <row r="62" spans="2:10" ht="15" thickBot="1" x14ac:dyDescent="0.4"/>
    <row r="63" spans="2:10" ht="16" thickBot="1" x14ac:dyDescent="0.4">
      <c r="B63" s="112" t="s">
        <v>112</v>
      </c>
      <c r="C63" s="112" t="s">
        <v>54</v>
      </c>
      <c r="D63" s="155">
        <f t="shared" ref="D63:I63" si="3">D74</f>
        <v>1</v>
      </c>
      <c r="E63" s="155">
        <f t="shared" si="3"/>
        <v>2</v>
      </c>
      <c r="F63" s="155">
        <f t="shared" si="3"/>
        <v>3</v>
      </c>
      <c r="G63" s="155">
        <f t="shared" si="3"/>
        <v>4</v>
      </c>
      <c r="H63" s="155">
        <f t="shared" si="3"/>
        <v>5</v>
      </c>
      <c r="I63" s="155">
        <f t="shared" si="3"/>
        <v>6</v>
      </c>
      <c r="J63" s="155">
        <f t="shared" ref="J63" si="4">J74</f>
        <v>7</v>
      </c>
    </row>
    <row r="64" spans="2:10" ht="15.5" x14ac:dyDescent="0.35">
      <c r="B64" s="114" t="s">
        <v>109</v>
      </c>
      <c r="C64" s="102">
        <f>SUM(D64:J64)</f>
        <v>15227.188172169823</v>
      </c>
      <c r="D64" s="102">
        <f>PL!D144</f>
        <v>0</v>
      </c>
      <c r="E64" s="102">
        <f>PL!E144</f>
        <v>416.53095808731717</v>
      </c>
      <c r="F64" s="102">
        <f>PL!F144</f>
        <v>1368.401345593938</v>
      </c>
      <c r="G64" s="102">
        <f>PL!G144</f>
        <v>2565.7335401250352</v>
      </c>
      <c r="H64" s="102">
        <f>PL!H144</f>
        <v>3149.6643890621945</v>
      </c>
      <c r="I64" s="102">
        <f>PL!I144</f>
        <v>3669.2626682674763</v>
      </c>
      <c r="J64" s="133">
        <f>PL!J144</f>
        <v>4057.5952710338602</v>
      </c>
    </row>
    <row r="65" spans="2:10" ht="31" x14ac:dyDescent="0.35">
      <c r="B65" s="161" t="s">
        <v>120</v>
      </c>
      <c r="C65" s="165" t="s">
        <v>122</v>
      </c>
      <c r="D65" s="162">
        <f>D64/1800</f>
        <v>0</v>
      </c>
      <c r="E65" s="162">
        <f t="shared" ref="E65:J65" si="5">E64/1800</f>
        <v>0.23140608782628733</v>
      </c>
      <c r="F65" s="162">
        <f t="shared" si="5"/>
        <v>0.76022296977440995</v>
      </c>
      <c r="G65" s="162">
        <f t="shared" si="5"/>
        <v>1.4254075222916862</v>
      </c>
      <c r="H65" s="162">
        <f t="shared" si="5"/>
        <v>1.749813549478997</v>
      </c>
      <c r="I65" s="162">
        <f t="shared" si="5"/>
        <v>2.0384792601485979</v>
      </c>
      <c r="J65" s="163">
        <f t="shared" si="5"/>
        <v>2.2542195950188111</v>
      </c>
    </row>
    <row r="66" spans="2:10" ht="15.5" x14ac:dyDescent="0.35">
      <c r="B66" s="114" t="s">
        <v>110</v>
      </c>
      <c r="C66" s="132">
        <f>SUM(D66:J66)</f>
        <v>1651.9179793771411</v>
      </c>
      <c r="D66" s="132">
        <f>PL!D146</f>
        <v>0</v>
      </c>
      <c r="E66" s="132">
        <f>PL!E146</f>
        <v>45.187264441191793</v>
      </c>
      <c r="F66" s="132">
        <f>PL!F146</f>
        <v>148.45070279763854</v>
      </c>
      <c r="G66" s="132">
        <f>PL!G146</f>
        <v>278.34300839401476</v>
      </c>
      <c r="H66" s="132">
        <f>PL!H146</f>
        <v>341.6906111927525</v>
      </c>
      <c r="I66" s="132">
        <f>PL!I146</f>
        <v>398.05911007565021</v>
      </c>
      <c r="J66" s="134">
        <f>PL!J146</f>
        <v>440.18728247589326</v>
      </c>
    </row>
    <row r="67" spans="2:10" ht="15.5" x14ac:dyDescent="0.35">
      <c r="B67" s="114" t="s">
        <v>123</v>
      </c>
      <c r="C67" s="172">
        <f>SUM(D67:J67)</f>
        <v>2.5181676514895441</v>
      </c>
      <c r="D67" s="172">
        <f>D66/656</f>
        <v>0</v>
      </c>
      <c r="E67" s="172">
        <f t="shared" ref="E67:J67" si="6">E66/656</f>
        <v>6.8883025062792369E-2</v>
      </c>
      <c r="F67" s="172">
        <f t="shared" si="6"/>
        <v>0.22629680304518071</v>
      </c>
      <c r="G67" s="172">
        <f t="shared" si="6"/>
        <v>0.42430336645429079</v>
      </c>
      <c r="H67" s="172">
        <f t="shared" si="6"/>
        <v>0.52086983413529342</v>
      </c>
      <c r="I67" s="172">
        <f t="shared" si="6"/>
        <v>0.60679742389580826</v>
      </c>
      <c r="J67" s="173">
        <f t="shared" si="6"/>
        <v>0.67101719889617872</v>
      </c>
    </row>
    <row r="72" spans="2:10" s="19" customFormat="1" ht="23.5" x14ac:dyDescent="0.55000000000000004">
      <c r="B72" s="137" t="s">
        <v>84</v>
      </c>
      <c r="C72"/>
      <c r="D72"/>
      <c r="E72"/>
      <c r="F72"/>
      <c r="G72"/>
      <c r="H72"/>
      <c r="I72"/>
      <c r="J72"/>
    </row>
    <row r="73" spans="2:10" x14ac:dyDescent="0.35">
      <c r="B73" s="146"/>
      <c r="C73" s="19"/>
      <c r="D73" s="19"/>
      <c r="E73" s="19"/>
      <c r="F73" s="19"/>
      <c r="G73" s="19"/>
      <c r="H73" s="19"/>
      <c r="I73" s="19"/>
      <c r="J73" s="19"/>
    </row>
    <row r="74" spans="2:10" ht="15.5" x14ac:dyDescent="0.35">
      <c r="B74" s="112" t="s">
        <v>4</v>
      </c>
      <c r="C74" s="112" t="s">
        <v>54</v>
      </c>
      <c r="D74" s="113">
        <f>D$12</f>
        <v>1</v>
      </c>
      <c r="E74" s="113">
        <f t="shared" ref="E74:J74" si="7">E$12</f>
        <v>2</v>
      </c>
      <c r="F74" s="113">
        <f t="shared" si="7"/>
        <v>3</v>
      </c>
      <c r="G74" s="113">
        <f t="shared" si="7"/>
        <v>4</v>
      </c>
      <c r="H74" s="113">
        <f t="shared" si="7"/>
        <v>5</v>
      </c>
      <c r="I74" s="113">
        <f t="shared" si="7"/>
        <v>6</v>
      </c>
      <c r="J74" s="113">
        <f t="shared" si="7"/>
        <v>7</v>
      </c>
    </row>
    <row r="75" spans="2:10" ht="15.5" x14ac:dyDescent="0.35">
      <c r="B75" s="114" t="s">
        <v>81</v>
      </c>
      <c r="C75" s="102">
        <f>SUM(D75:J75)</f>
        <v>12419.124999999996</v>
      </c>
      <c r="D75" s="102">
        <f>Invest!D20</f>
        <v>2483.8249999999994</v>
      </c>
      <c r="E75" s="102">
        <f>Invest!E20</f>
        <v>4967.6499999999987</v>
      </c>
      <c r="F75" s="102">
        <f>Invest!F20</f>
        <v>4967.6499999999987</v>
      </c>
      <c r="G75" s="102">
        <f>Invest!G20</f>
        <v>0</v>
      </c>
      <c r="H75" s="102">
        <f>Invest!H20</f>
        <v>0</v>
      </c>
      <c r="I75" s="102">
        <f>Invest!I20</f>
        <v>0</v>
      </c>
      <c r="J75" s="133">
        <f>Invest!J20</f>
        <v>0</v>
      </c>
    </row>
    <row r="76" spans="2:10" ht="15.5" x14ac:dyDescent="0.35">
      <c r="B76" s="114" t="s">
        <v>82</v>
      </c>
      <c r="C76" s="132"/>
      <c r="D76" s="132">
        <f>Invest!D21</f>
        <v>2483.8249999999994</v>
      </c>
      <c r="E76" s="132">
        <f>Invest!E21</f>
        <v>7451.4749999999985</v>
      </c>
      <c r="F76" s="132">
        <f>Invest!F21</f>
        <v>12419.124999999996</v>
      </c>
      <c r="G76" s="132">
        <f>Invest!G21</f>
        <v>12419.124999999996</v>
      </c>
      <c r="H76" s="132">
        <f>Invest!H21</f>
        <v>12419.124999999996</v>
      </c>
      <c r="I76" s="132">
        <f>Invest!I21</f>
        <v>12419.124999999996</v>
      </c>
      <c r="J76" s="134">
        <f>Invest!J21</f>
        <v>12419.124999999996</v>
      </c>
    </row>
    <row r="77" spans="2:10" ht="15.5" x14ac:dyDescent="0.35">
      <c r="B77" s="114" t="s">
        <v>100</v>
      </c>
      <c r="C77" s="150">
        <f>C75/656</f>
        <v>18.931592987804873</v>
      </c>
      <c r="D77" s="150">
        <f>D76/656</f>
        <v>3.7863185975609746</v>
      </c>
      <c r="E77" s="150">
        <f t="shared" ref="E77:F77" si="8">E76/656</f>
        <v>11.358955792682925</v>
      </c>
      <c r="F77" s="150">
        <f t="shared" si="8"/>
        <v>18.931592987804873</v>
      </c>
    </row>
    <row r="78" spans="2:10" ht="15.5" x14ac:dyDescent="0.35">
      <c r="B78" s="112" t="s">
        <v>125</v>
      </c>
      <c r="C78" s="168">
        <f>SUM(C79:C86)</f>
        <v>12419.125</v>
      </c>
      <c r="D78" s="168">
        <f t="shared" ref="D78:F78" si="9">SUM(D79:D86)</f>
        <v>2483.8249999999998</v>
      </c>
      <c r="E78" s="168">
        <f t="shared" si="9"/>
        <v>4967.6499999999996</v>
      </c>
      <c r="F78" s="168">
        <f t="shared" si="9"/>
        <v>4967.6499999999996</v>
      </c>
    </row>
    <row r="79" spans="2:10" ht="15.5" x14ac:dyDescent="0.35">
      <c r="B79" s="114" t="str">
        <f>[3]invest!$H225</f>
        <v>charges immobilisées</v>
      </c>
      <c r="C79" s="139">
        <f>[3]invest!$I225*$C$23/1000000</f>
        <v>250</v>
      </c>
      <c r="D79" s="139">
        <f>$C79*D$75/$C$75</f>
        <v>50.000000000000007</v>
      </c>
      <c r="E79" s="139">
        <f t="shared" ref="E79:F86" si="10">$C79*E$75/$C$75</f>
        <v>100.00000000000001</v>
      </c>
      <c r="F79" s="139">
        <f t="shared" si="10"/>
        <v>100.00000000000001</v>
      </c>
    </row>
    <row r="80" spans="2:10" ht="15.5" x14ac:dyDescent="0.35">
      <c r="B80" s="114" t="str">
        <f>[3]invest!$H226</f>
        <v>immos incorporelles</v>
      </c>
      <c r="C80" s="139">
        <f>[3]invest!$I226*$C$23/1000000</f>
        <v>92</v>
      </c>
      <c r="D80" s="139">
        <f t="shared" ref="D80:D86" si="11">$C80*D$75/$C$75</f>
        <v>18.399999999999999</v>
      </c>
      <c r="E80" s="139">
        <f t="shared" si="10"/>
        <v>36.799999999999997</v>
      </c>
      <c r="F80" s="139">
        <f t="shared" si="10"/>
        <v>36.799999999999997</v>
      </c>
    </row>
    <row r="81" spans="2:10" ht="15.5" x14ac:dyDescent="0.35">
      <c r="B81" s="114" t="str">
        <f>[3]invest!$H227</f>
        <v>foncier</v>
      </c>
      <c r="C81" s="139"/>
      <c r="D81" s="139"/>
      <c r="E81" s="139"/>
      <c r="F81" s="139"/>
    </row>
    <row r="82" spans="2:10" ht="15.5" x14ac:dyDescent="0.35">
      <c r="B82" s="114" t="str">
        <f>[3]invest!$H228</f>
        <v>aménagements et const.</v>
      </c>
      <c r="C82" s="139">
        <f>[3]invest!$I228*$C$23/1000000</f>
        <v>4800</v>
      </c>
      <c r="D82" s="139">
        <f t="shared" si="11"/>
        <v>960</v>
      </c>
      <c r="E82" s="139">
        <f t="shared" si="10"/>
        <v>1920</v>
      </c>
      <c r="F82" s="139">
        <f t="shared" si="10"/>
        <v>1920</v>
      </c>
    </row>
    <row r="83" spans="2:10" ht="15.5" x14ac:dyDescent="0.35">
      <c r="B83" s="114" t="str">
        <f>[3]invest!$J225</f>
        <v>matériels et équipements</v>
      </c>
      <c r="C83" s="139">
        <f>[3]invest!$L225*$C$23/1000000</f>
        <v>6770</v>
      </c>
      <c r="D83" s="139">
        <f t="shared" si="11"/>
        <v>1354</v>
      </c>
      <c r="E83" s="139">
        <f t="shared" si="10"/>
        <v>2708</v>
      </c>
      <c r="F83" s="139">
        <f t="shared" si="10"/>
        <v>2708</v>
      </c>
    </row>
    <row r="84" spans="2:10" ht="15.5" x14ac:dyDescent="0.35">
      <c r="B84" s="114" t="str">
        <f>[3]invest!$J226</f>
        <v>moyens roulants</v>
      </c>
      <c r="C84" s="139">
        <f>[3]invest!$L226*$C$23/1000000</f>
        <v>240</v>
      </c>
      <c r="D84" s="139">
        <f t="shared" si="11"/>
        <v>48.000000000000007</v>
      </c>
      <c r="E84" s="139">
        <f t="shared" si="10"/>
        <v>96.000000000000014</v>
      </c>
      <c r="F84" s="139">
        <f t="shared" si="10"/>
        <v>96.000000000000014</v>
      </c>
    </row>
    <row r="85" spans="2:10" ht="15.5" x14ac:dyDescent="0.35">
      <c r="B85" s="114" t="str">
        <f>[3]invest!$J227</f>
        <v>matériels de bureau</v>
      </c>
      <c r="C85" s="139">
        <f>[3]invest!$L227*$C$23/1000000</f>
        <v>179.875</v>
      </c>
      <c r="D85" s="139">
        <f t="shared" si="11"/>
        <v>35.975000000000001</v>
      </c>
      <c r="E85" s="139">
        <f t="shared" si="10"/>
        <v>71.95</v>
      </c>
      <c r="F85" s="139">
        <f t="shared" si="10"/>
        <v>71.95</v>
      </c>
    </row>
    <row r="86" spans="2:10" ht="15.5" x14ac:dyDescent="0.35">
      <c r="B86" s="114" t="str">
        <f>[3]invest!$J228</f>
        <v>info et reproduction</v>
      </c>
      <c r="C86" s="139">
        <f>[3]invest!$L228*$C$23/1000000</f>
        <v>87.25</v>
      </c>
      <c r="D86" s="139">
        <f t="shared" si="11"/>
        <v>17.450000000000003</v>
      </c>
      <c r="E86" s="139">
        <f t="shared" si="10"/>
        <v>34.900000000000006</v>
      </c>
      <c r="F86" s="139">
        <f t="shared" si="10"/>
        <v>34.900000000000006</v>
      </c>
    </row>
    <row r="91" spans="2:10" s="19" customFormat="1" ht="23.5" x14ac:dyDescent="0.55000000000000004">
      <c r="B91" s="137" t="s">
        <v>85</v>
      </c>
      <c r="C91"/>
      <c r="D91"/>
      <c r="E91"/>
      <c r="F91"/>
      <c r="G91"/>
      <c r="H91"/>
      <c r="I91"/>
      <c r="J91"/>
    </row>
    <row r="92" spans="2:10" x14ac:dyDescent="0.35">
      <c r="B92" s="146"/>
      <c r="C92" s="147"/>
      <c r="D92" s="19"/>
      <c r="E92" s="19"/>
      <c r="F92" s="19"/>
      <c r="G92" s="19"/>
      <c r="H92" s="19"/>
      <c r="I92" s="19"/>
      <c r="J92" s="19"/>
    </row>
    <row r="93" spans="2:10" ht="15.5" x14ac:dyDescent="0.35">
      <c r="B93" s="112" t="s">
        <v>4</v>
      </c>
      <c r="C93" s="112" t="s">
        <v>54</v>
      </c>
      <c r="D93" s="113">
        <f>D$12</f>
        <v>1</v>
      </c>
      <c r="E93" s="113">
        <f t="shared" ref="E93:J93" si="12">E$12</f>
        <v>2</v>
      </c>
      <c r="F93" s="113">
        <f t="shared" si="12"/>
        <v>3</v>
      </c>
      <c r="G93" s="113">
        <f t="shared" si="12"/>
        <v>4</v>
      </c>
      <c r="H93" s="113">
        <f t="shared" si="12"/>
        <v>5</v>
      </c>
      <c r="I93" s="113">
        <f t="shared" si="12"/>
        <v>6</v>
      </c>
      <c r="J93" s="113">
        <f t="shared" si="12"/>
        <v>7</v>
      </c>
    </row>
    <row r="94" spans="2:10" ht="15.5" x14ac:dyDescent="0.35">
      <c r="B94" s="114" t="s">
        <v>81</v>
      </c>
      <c r="C94" s="102">
        <f>SUM(D94:J94)</f>
        <v>7500</v>
      </c>
      <c r="D94" s="102">
        <f>Invest!D72</f>
        <v>1500</v>
      </c>
      <c r="E94" s="102">
        <f>Invest!E72</f>
        <v>3000</v>
      </c>
      <c r="F94" s="102">
        <f>Invest!F72</f>
        <v>3000</v>
      </c>
      <c r="G94" s="102">
        <f>Invest!G72</f>
        <v>0</v>
      </c>
      <c r="H94" s="102">
        <f>Invest!H72</f>
        <v>0</v>
      </c>
      <c r="I94" s="102">
        <f>Invest!I72</f>
        <v>0</v>
      </c>
      <c r="J94" s="139">
        <f>Invest!J72</f>
        <v>0</v>
      </c>
    </row>
    <row r="95" spans="2:10" ht="15.5" x14ac:dyDescent="0.35">
      <c r="B95" s="114" t="s">
        <v>82</v>
      </c>
      <c r="C95" s="102"/>
      <c r="D95" s="132">
        <f>Invest!D73</f>
        <v>1500</v>
      </c>
      <c r="E95" s="132">
        <f>Invest!E73</f>
        <v>4500</v>
      </c>
      <c r="F95" s="132">
        <f>Invest!F73</f>
        <v>7500</v>
      </c>
      <c r="G95" s="132">
        <f>Invest!G73</f>
        <v>7500</v>
      </c>
      <c r="H95" s="132">
        <f>Invest!H73</f>
        <v>7500</v>
      </c>
      <c r="I95" s="132">
        <f>Invest!I73</f>
        <v>7500</v>
      </c>
      <c r="J95" s="134">
        <f>Invest!J73</f>
        <v>7500</v>
      </c>
    </row>
    <row r="96" spans="2:10" ht="15.5" x14ac:dyDescent="0.35">
      <c r="B96" s="114" t="s">
        <v>86</v>
      </c>
      <c r="C96" s="102">
        <f>SUM(D96:J96)</f>
        <v>3739.7701252560191</v>
      </c>
      <c r="D96" s="132">
        <f>PL!D35</f>
        <v>128.95759052606962</v>
      </c>
      <c r="E96" s="132">
        <f>PL!E35</f>
        <v>386.87277157820887</v>
      </c>
      <c r="F96" s="132">
        <f>PL!F35</f>
        <v>644.78795263034806</v>
      </c>
      <c r="G96" s="132">
        <f>PL!G35</f>
        <v>644.78795263034806</v>
      </c>
      <c r="H96" s="132">
        <f>PL!H35</f>
        <v>644.78795263034806</v>
      </c>
      <c r="I96" s="132">
        <f>PL!I35</f>
        <v>644.78795263034806</v>
      </c>
      <c r="J96" s="134">
        <f>PL!J35</f>
        <v>644.78795263034795</v>
      </c>
    </row>
    <row r="97" spans="2:10" ht="15.5" x14ac:dyDescent="0.35">
      <c r="B97" s="114" t="s">
        <v>100</v>
      </c>
      <c r="C97" s="150">
        <f>C94/656</f>
        <v>11.432926829268293</v>
      </c>
    </row>
    <row r="104" spans="2:10" s="19" customFormat="1" ht="23.5" x14ac:dyDescent="0.55000000000000004">
      <c r="B104" s="137" t="s">
        <v>87</v>
      </c>
      <c r="C104"/>
      <c r="D104"/>
      <c r="E104"/>
      <c r="F104"/>
      <c r="G104"/>
      <c r="H104"/>
      <c r="I104"/>
      <c r="J104"/>
    </row>
    <row r="105" spans="2:10" s="19" customFormat="1" ht="23.5" x14ac:dyDescent="0.55000000000000004">
      <c r="B105" s="137"/>
      <c r="C105"/>
      <c r="D105"/>
      <c r="E105"/>
      <c r="F105"/>
      <c r="G105"/>
      <c r="H105"/>
      <c r="I105"/>
      <c r="J105"/>
    </row>
    <row r="106" spans="2:10" x14ac:dyDescent="0.35">
      <c r="B106" s="146"/>
      <c r="C106" s="147"/>
      <c r="D106" s="19"/>
      <c r="E106" s="19"/>
      <c r="F106" s="19"/>
      <c r="G106" s="19"/>
      <c r="H106" s="19"/>
      <c r="I106" s="19"/>
      <c r="J106" s="19"/>
    </row>
    <row r="107" spans="2:10" ht="15.5" x14ac:dyDescent="0.35">
      <c r="B107" s="112" t="s">
        <v>4</v>
      </c>
      <c r="C107" s="112" t="s">
        <v>54</v>
      </c>
      <c r="D107" s="113">
        <f>D$12</f>
        <v>1</v>
      </c>
      <c r="E107" s="113">
        <f t="shared" ref="E107:J107" si="13">E$12</f>
        <v>2</v>
      </c>
      <c r="F107" s="113">
        <f t="shared" si="13"/>
        <v>3</v>
      </c>
      <c r="G107" s="113">
        <f t="shared" si="13"/>
        <v>4</v>
      </c>
      <c r="H107" s="113">
        <f t="shared" si="13"/>
        <v>5</v>
      </c>
      <c r="I107" s="113">
        <f t="shared" si="13"/>
        <v>6</v>
      </c>
      <c r="J107" s="113">
        <f t="shared" si="13"/>
        <v>7</v>
      </c>
    </row>
    <row r="108" spans="2:10" ht="15.5" x14ac:dyDescent="0.35">
      <c r="B108" s="114" t="s">
        <v>88</v>
      </c>
      <c r="C108" s="102">
        <f>SUM(D108:J108)</f>
        <v>12500</v>
      </c>
      <c r="D108" s="102">
        <f>Emprunts!E27</f>
        <v>2500</v>
      </c>
      <c r="E108" s="102">
        <f>Emprunts!F27</f>
        <v>5000</v>
      </c>
      <c r="F108" s="102">
        <f>Emprunts!G27</f>
        <v>5000</v>
      </c>
      <c r="G108" s="102">
        <f>Emprunts!H27</f>
        <v>0</v>
      </c>
      <c r="H108" s="102">
        <f>Emprunts!I27</f>
        <v>0</v>
      </c>
      <c r="I108" s="102">
        <f>Emprunts!J27</f>
        <v>0</v>
      </c>
      <c r="J108" s="139">
        <f>Emprunts!K27</f>
        <v>0</v>
      </c>
    </row>
    <row r="109" spans="2:10" ht="15.5" x14ac:dyDescent="0.35">
      <c r="B109" s="114" t="s">
        <v>89</v>
      </c>
      <c r="C109" s="102"/>
      <c r="D109" s="132">
        <f>Emprunts!E30</f>
        <v>2499.9999997330196</v>
      </c>
      <c r="E109" s="132">
        <f>Emprunts!F30</f>
        <v>7083.3333422489441</v>
      </c>
      <c r="F109" s="132">
        <f>Emprunts!G30</f>
        <v>10833.333360847157</v>
      </c>
      <c r="G109" s="132">
        <f>Emprunts!H30</f>
        <v>8750.000046025576</v>
      </c>
      <c r="H109" s="132">
        <f>Emprunts!I30</f>
        <v>6666.6667111122078</v>
      </c>
      <c r="I109" s="132">
        <f>Emprunts!J30</f>
        <v>4583.3333679715461</v>
      </c>
      <c r="J109" s="134">
        <f>Emprunts!K30</f>
        <v>2500.0000169799041</v>
      </c>
    </row>
    <row r="110" spans="2:10" ht="15.5" x14ac:dyDescent="0.35">
      <c r="B110" s="114" t="s">
        <v>90</v>
      </c>
      <c r="C110" s="102">
        <f>SUM(D110:J110)</f>
        <v>2610.000013942727</v>
      </c>
      <c r="D110" s="132">
        <f>Emprunts!E32</f>
        <v>135.00000059273736</v>
      </c>
      <c r="E110" s="132">
        <f>Emprunts!F32</f>
        <v>394.68750176174535</v>
      </c>
      <c r="F110" s="132">
        <f>Emprunts!G32</f>
        <v>621.56250289680406</v>
      </c>
      <c r="G110" s="132">
        <f>Emprunts!H32</f>
        <v>533.43750281034477</v>
      </c>
      <c r="H110" s="132">
        <f>Emprunts!I32</f>
        <v>420.93750271855316</v>
      </c>
      <c r="I110" s="132">
        <f>Emprunts!J32</f>
        <v>308.43750212149882</v>
      </c>
      <c r="J110" s="134">
        <f>Emprunts!K32</f>
        <v>195.93750104104359</v>
      </c>
    </row>
    <row r="111" spans="2:10" ht="15.5" x14ac:dyDescent="0.35">
      <c r="B111" s="114" t="s">
        <v>101</v>
      </c>
      <c r="C111" s="150">
        <f>C108/656</f>
        <v>19.054878048780488</v>
      </c>
      <c r="D111" s="151"/>
      <c r="E111" s="151"/>
      <c r="F111" s="151"/>
      <c r="G111" s="151"/>
      <c r="H111" s="151"/>
      <c r="I111" s="151"/>
      <c r="J111" s="151"/>
    </row>
    <row r="141" spans="2:8" ht="23.5" x14ac:dyDescent="0.55000000000000004">
      <c r="B141" s="137" t="s">
        <v>93</v>
      </c>
    </row>
    <row r="143" spans="2:8" ht="15.5" x14ac:dyDescent="0.35">
      <c r="B143" s="112" t="s">
        <v>4</v>
      </c>
      <c r="C143" s="112" t="s">
        <v>94</v>
      </c>
      <c r="D143" s="113">
        <f>D$12</f>
        <v>1</v>
      </c>
      <c r="E143" s="113">
        <f t="shared" ref="E143:H143" si="14">E$12</f>
        <v>2</v>
      </c>
      <c r="F143" s="113">
        <f t="shared" si="14"/>
        <v>3</v>
      </c>
      <c r="G143" s="113">
        <f t="shared" si="14"/>
        <v>4</v>
      </c>
      <c r="H143" s="113">
        <f t="shared" si="14"/>
        <v>5</v>
      </c>
    </row>
    <row r="144" spans="2:8" ht="15.5" x14ac:dyDescent="0.35">
      <c r="B144" s="114" t="s">
        <v>95</v>
      </c>
      <c r="C144" s="102"/>
      <c r="D144" s="102">
        <f>Tréso!D21</f>
        <v>131.85041930938581</v>
      </c>
      <c r="E144" s="102">
        <f>Tréso!E21</f>
        <v>532.44506449681239</v>
      </c>
      <c r="F144" s="102">
        <f>Tréso!F21</f>
        <v>1354.1280421469219</v>
      </c>
      <c r="G144" s="102">
        <f>Tréso!G21</f>
        <v>2836.621107864743</v>
      </c>
      <c r="H144" s="133">
        <f>Tréso!H21</f>
        <v>5557.8065818126142</v>
      </c>
    </row>
    <row r="145" spans="2:8" ht="15.5" x14ac:dyDescent="0.35">
      <c r="B145" s="114" t="s">
        <v>102</v>
      </c>
      <c r="C145" s="102"/>
      <c r="D145" s="148">
        <f>D144/656</f>
        <v>0.20099149284967349</v>
      </c>
      <c r="E145" s="148">
        <f t="shared" ref="E145:H145" si="15">E144/656</f>
        <v>0.81165406173294574</v>
      </c>
      <c r="F145" s="148">
        <f t="shared" si="15"/>
        <v>2.0642195764434783</v>
      </c>
      <c r="G145" s="148">
        <f t="shared" si="15"/>
        <v>4.324117542476742</v>
      </c>
      <c r="H145" s="148">
        <f t="shared" si="15"/>
        <v>8.4722661308119118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scale="45" fitToHeight="0" orientation="portrait" r:id="rId1"/>
  <rowBreaks count="1" manualBreakCount="1">
    <brk id="99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8AC62-D16A-4A88-9570-1AE83B90F47C}">
  <dimension ref="A1:J220"/>
  <sheetViews>
    <sheetView topLeftCell="A200" zoomScaleNormal="100" workbookViewId="0">
      <selection activeCell="H50" sqref="H50"/>
    </sheetView>
  </sheetViews>
  <sheetFormatPr baseColWidth="10" defaultRowHeight="14.5" x14ac:dyDescent="0.35"/>
  <cols>
    <col min="2" max="2" width="43.453125" customWidth="1"/>
    <col min="3" max="3" width="12.453125" customWidth="1"/>
    <col min="4" max="7" width="15.7265625" customWidth="1"/>
    <col min="8" max="8" width="14.7265625" customWidth="1"/>
    <col min="9" max="10" width="15.7265625" customWidth="1"/>
  </cols>
  <sheetData>
    <row r="1" spans="1:10" ht="28.5" x14ac:dyDescent="0.65">
      <c r="A1" s="26" t="s">
        <v>62</v>
      </c>
      <c r="B1" s="26"/>
      <c r="D1" s="68" t="s">
        <v>63</v>
      </c>
    </row>
    <row r="3" spans="1:10" s="80" customFormat="1" ht="18.5" x14ac:dyDescent="0.45">
      <c r="B3" s="81" t="s">
        <v>5</v>
      </c>
      <c r="C3" s="81"/>
      <c r="D3" s="84">
        <f>'50 CAP'!D10</f>
        <v>46023</v>
      </c>
    </row>
    <row r="4" spans="1:10" s="80" customFormat="1" ht="18.5" x14ac:dyDescent="0.45">
      <c r="B4" s="83" t="s">
        <v>4</v>
      </c>
      <c r="C4" s="83"/>
      <c r="D4" s="110">
        <v>1</v>
      </c>
      <c r="E4" s="110">
        <f>1+D4</f>
        <v>2</v>
      </c>
      <c r="F4" s="110">
        <f t="shared" ref="F4:J4" si="0">1+E4</f>
        <v>3</v>
      </c>
      <c r="G4" s="110">
        <f t="shared" si="0"/>
        <v>4</v>
      </c>
      <c r="H4" s="110">
        <f t="shared" si="0"/>
        <v>5</v>
      </c>
      <c r="I4" s="110">
        <f t="shared" si="0"/>
        <v>6</v>
      </c>
      <c r="J4" s="110">
        <f t="shared" si="0"/>
        <v>7</v>
      </c>
    </row>
    <row r="5" spans="1:10" s="80" customFormat="1" ht="18.5" x14ac:dyDescent="0.45">
      <c r="B5" s="81" t="s">
        <v>3</v>
      </c>
      <c r="C5" s="81"/>
      <c r="D5" s="108">
        <f>D3</f>
        <v>46023</v>
      </c>
      <c r="E5" s="108">
        <f>DATE(E53,"01","01")</f>
        <v>46388</v>
      </c>
      <c r="F5" s="108">
        <f t="shared" ref="F5:J5" si="1">DATE(F53,"01","01")</f>
        <v>46753</v>
      </c>
      <c r="G5" s="108">
        <f t="shared" si="1"/>
        <v>47119</v>
      </c>
      <c r="H5" s="108">
        <f t="shared" si="1"/>
        <v>47484</v>
      </c>
      <c r="I5" s="108">
        <f t="shared" si="1"/>
        <v>47849</v>
      </c>
      <c r="J5" s="108">
        <f t="shared" si="1"/>
        <v>48214</v>
      </c>
    </row>
    <row r="6" spans="1:10" s="81" customFormat="1" ht="18.5" x14ac:dyDescent="0.45">
      <c r="B6" s="81" t="s">
        <v>1</v>
      </c>
      <c r="C6" s="109">
        <v>0.05</v>
      </c>
      <c r="E6" s="71"/>
      <c r="F6" s="71"/>
      <c r="G6" s="71"/>
      <c r="H6" s="71"/>
      <c r="I6" s="109">
        <f>C6</f>
        <v>0.05</v>
      </c>
      <c r="J6" s="109">
        <f>I6</f>
        <v>0.05</v>
      </c>
    </row>
    <row r="7" spans="1:10" s="85" customFormat="1" ht="18.5" x14ac:dyDescent="0.45"/>
    <row r="8" spans="1:10" s="52" customFormat="1" x14ac:dyDescent="0.35">
      <c r="B8" s="53"/>
      <c r="C8" s="53"/>
      <c r="D8" s="53"/>
      <c r="E8" s="53"/>
      <c r="F8" s="53"/>
      <c r="G8" s="53"/>
      <c r="H8" s="53"/>
      <c r="I8" s="53"/>
      <c r="J8" s="53"/>
    </row>
    <row r="9" spans="1:10" s="52" customFormat="1" ht="15" thickBot="1" x14ac:dyDescent="0.4">
      <c r="B9" s="53"/>
      <c r="C9" s="53"/>
      <c r="D9" s="53"/>
      <c r="E9" s="53"/>
      <c r="F9" s="53"/>
      <c r="G9" s="53"/>
      <c r="H9" s="53"/>
      <c r="I9" s="53"/>
      <c r="J9" s="53"/>
    </row>
    <row r="10" spans="1:10" s="52" customFormat="1" ht="20.149999999999999" customHeight="1" thickBot="1" x14ac:dyDescent="0.4">
      <c r="B10" s="1" t="s">
        <v>51</v>
      </c>
      <c r="C10" s="1">
        <f>'50 CAP'!C17</f>
        <v>10</v>
      </c>
      <c r="D10" s="2">
        <f>$C10</f>
        <v>10</v>
      </c>
      <c r="E10" s="2">
        <f>D10</f>
        <v>10</v>
      </c>
      <c r="F10" s="2">
        <f t="shared" ref="F10:J10" si="2">E10</f>
        <v>10</v>
      </c>
      <c r="G10" s="2">
        <f t="shared" si="2"/>
        <v>10</v>
      </c>
      <c r="H10" s="2">
        <f t="shared" si="2"/>
        <v>10</v>
      </c>
      <c r="I10" s="2">
        <f t="shared" si="2"/>
        <v>10</v>
      </c>
      <c r="J10" s="2">
        <f t="shared" si="2"/>
        <v>10</v>
      </c>
    </row>
    <row r="11" spans="1:10" s="52" customFormat="1" ht="15" thickBot="1" x14ac:dyDescent="0.4">
      <c r="B11" s="53"/>
      <c r="C11" s="53"/>
      <c r="D11" s="53"/>
      <c r="E11" s="53"/>
      <c r="F11" s="53"/>
      <c r="G11" s="53"/>
      <c r="H11" s="53"/>
      <c r="I11" s="53"/>
      <c r="J11" s="53"/>
    </row>
    <row r="12" spans="1:10" s="52" customFormat="1" ht="20.149999999999999" customHeight="1" thickBot="1" x14ac:dyDescent="0.4">
      <c r="B12" s="1" t="s">
        <v>52</v>
      </c>
      <c r="C12" s="1">
        <f>'50 CAP'!C19</f>
        <v>20</v>
      </c>
      <c r="D12" s="2"/>
      <c r="E12" s="2">
        <f>$C12</f>
        <v>20</v>
      </c>
      <c r="F12" s="2">
        <f>E12</f>
        <v>20</v>
      </c>
      <c r="G12" s="2">
        <f t="shared" ref="G12:J12" si="3">F12</f>
        <v>20</v>
      </c>
      <c r="H12" s="2">
        <f t="shared" si="3"/>
        <v>20</v>
      </c>
      <c r="I12" s="2">
        <f t="shared" si="3"/>
        <v>20</v>
      </c>
      <c r="J12" s="2">
        <f t="shared" si="3"/>
        <v>20</v>
      </c>
    </row>
    <row r="13" spans="1:10" s="52" customFormat="1" ht="15" thickBot="1" x14ac:dyDescent="0.4">
      <c r="B13" s="53"/>
      <c r="C13" s="53"/>
      <c r="D13" s="53"/>
      <c r="E13" s="53"/>
      <c r="F13" s="53"/>
      <c r="G13" s="53"/>
      <c r="H13" s="53"/>
      <c r="I13" s="53"/>
      <c r="J13" s="53"/>
    </row>
    <row r="14" spans="1:10" s="52" customFormat="1" ht="20.149999999999999" customHeight="1" thickBot="1" x14ac:dyDescent="0.4">
      <c r="B14" s="1" t="s">
        <v>53</v>
      </c>
      <c r="C14" s="1">
        <f>'50 CAP'!C21</f>
        <v>20</v>
      </c>
      <c r="D14" s="2"/>
      <c r="E14" s="2"/>
      <c r="F14" s="2">
        <f>$C14</f>
        <v>20</v>
      </c>
      <c r="G14" s="2">
        <f t="shared" ref="G14:J14" si="4">F14</f>
        <v>20</v>
      </c>
      <c r="H14" s="2">
        <f t="shared" si="4"/>
        <v>20</v>
      </c>
      <c r="I14" s="2">
        <f t="shared" si="4"/>
        <v>20</v>
      </c>
      <c r="J14" s="2">
        <f t="shared" si="4"/>
        <v>20</v>
      </c>
    </row>
    <row r="15" spans="1:10" s="52" customFormat="1" ht="15" thickBot="1" x14ac:dyDescent="0.4">
      <c r="B15" s="53"/>
      <c r="C15" s="53"/>
      <c r="D15" s="53"/>
      <c r="E15" s="53"/>
      <c r="F15" s="53"/>
      <c r="G15" s="53"/>
      <c r="H15" s="53"/>
      <c r="I15" s="53"/>
      <c r="J15" s="53"/>
    </row>
    <row r="16" spans="1:10" s="52" customFormat="1" ht="19" thickBot="1" x14ac:dyDescent="0.4">
      <c r="B16" s="69" t="s">
        <v>38</v>
      </c>
      <c r="C16" s="70">
        <f>SUM(C10:C15)</f>
        <v>50</v>
      </c>
      <c r="D16" s="70">
        <f>SUM(D10:D15)</f>
        <v>10</v>
      </c>
      <c r="E16" s="70">
        <f t="shared" ref="E16:J16" si="5">SUM(E10:E15)</f>
        <v>30</v>
      </c>
      <c r="F16" s="70">
        <f t="shared" si="5"/>
        <v>50</v>
      </c>
      <c r="G16" s="70">
        <f t="shared" si="5"/>
        <v>50</v>
      </c>
      <c r="H16" s="70">
        <f t="shared" si="5"/>
        <v>50</v>
      </c>
      <c r="I16" s="70">
        <f t="shared" si="5"/>
        <v>50</v>
      </c>
      <c r="J16" s="70">
        <f t="shared" si="5"/>
        <v>50</v>
      </c>
    </row>
    <row r="17" spans="2:10" s="52" customFormat="1" x14ac:dyDescent="0.35">
      <c r="B17" s="53"/>
      <c r="C17" s="53"/>
      <c r="D17" s="53"/>
      <c r="E17" s="53"/>
      <c r="F17" s="53"/>
      <c r="G17" s="53"/>
      <c r="H17" s="53"/>
      <c r="I17" s="53"/>
      <c r="J17" s="53"/>
    </row>
    <row r="18" spans="2:10" s="52" customFormat="1" x14ac:dyDescent="0.35">
      <c r="B18" s="53"/>
      <c r="C18" s="53"/>
      <c r="D18" s="53"/>
      <c r="E18" s="53"/>
      <c r="F18" s="53"/>
      <c r="G18" s="53"/>
      <c r="H18" s="53"/>
      <c r="I18" s="53"/>
      <c r="J18" s="53"/>
    </row>
    <row r="19" spans="2:10" s="52" customFormat="1" x14ac:dyDescent="0.35">
      <c r="B19" s="53"/>
      <c r="C19" s="53"/>
      <c r="D19" s="53"/>
      <c r="E19" s="53"/>
      <c r="F19" s="53"/>
      <c r="G19" s="53"/>
      <c r="H19" s="53"/>
      <c r="I19" s="53"/>
      <c r="J19" s="53"/>
    </row>
    <row r="20" spans="2:10" s="52" customFormat="1" x14ac:dyDescent="0.35">
      <c r="B20" s="53"/>
      <c r="C20" s="53"/>
      <c r="D20" s="53"/>
      <c r="E20" s="53"/>
      <c r="F20" s="53"/>
      <c r="G20" s="53"/>
      <c r="H20" s="53"/>
      <c r="I20" s="53"/>
      <c r="J20" s="53"/>
    </row>
    <row r="21" spans="2:10" s="52" customFormat="1" ht="26" x14ac:dyDescent="0.6">
      <c r="B21" s="68" t="s">
        <v>118</v>
      </c>
      <c r="C21" s="53"/>
      <c r="D21" s="53"/>
      <c r="E21" s="53"/>
      <c r="F21" s="53"/>
      <c r="G21" s="53"/>
      <c r="H21" s="53"/>
      <c r="I21" s="53"/>
      <c r="J21" s="53"/>
    </row>
    <row r="22" spans="2:10" s="52" customFormat="1" x14ac:dyDescent="0.35">
      <c r="B22" s="53"/>
      <c r="C22" s="53"/>
      <c r="D22" s="53"/>
      <c r="E22" s="53"/>
      <c r="F22" s="53"/>
      <c r="G22" s="53"/>
      <c r="H22" s="53"/>
      <c r="I22" s="53"/>
      <c r="J22" s="53"/>
    </row>
    <row r="23" spans="2:10" s="52" customFormat="1" x14ac:dyDescent="0.35">
      <c r="B23" s="53"/>
      <c r="C23" s="53"/>
      <c r="D23" s="53"/>
      <c r="E23" s="53"/>
      <c r="F23" s="53"/>
      <c r="G23" s="53"/>
      <c r="H23" s="53"/>
      <c r="I23" s="53"/>
      <c r="J23" s="53"/>
    </row>
    <row r="24" spans="2:10" s="52" customFormat="1" ht="15" thickBot="1" x14ac:dyDescent="0.4">
      <c r="B24" s="22"/>
      <c r="C24" s="22" t="s">
        <v>4</v>
      </c>
      <c r="D24" s="22">
        <f>YEAR($D$3)</f>
        <v>2026</v>
      </c>
      <c r="E24" s="22">
        <f>D24+1</f>
        <v>2027</v>
      </c>
      <c r="F24" s="22">
        <f t="shared" ref="F24" si="6">E24+1</f>
        <v>2028</v>
      </c>
      <c r="G24" s="22">
        <f t="shared" ref="G24" si="7">F24+1</f>
        <v>2029</v>
      </c>
      <c r="H24" s="22">
        <f t="shared" ref="H24" si="8">G24+1</f>
        <v>2030</v>
      </c>
      <c r="I24" s="22">
        <f t="shared" ref="I24" si="9">H24+1</f>
        <v>2031</v>
      </c>
      <c r="J24" s="22">
        <f t="shared" ref="J24" si="10">I24+1</f>
        <v>2032</v>
      </c>
    </row>
    <row r="25" spans="2:10" s="52" customFormat="1" ht="31.5" thickBot="1" x14ac:dyDescent="0.4">
      <c r="B25" s="1" t="s">
        <v>6</v>
      </c>
      <c r="C25" s="1" t="s">
        <v>54</v>
      </c>
      <c r="D25" s="2" t="str">
        <f>$D$54</f>
        <v>Prévisions année:  1</v>
      </c>
      <c r="E25" s="2" t="str">
        <f>$E$54</f>
        <v>Prévisions année:  2</v>
      </c>
      <c r="F25" s="2" t="str">
        <f>$F$54</f>
        <v>Prévisions année:  3</v>
      </c>
      <c r="G25" s="2" t="str">
        <f>$G$54</f>
        <v>Prévisions année:  4</v>
      </c>
      <c r="H25" s="2" t="str">
        <f>$H$54</f>
        <v>Prévisions année:  5</v>
      </c>
      <c r="I25" s="2" t="str">
        <f>$I$54</f>
        <v>Prévisions année:  6</v>
      </c>
      <c r="J25" s="67" t="str">
        <f>$J$54</f>
        <v>Prévisions année:  7</v>
      </c>
    </row>
    <row r="26" spans="2:10" s="52" customFormat="1" x14ac:dyDescent="0.35">
      <c r="B26" s="5"/>
      <c r="C26" s="23"/>
      <c r="D26" s="6"/>
      <c r="E26" s="7"/>
      <c r="F26" s="6"/>
      <c r="G26" s="6"/>
      <c r="H26" s="6"/>
      <c r="I26" s="23"/>
      <c r="J26" s="6"/>
    </row>
    <row r="27" spans="2:10" s="52" customFormat="1" ht="15" customHeight="1" x14ac:dyDescent="0.35">
      <c r="B27" s="8" t="s">
        <v>8</v>
      </c>
      <c r="C27" s="60">
        <f>SUM(D27:J27)</f>
        <v>79735.454065413083</v>
      </c>
      <c r="D27" s="9">
        <f t="shared" ref="D27:J28" si="11">(D$10*D56+D$12*D83+D$14*D110)/1000000</f>
        <v>0</v>
      </c>
      <c r="E27" s="9">
        <f t="shared" si="11"/>
        <v>2181.1173999999996</v>
      </c>
      <c r="F27" s="9">
        <f t="shared" si="11"/>
        <v>7165.4793649999983</v>
      </c>
      <c r="G27" s="9">
        <f t="shared" si="11"/>
        <v>13435.174407750001</v>
      </c>
      <c r="H27" s="9">
        <f t="shared" si="11"/>
        <v>16492.862462587498</v>
      </c>
      <c r="I27" s="9">
        <f t="shared" si="11"/>
        <v>19213.680269236873</v>
      </c>
      <c r="J27" s="9">
        <f t="shared" si="11"/>
        <v>21247.140160838717</v>
      </c>
    </row>
    <row r="28" spans="2:10" s="52" customFormat="1" ht="15" customHeight="1" x14ac:dyDescent="0.35">
      <c r="B28" s="8" t="s">
        <v>9</v>
      </c>
      <c r="C28" s="60">
        <f>SUM(D28:J28)</f>
        <v>6422.4479220166077</v>
      </c>
      <c r="D28" s="9">
        <f t="shared" si="11"/>
        <v>0</v>
      </c>
      <c r="E28" s="9">
        <f t="shared" si="11"/>
        <v>240.6906965927374</v>
      </c>
      <c r="F28" s="9">
        <f t="shared" si="11"/>
        <v>755.56467636174534</v>
      </c>
      <c r="G28" s="9">
        <f t="shared" si="11"/>
        <v>1319.6544792068041</v>
      </c>
      <c r="H28" s="9">
        <f t="shared" si="11"/>
        <v>1429.3664313138447</v>
      </c>
      <c r="I28" s="9">
        <f t="shared" si="11"/>
        <v>1479.7237894880282</v>
      </c>
      <c r="J28" s="9">
        <f t="shared" si="11"/>
        <v>1197.4478490534486</v>
      </c>
    </row>
    <row r="29" spans="2:10" s="52" customFormat="1" ht="15" customHeight="1" x14ac:dyDescent="0.35">
      <c r="B29" s="10" t="s">
        <v>10</v>
      </c>
      <c r="C29" s="64">
        <f>SUM(D29:J29)</f>
        <v>86157.901987429694</v>
      </c>
      <c r="D29" s="11">
        <f t="shared" ref="D29:H29" si="12">D27+D28</f>
        <v>0</v>
      </c>
      <c r="E29" s="11">
        <f t="shared" si="12"/>
        <v>2421.808096592737</v>
      </c>
      <c r="F29" s="11">
        <f t="shared" si="12"/>
        <v>7921.0440413617434</v>
      </c>
      <c r="G29" s="11">
        <f t="shared" si="12"/>
        <v>14754.828886956804</v>
      </c>
      <c r="H29" s="11">
        <f t="shared" si="12"/>
        <v>17922.228893901342</v>
      </c>
      <c r="I29" s="11">
        <f t="shared" ref="I29:J29" si="13">I27+I28</f>
        <v>20693.4040587249</v>
      </c>
      <c r="J29" s="11">
        <f t="shared" si="13"/>
        <v>22444.588009892166</v>
      </c>
    </row>
    <row r="30" spans="2:10" s="52" customFormat="1" ht="15" customHeight="1" x14ac:dyDescent="0.35">
      <c r="B30" s="8" t="s">
        <v>11</v>
      </c>
      <c r="C30" s="60">
        <f>SUM(D30:J30)</f>
        <v>33131.551050095557</v>
      </c>
      <c r="D30" s="9">
        <f t="shared" ref="D30:J30" si="14">(D$10*D59+D$12*D86+D$14*D113)/1000000</f>
        <v>0</v>
      </c>
      <c r="E30" s="9">
        <f t="shared" si="14"/>
        <v>1325.7599188636364</v>
      </c>
      <c r="F30" s="9">
        <f t="shared" si="14"/>
        <v>3896.2797565909086</v>
      </c>
      <c r="G30" s="9">
        <f t="shared" si="14"/>
        <v>6504.721200966942</v>
      </c>
      <c r="H30" s="9">
        <f t="shared" si="14"/>
        <v>6642.5265256611565</v>
      </c>
      <c r="I30" s="9">
        <f t="shared" si="14"/>
        <v>7140.1485016816123</v>
      </c>
      <c r="J30" s="9">
        <f t="shared" si="14"/>
        <v>7622.1151463313026</v>
      </c>
    </row>
    <row r="31" spans="2:10" s="52" customFormat="1" ht="15" customHeight="1" x14ac:dyDescent="0.35">
      <c r="B31" s="10" t="s">
        <v>12</v>
      </c>
      <c r="C31" s="64">
        <f>SUM(D31:J31)</f>
        <v>46603.903015317526</v>
      </c>
      <c r="D31" s="24">
        <f t="shared" ref="D31:J31" si="15">D27-D30</f>
        <v>0</v>
      </c>
      <c r="E31" s="24">
        <f t="shared" si="15"/>
        <v>855.35748113636328</v>
      </c>
      <c r="F31" s="24">
        <f t="shared" si="15"/>
        <v>3269.1996084090897</v>
      </c>
      <c r="G31" s="24">
        <f t="shared" si="15"/>
        <v>6930.4532067830587</v>
      </c>
      <c r="H31" s="24">
        <f t="shared" si="15"/>
        <v>9850.3359369263417</v>
      </c>
      <c r="I31" s="24">
        <f t="shared" si="15"/>
        <v>12073.531767555261</v>
      </c>
      <c r="J31" s="11">
        <f t="shared" si="15"/>
        <v>13625.025014507413</v>
      </c>
    </row>
    <row r="32" spans="2:10" s="52" customFormat="1" ht="15" customHeight="1" x14ac:dyDescent="0.35">
      <c r="B32" s="10" t="s">
        <v>0</v>
      </c>
      <c r="C32" s="64"/>
      <c r="D32" s="20">
        <f t="shared" ref="D32:J32" si="16">IF(D27=0,0,D31/D27)</f>
        <v>0</v>
      </c>
      <c r="E32" s="20">
        <f t="shared" si="16"/>
        <v>0.39216480558834815</v>
      </c>
      <c r="F32" s="20">
        <f t="shared" si="16"/>
        <v>0.45624297299320887</v>
      </c>
      <c r="G32" s="20">
        <f t="shared" si="16"/>
        <v>0.51584393298126952</v>
      </c>
      <c r="H32" s="20">
        <f t="shared" si="16"/>
        <v>0.59724841332248413</v>
      </c>
      <c r="I32" s="20">
        <f t="shared" si="16"/>
        <v>0.62838204853893909</v>
      </c>
      <c r="J32" s="20">
        <f t="shared" si="16"/>
        <v>0.64126394947119203</v>
      </c>
    </row>
    <row r="33" spans="2:10" s="52" customFormat="1" ht="15" customHeight="1" x14ac:dyDescent="0.35">
      <c r="B33" s="8" t="s">
        <v>13</v>
      </c>
      <c r="C33" s="60">
        <f t="shared" ref="C33:C47" si="17">SUM(D33:J33)</f>
        <v>4208.7413585770873</v>
      </c>
      <c r="D33" s="9">
        <f>(D$10*E62+D$12*D90+D$14*D117)/1000000</f>
        <v>0</v>
      </c>
      <c r="E33" s="9">
        <f>(E$10*F62+E$12*E90+E$14*E117)/1000000</f>
        <v>0</v>
      </c>
      <c r="F33" s="9">
        <f>(F$10*G62+J$12*F90+F$14*F117)/1000000</f>
        <v>230.74354888238358</v>
      </c>
      <c r="G33" s="9">
        <f>(G$10*H62+G$12*G90+G$14*G117)/1000000</f>
        <v>650.5821467128934</v>
      </c>
      <c r="H33" s="9">
        <f>(H$10*I62+H$12*H90+H$14*H117)/1000000</f>
        <v>944.94109619275241</v>
      </c>
      <c r="I33" s="9">
        <f>(I$10*J62+I$12*I90+I$14*I117)/1000000</f>
        <v>1124.4417308622426</v>
      </c>
      <c r="J33" s="9">
        <f>(J$10*K62+J$12*J90+J$14*J117)/1000000</f>
        <v>1258.0328359268153</v>
      </c>
    </row>
    <row r="34" spans="2:10" s="52" customFormat="1" ht="15" customHeight="1" x14ac:dyDescent="0.35">
      <c r="B34" s="8" t="s">
        <v>14</v>
      </c>
      <c r="C34" s="60">
        <f t="shared" si="17"/>
        <v>5771.4142408771413</v>
      </c>
      <c r="D34" s="9">
        <f t="shared" ref="D34:J39" si="18">(D$10*D63+D$12*D90+D$14*D117)/1000000</f>
        <v>0</v>
      </c>
      <c r="E34" s="9">
        <f t="shared" si="18"/>
        <v>115.37177444119179</v>
      </c>
      <c r="F34" s="9">
        <f t="shared" si="18"/>
        <v>440.66284779763845</v>
      </c>
      <c r="G34" s="9">
        <f t="shared" si="18"/>
        <v>913.1333958940146</v>
      </c>
      <c r="H34" s="9">
        <f t="shared" si="18"/>
        <v>1244.6107124427524</v>
      </c>
      <c r="I34" s="9">
        <f t="shared" si="18"/>
        <v>1453.7885325756502</v>
      </c>
      <c r="J34" s="9">
        <f t="shared" si="18"/>
        <v>1603.8469777258931</v>
      </c>
    </row>
    <row r="35" spans="2:10" s="52" customFormat="1" ht="15" customHeight="1" x14ac:dyDescent="0.35">
      <c r="B35" s="8" t="s">
        <v>15</v>
      </c>
      <c r="C35" s="60">
        <f t="shared" si="17"/>
        <v>3739.7701252560191</v>
      </c>
      <c r="D35" s="9">
        <f t="shared" si="18"/>
        <v>128.95759052606962</v>
      </c>
      <c r="E35" s="9">
        <f t="shared" si="18"/>
        <v>386.87277157820887</v>
      </c>
      <c r="F35" s="9">
        <f t="shared" si="18"/>
        <v>644.78795263034806</v>
      </c>
      <c r="G35" s="9">
        <f t="shared" si="18"/>
        <v>644.78795263034806</v>
      </c>
      <c r="H35" s="9">
        <f t="shared" si="18"/>
        <v>644.78795263034806</v>
      </c>
      <c r="I35" s="9">
        <f t="shared" si="18"/>
        <v>644.78795263034806</v>
      </c>
      <c r="J35" s="9">
        <f t="shared" si="18"/>
        <v>644.78795263034795</v>
      </c>
    </row>
    <row r="36" spans="2:10" s="52" customFormat="1" ht="15" customHeight="1" x14ac:dyDescent="0.35">
      <c r="B36" s="8" t="s">
        <v>16</v>
      </c>
      <c r="C36" s="60">
        <f t="shared" si="17"/>
        <v>3189.4181626165232</v>
      </c>
      <c r="D36" s="9">
        <f t="shared" si="18"/>
        <v>0</v>
      </c>
      <c r="E36" s="9">
        <f t="shared" si="18"/>
        <v>87.244695999999962</v>
      </c>
      <c r="F36" s="9">
        <f t="shared" si="18"/>
        <v>286.61917459999989</v>
      </c>
      <c r="G36" s="9">
        <f t="shared" si="18"/>
        <v>537.40697630999978</v>
      </c>
      <c r="H36" s="9">
        <f t="shared" si="18"/>
        <v>659.71449850349995</v>
      </c>
      <c r="I36" s="9">
        <f t="shared" si="18"/>
        <v>768.54721076947499</v>
      </c>
      <c r="J36" s="9">
        <f t="shared" si="18"/>
        <v>849.88560643354867</v>
      </c>
    </row>
    <row r="37" spans="2:10" s="52" customFormat="1" ht="15" customHeight="1" x14ac:dyDescent="0.35">
      <c r="B37" s="8" t="s">
        <v>17</v>
      </c>
      <c r="C37" s="60">
        <f t="shared" si="17"/>
        <v>0</v>
      </c>
      <c r="D37" s="9">
        <f t="shared" si="18"/>
        <v>0</v>
      </c>
      <c r="E37" s="9">
        <f t="shared" si="18"/>
        <v>0</v>
      </c>
      <c r="F37" s="9">
        <f t="shared" si="18"/>
        <v>0</v>
      </c>
      <c r="G37" s="9">
        <f t="shared" si="18"/>
        <v>0</v>
      </c>
      <c r="H37" s="9">
        <f t="shared" si="18"/>
        <v>0</v>
      </c>
      <c r="I37" s="9">
        <f t="shared" si="18"/>
        <v>0</v>
      </c>
      <c r="J37" s="9">
        <f t="shared" si="18"/>
        <v>0</v>
      </c>
    </row>
    <row r="38" spans="2:10" s="52" customFormat="1" ht="15" customHeight="1" x14ac:dyDescent="0.35">
      <c r="B38" s="8" t="s">
        <v>18</v>
      </c>
      <c r="C38" s="60">
        <f t="shared" si="17"/>
        <v>0</v>
      </c>
      <c r="D38" s="9">
        <f t="shared" si="18"/>
        <v>0</v>
      </c>
      <c r="E38" s="9">
        <f t="shared" si="18"/>
        <v>0</v>
      </c>
      <c r="F38" s="9">
        <f t="shared" si="18"/>
        <v>0</v>
      </c>
      <c r="G38" s="9">
        <f t="shared" si="18"/>
        <v>0</v>
      </c>
      <c r="H38" s="9">
        <f t="shared" si="18"/>
        <v>0</v>
      </c>
      <c r="I38" s="9">
        <f t="shared" si="18"/>
        <v>0</v>
      </c>
      <c r="J38" s="9">
        <f t="shared" si="18"/>
        <v>0</v>
      </c>
    </row>
    <row r="39" spans="2:10" s="52" customFormat="1" ht="15" customHeight="1" x14ac:dyDescent="0.35">
      <c r="B39" s="12" t="s">
        <v>19</v>
      </c>
      <c r="C39" s="61">
        <f t="shared" si="17"/>
        <v>14755.313671</v>
      </c>
      <c r="D39" s="9">
        <f t="shared" si="18"/>
        <v>0</v>
      </c>
      <c r="E39" s="9">
        <f t="shared" si="18"/>
        <v>273.108</v>
      </c>
      <c r="F39" s="9">
        <f t="shared" si="18"/>
        <v>975.44600000000003</v>
      </c>
      <c r="G39" s="9">
        <f t="shared" si="18"/>
        <v>2174.2294000000002</v>
      </c>
      <c r="H39" s="9">
        <f t="shared" si="18"/>
        <v>3201.9588699999999</v>
      </c>
      <c r="I39" s="9">
        <f t="shared" si="18"/>
        <v>3980.9517599999999</v>
      </c>
      <c r="J39" s="9">
        <f t="shared" si="18"/>
        <v>4149.6196410000002</v>
      </c>
    </row>
    <row r="40" spans="2:10" s="52" customFormat="1" ht="15" customHeight="1" x14ac:dyDescent="0.35">
      <c r="B40" s="13" t="s">
        <v>20</v>
      </c>
      <c r="C40" s="93">
        <f t="shared" si="17"/>
        <v>21361.693379007367</v>
      </c>
      <c r="D40" s="25">
        <f t="shared" ref="D40:J40" si="19">D31+D28-SUM(D33:D39)</f>
        <v>-128.95759052606962</v>
      </c>
      <c r="E40" s="25">
        <f t="shared" si="19"/>
        <v>233.45093570969993</v>
      </c>
      <c r="F40" s="25">
        <f t="shared" si="19"/>
        <v>1446.504760860465</v>
      </c>
      <c r="G40" s="25">
        <f t="shared" si="19"/>
        <v>3329.9678144426061</v>
      </c>
      <c r="H40" s="25">
        <f t="shared" si="19"/>
        <v>4583.6892384708335</v>
      </c>
      <c r="I40" s="25">
        <f t="shared" si="19"/>
        <v>5580.7383702055722</v>
      </c>
      <c r="J40" s="14">
        <f t="shared" si="19"/>
        <v>6316.2998498442576</v>
      </c>
    </row>
    <row r="41" spans="2:10" s="52" customFormat="1" ht="15" customHeight="1" x14ac:dyDescent="0.35">
      <c r="B41" s="15" t="s">
        <v>21</v>
      </c>
      <c r="C41" s="62">
        <f t="shared" si="17"/>
        <v>5918.91</v>
      </c>
      <c r="D41" s="9">
        <f t="shared" ref="D41:J42" si="20">(D$10*D70+D$12*D97+D$14*D124)/1000000</f>
        <v>0</v>
      </c>
      <c r="E41" s="9">
        <f t="shared" si="20"/>
        <v>257.85166666666663</v>
      </c>
      <c r="F41" s="9">
        <f t="shared" si="20"/>
        <v>773.55499999999984</v>
      </c>
      <c r="G41" s="9">
        <f t="shared" si="20"/>
        <v>1289.258333333333</v>
      </c>
      <c r="H41" s="9">
        <f t="shared" si="20"/>
        <v>1266.7749999999999</v>
      </c>
      <c r="I41" s="9">
        <f t="shared" si="20"/>
        <v>1205.0133333333333</v>
      </c>
      <c r="J41" s="9">
        <f t="shared" si="20"/>
        <v>1126.4566666666667</v>
      </c>
    </row>
    <row r="42" spans="2:10" s="52" customFormat="1" ht="15" customHeight="1" x14ac:dyDescent="0.35">
      <c r="B42" s="8" t="s">
        <v>22</v>
      </c>
      <c r="C42" s="60">
        <f t="shared" si="17"/>
        <v>6422.4479220166095</v>
      </c>
      <c r="D42" s="9">
        <f t="shared" si="20"/>
        <v>0</v>
      </c>
      <c r="E42" s="9">
        <f t="shared" si="20"/>
        <v>240.69069659273759</v>
      </c>
      <c r="F42" s="9">
        <f t="shared" si="20"/>
        <v>755.5646763617458</v>
      </c>
      <c r="G42" s="9">
        <f t="shared" si="20"/>
        <v>1319.6544792068046</v>
      </c>
      <c r="H42" s="9">
        <f t="shared" si="20"/>
        <v>1429.3664313138449</v>
      </c>
      <c r="I42" s="9">
        <f t="shared" si="20"/>
        <v>1479.7237894880282</v>
      </c>
      <c r="J42" s="9">
        <f t="shared" si="20"/>
        <v>1197.4478490534486</v>
      </c>
    </row>
    <row r="43" spans="2:10" s="52" customFormat="1" ht="15" customHeight="1" x14ac:dyDescent="0.35">
      <c r="B43" s="10" t="s">
        <v>23</v>
      </c>
      <c r="C43" s="64">
        <f t="shared" si="17"/>
        <v>9020.3354569907569</v>
      </c>
      <c r="D43" s="24">
        <f t="shared" ref="D43:H43" si="21">D40-D41-D42</f>
        <v>-128.95759052606962</v>
      </c>
      <c r="E43" s="24">
        <f t="shared" si="21"/>
        <v>-265.09142754970429</v>
      </c>
      <c r="F43" s="24">
        <f t="shared" si="21"/>
        <v>-82.61491550128062</v>
      </c>
      <c r="G43" s="24">
        <f t="shared" si="21"/>
        <v>721.05500190246858</v>
      </c>
      <c r="H43" s="24">
        <f t="shared" si="21"/>
        <v>1887.5478071569889</v>
      </c>
      <c r="I43" s="24">
        <f t="shared" ref="I43:J43" si="22">I40-I41-I42</f>
        <v>2896.0012473842107</v>
      </c>
      <c r="J43" s="11">
        <f t="shared" si="22"/>
        <v>3992.3953341241422</v>
      </c>
    </row>
    <row r="44" spans="2:10" s="52" customFormat="1" ht="15" customHeight="1" x14ac:dyDescent="0.35">
      <c r="B44" s="16" t="s">
        <v>2</v>
      </c>
      <c r="C44" s="63">
        <f t="shared" si="17"/>
        <v>2610.000013942727</v>
      </c>
      <c r="D44" s="9">
        <f t="shared" ref="D44:J45" si="23">(D$10*D73+D$12*D100+D$14*D127)/1000000</f>
        <v>135.00000059273736</v>
      </c>
      <c r="E44" s="9">
        <f t="shared" si="23"/>
        <v>394.68750176174535</v>
      </c>
      <c r="F44" s="9">
        <f t="shared" si="23"/>
        <v>621.56250289680406</v>
      </c>
      <c r="G44" s="9">
        <f t="shared" si="23"/>
        <v>533.43750281034477</v>
      </c>
      <c r="H44" s="9">
        <f t="shared" si="23"/>
        <v>420.93750271855316</v>
      </c>
      <c r="I44" s="9">
        <f t="shared" si="23"/>
        <v>308.43750212149882</v>
      </c>
      <c r="J44" s="9">
        <f t="shared" si="23"/>
        <v>195.93750104104359</v>
      </c>
    </row>
    <row r="45" spans="2:10" s="52" customFormat="1" ht="15" customHeight="1" x14ac:dyDescent="0.35">
      <c r="B45" s="16" t="s">
        <v>24</v>
      </c>
      <c r="C45" s="63">
        <f t="shared" si="17"/>
        <v>0</v>
      </c>
      <c r="D45" s="9">
        <f t="shared" si="23"/>
        <v>0</v>
      </c>
      <c r="E45" s="170">
        <f t="shared" si="23"/>
        <v>0</v>
      </c>
      <c r="F45" s="9">
        <f t="shared" si="23"/>
        <v>0</v>
      </c>
      <c r="G45" s="9">
        <f t="shared" si="23"/>
        <v>0</v>
      </c>
      <c r="H45" s="9">
        <f t="shared" si="23"/>
        <v>0</v>
      </c>
      <c r="I45" s="9">
        <f t="shared" si="23"/>
        <v>0</v>
      </c>
      <c r="J45" s="9">
        <f t="shared" si="23"/>
        <v>0</v>
      </c>
    </row>
    <row r="46" spans="2:10" s="52" customFormat="1" ht="15" customHeight="1" x14ac:dyDescent="0.35">
      <c r="B46" s="17" t="s">
        <v>25</v>
      </c>
      <c r="C46" s="64">
        <f t="shared" si="17"/>
        <v>-2610.000013942727</v>
      </c>
      <c r="D46" s="24">
        <f t="shared" ref="D46:H46" si="24">-D44-D45</f>
        <v>-135.00000059273736</v>
      </c>
      <c r="E46" s="24">
        <f t="shared" si="24"/>
        <v>-394.68750176174535</v>
      </c>
      <c r="F46" s="24">
        <f t="shared" si="24"/>
        <v>-621.56250289680406</v>
      </c>
      <c r="G46" s="24">
        <f t="shared" si="24"/>
        <v>-533.43750281034477</v>
      </c>
      <c r="H46" s="24">
        <f t="shared" si="24"/>
        <v>-420.93750271855316</v>
      </c>
      <c r="I46" s="24">
        <f t="shared" ref="I46:J46" si="25">-I44-I45</f>
        <v>-308.43750212149882</v>
      </c>
      <c r="J46" s="11">
        <f t="shared" si="25"/>
        <v>-195.93750104104359</v>
      </c>
    </row>
    <row r="47" spans="2:10" s="52" customFormat="1" ht="15" customHeight="1" thickBot="1" x14ac:dyDescent="0.4">
      <c r="B47" s="104" t="s">
        <v>7</v>
      </c>
      <c r="C47" s="105">
        <f t="shared" si="17"/>
        <v>6410.3354430480285</v>
      </c>
      <c r="D47" s="106">
        <f t="shared" ref="D47:H47" si="26">D43+D46</f>
        <v>-263.95759111880699</v>
      </c>
      <c r="E47" s="106">
        <f t="shared" si="26"/>
        <v>-659.7789293114497</v>
      </c>
      <c r="F47" s="106">
        <f t="shared" si="26"/>
        <v>-704.17741839808468</v>
      </c>
      <c r="G47" s="106">
        <f t="shared" si="26"/>
        <v>187.61749909212381</v>
      </c>
      <c r="H47" s="106">
        <f t="shared" si="26"/>
        <v>1466.6103044384358</v>
      </c>
      <c r="I47" s="106">
        <f t="shared" ref="I47:J47" si="27">I43+I46</f>
        <v>2587.563745262712</v>
      </c>
      <c r="J47" s="107">
        <f t="shared" si="27"/>
        <v>3796.4578330830986</v>
      </c>
    </row>
    <row r="48" spans="2:10" s="52" customFormat="1" x14ac:dyDescent="0.35">
      <c r="B48" s="53"/>
      <c r="C48" s="53"/>
      <c r="D48" s="53"/>
      <c r="E48" s="53"/>
      <c r="F48" s="53"/>
      <c r="G48" s="53"/>
      <c r="H48" s="53"/>
      <c r="I48" s="53"/>
      <c r="J48" s="53"/>
    </row>
    <row r="49" spans="2:10" s="52" customFormat="1" x14ac:dyDescent="0.35">
      <c r="B49" s="53"/>
      <c r="C49" s="53"/>
      <c r="D49" s="53"/>
      <c r="E49" s="53"/>
      <c r="F49" s="53"/>
      <c r="G49" s="53"/>
      <c r="H49" s="53"/>
      <c r="I49" s="53"/>
      <c r="J49" s="53"/>
    </row>
    <row r="50" spans="2:10" s="52" customFormat="1" x14ac:dyDescent="0.35">
      <c r="B50" s="53"/>
      <c r="C50" s="53"/>
      <c r="D50" s="53"/>
      <c r="E50" s="53"/>
      <c r="F50" s="53"/>
      <c r="G50" s="53"/>
      <c r="H50" s="53"/>
      <c r="I50" s="53"/>
      <c r="J50" s="53"/>
    </row>
    <row r="51" spans="2:10" s="52" customFormat="1" ht="21" x14ac:dyDescent="0.5">
      <c r="B51" s="159" t="s">
        <v>119</v>
      </c>
      <c r="C51" s="53"/>
      <c r="D51" s="53"/>
      <c r="E51" s="53"/>
      <c r="F51" s="53"/>
      <c r="G51" s="53"/>
      <c r="H51" s="53"/>
      <c r="I51" s="53"/>
      <c r="J51" s="53"/>
    </row>
    <row r="52" spans="2:10" hidden="1" x14ac:dyDescent="0.35"/>
    <row r="53" spans="2:10" s="21" customFormat="1" ht="15" thickBot="1" x14ac:dyDescent="0.4">
      <c r="B53" s="22"/>
      <c r="C53" s="22"/>
      <c r="D53" s="22">
        <f>YEAR($D$3)</f>
        <v>2026</v>
      </c>
      <c r="E53" s="22">
        <f>D53+1</f>
        <v>2027</v>
      </c>
      <c r="F53" s="22">
        <f t="shared" ref="F53:J53" si="28">E53+1</f>
        <v>2028</v>
      </c>
      <c r="G53" s="22">
        <f t="shared" si="28"/>
        <v>2029</v>
      </c>
      <c r="H53" s="22">
        <f t="shared" si="28"/>
        <v>2030</v>
      </c>
      <c r="I53" s="22">
        <f t="shared" si="28"/>
        <v>2031</v>
      </c>
      <c r="J53" s="22">
        <f t="shared" si="28"/>
        <v>2032</v>
      </c>
    </row>
    <row r="54" spans="2:10" ht="31.5" thickBot="1" x14ac:dyDescent="0.4">
      <c r="B54" s="86" t="s">
        <v>39</v>
      </c>
      <c r="C54" s="59">
        <f>D53</f>
        <v>2026</v>
      </c>
      <c r="D54" s="2" t="str">
        <f t="shared" ref="D54:J54" si="29">CONCATENATE("Prévisions année:  ", D4)</f>
        <v>Prévisions année:  1</v>
      </c>
      <c r="E54" s="2" t="str">
        <f t="shared" si="29"/>
        <v>Prévisions année:  2</v>
      </c>
      <c r="F54" s="2" t="str">
        <f t="shared" si="29"/>
        <v>Prévisions année:  3</v>
      </c>
      <c r="G54" s="2" t="str">
        <f t="shared" si="29"/>
        <v>Prévisions année:  4</v>
      </c>
      <c r="H54" s="2" t="str">
        <f t="shared" si="29"/>
        <v>Prévisions année:  5</v>
      </c>
      <c r="I54" s="2" t="str">
        <f t="shared" si="29"/>
        <v>Prévisions année:  6</v>
      </c>
      <c r="J54" s="2" t="str">
        <f t="shared" si="29"/>
        <v>Prévisions année:  7</v>
      </c>
    </row>
    <row r="55" spans="2:10" x14ac:dyDescent="0.35">
      <c r="B55" s="19"/>
      <c r="C55" s="19"/>
      <c r="D55" s="52"/>
      <c r="E55" s="52"/>
      <c r="F55" s="52"/>
      <c r="G55" s="52"/>
      <c r="H55" s="52"/>
      <c r="I55" s="52"/>
      <c r="J55" s="52"/>
    </row>
    <row r="56" spans="2:10" x14ac:dyDescent="0.35">
      <c r="B56" s="19" t="s">
        <v>8</v>
      </c>
      <c r="C56" s="53">
        <f>SUM(D56:J56)</f>
        <v>2137064566.6939342</v>
      </c>
      <c r="E56" s="52">
        <f>[3]CR!B20</f>
        <v>218111739.99999994</v>
      </c>
      <c r="F56" s="52">
        <f>[3]CR!C20</f>
        <v>280324456.49999994</v>
      </c>
      <c r="G56" s="52">
        <f>[3]CR!D20</f>
        <v>346645047.77499998</v>
      </c>
      <c r="H56" s="52">
        <f>[3]CR!E20</f>
        <v>395347237.70874995</v>
      </c>
      <c r="I56" s="52">
        <f>[1]CR!E20</f>
        <v>437383455.95618749</v>
      </c>
      <c r="J56" s="52">
        <f>I56*(1+$C$6)</f>
        <v>459252628.75399691</v>
      </c>
    </row>
    <row r="57" spans="2:10" x14ac:dyDescent="0.35">
      <c r="B57" s="19" t="s">
        <v>9</v>
      </c>
      <c r="C57" s="53">
        <f>SUM(D57:J57)</f>
        <v>140350442.39645204</v>
      </c>
      <c r="E57" s="52">
        <f>[3]CR!B21</f>
        <v>24069069.65927374</v>
      </c>
      <c r="F57" s="52">
        <f>[3]CR!C21</f>
        <v>27418328.317627061</v>
      </c>
      <c r="G57" s="52">
        <f>[3]CR!D21</f>
        <v>28990651.966878805</v>
      </c>
      <c r="H57" s="52">
        <f>[3]CR!E21</f>
        <v>30118682.562372744</v>
      </c>
      <c r="I57" s="52">
        <f>[1]CR!E21</f>
        <v>29753709.890299696</v>
      </c>
      <c r="J57" s="52"/>
    </row>
    <row r="58" spans="2:10" s="19" customFormat="1" x14ac:dyDescent="0.35">
      <c r="B58" s="19" t="s">
        <v>10</v>
      </c>
      <c r="C58" s="53">
        <f>SUM(D58:J58)</f>
        <v>2277415009.0903864</v>
      </c>
      <c r="D58" s="53">
        <f>SUM(D56:D57)</f>
        <v>0</v>
      </c>
      <c r="E58" s="53">
        <f>SUM(E56:E57)</f>
        <v>242180809.65927368</v>
      </c>
      <c r="F58" s="53">
        <f t="shared" ref="F58:J58" si="30">SUM(F56:F57)</f>
        <v>307742784.81762701</v>
      </c>
      <c r="G58" s="53">
        <f t="shared" si="30"/>
        <v>375635699.74187881</v>
      </c>
      <c r="H58" s="53">
        <f t="shared" si="30"/>
        <v>425465920.27112269</v>
      </c>
      <c r="I58" s="53">
        <f t="shared" si="30"/>
        <v>467137165.84648716</v>
      </c>
      <c r="J58" s="53">
        <f t="shared" si="30"/>
        <v>459252628.75399691</v>
      </c>
    </row>
    <row r="59" spans="2:10" x14ac:dyDescent="0.35">
      <c r="B59" s="19" t="s">
        <v>11</v>
      </c>
      <c r="C59" s="53">
        <f>SUM(D59:J59)</f>
        <v>856917469.5823245</v>
      </c>
      <c r="E59" s="52">
        <f>[3]CR!B23</f>
        <v>132575991.88636363</v>
      </c>
      <c r="F59" s="52">
        <f>[3]CR!C23</f>
        <v>124475991.88636361</v>
      </c>
      <c r="G59" s="52">
        <f>[3]CR!D23</f>
        <v>136368152.55123967</v>
      </c>
      <c r="H59" s="52">
        <f>[3]CR!E23</f>
        <v>142564363.69090909</v>
      </c>
      <c r="I59" s="52">
        <f>[1]CR!E23</f>
        <v>156149817.68386361</v>
      </c>
      <c r="J59" s="52">
        <f>J56-(J61*J56)</f>
        <v>164783151.8835848</v>
      </c>
    </row>
    <row r="60" spans="2:10" s="19" customFormat="1" x14ac:dyDescent="0.35">
      <c r="B60" s="19" t="s">
        <v>12</v>
      </c>
      <c r="C60" s="53">
        <f>SUM(D60:J60)</f>
        <v>1280147097.1116097</v>
      </c>
      <c r="D60" s="53">
        <f>D56-D59</f>
        <v>0</v>
      </c>
      <c r="E60" s="53">
        <f>E56-E59</f>
        <v>85535748.113636315</v>
      </c>
      <c r="F60" s="53">
        <f t="shared" ref="F60:J60" si="31">F56-F59</f>
        <v>155848464.61363631</v>
      </c>
      <c r="G60" s="53">
        <f t="shared" si="31"/>
        <v>210276895.22376031</v>
      </c>
      <c r="H60" s="53">
        <f t="shared" si="31"/>
        <v>252782874.01784086</v>
      </c>
      <c r="I60" s="53">
        <f t="shared" si="31"/>
        <v>281233638.27232385</v>
      </c>
      <c r="J60" s="53">
        <f t="shared" si="31"/>
        <v>294469476.87041211</v>
      </c>
    </row>
    <row r="61" spans="2:10" s="19" customFormat="1" x14ac:dyDescent="0.35">
      <c r="B61" s="19" t="s">
        <v>0</v>
      </c>
      <c r="C61" s="53"/>
      <c r="E61" s="171">
        <f>E60/E56</f>
        <v>0.39216480558834815</v>
      </c>
      <c r="F61" s="171">
        <f t="shared" ref="F61:I61" si="32">F60/F56</f>
        <v>0.55595743075537307</v>
      </c>
      <c r="G61" s="171">
        <f t="shared" si="32"/>
        <v>0.60660579625602107</v>
      </c>
      <c r="H61" s="171">
        <f t="shared" si="32"/>
        <v>0.63939456231654401</v>
      </c>
      <c r="I61" s="171">
        <f t="shared" si="32"/>
        <v>0.64299102867872282</v>
      </c>
      <c r="J61" s="171">
        <f>(H61+I61)/2</f>
        <v>0.64119279549763342</v>
      </c>
    </row>
    <row r="62" spans="2:10" x14ac:dyDescent="0.35">
      <c r="B62" s="19" t="s">
        <v>13</v>
      </c>
      <c r="C62" s="53">
        <f t="shared" ref="C62:C76" si="33">SUM(D62:J62)</f>
        <v>0</v>
      </c>
      <c r="E62" s="52">
        <f>[3]CR!B26</f>
        <v>0</v>
      </c>
      <c r="F62" s="52">
        <f>[3]CR!C26</f>
        <v>0</v>
      </c>
      <c r="G62" s="52">
        <f>[3]CR!D26</f>
        <v>0</v>
      </c>
      <c r="H62" s="52">
        <f>[3]CR!E26</f>
        <v>0</v>
      </c>
      <c r="I62" s="52">
        <f>[1]CR!E26</f>
        <v>0</v>
      </c>
      <c r="J62" s="52"/>
    </row>
    <row r="63" spans="2:10" x14ac:dyDescent="0.35">
      <c r="B63" s="19" t="s">
        <v>14</v>
      </c>
      <c r="C63" s="53">
        <f t="shared" si="33"/>
        <v>156267288.23000535</v>
      </c>
      <c r="E63" s="52">
        <f>[3]CR!B27</f>
        <v>11537177.44411918</v>
      </c>
      <c r="F63" s="52">
        <f>[3]CR!C27</f>
        <v>20991929.891525488</v>
      </c>
      <c r="G63" s="52">
        <f>[3]CR!D27</f>
        <v>26255124.918112129</v>
      </c>
      <c r="H63" s="52">
        <f>[3]CR!E27</f>
        <v>29966961.625000015</v>
      </c>
      <c r="I63" s="52">
        <f>[1]CR!E27</f>
        <v>32934680.171340749</v>
      </c>
      <c r="J63" s="52">
        <f>I63*(1+$C$6)</f>
        <v>34581414.179907784</v>
      </c>
    </row>
    <row r="64" spans="2:10" x14ac:dyDescent="0.35">
      <c r="B64" s="19" t="s">
        <v>15</v>
      </c>
      <c r="C64" s="53">
        <f t="shared" si="33"/>
        <v>90270313.368248731</v>
      </c>
      <c r="D64" s="52">
        <f>[3]CR!B28</f>
        <v>12895759.052606963</v>
      </c>
      <c r="E64" s="52">
        <f>[3]CR!C28</f>
        <v>12895759.052606963</v>
      </c>
      <c r="F64" s="52">
        <f>[3]CR!D28</f>
        <v>12895759.052606963</v>
      </c>
      <c r="G64" s="52">
        <f>[3]CR!E28</f>
        <v>12895759.052606963</v>
      </c>
      <c r="H64" s="52">
        <f>[1]CR!E28</f>
        <v>12895759.052606961</v>
      </c>
      <c r="I64" s="52">
        <f>H64</f>
        <v>12895759.052606961</v>
      </c>
      <c r="J64" s="52">
        <f>I64</f>
        <v>12895759.052606961</v>
      </c>
    </row>
    <row r="65" spans="2:10" x14ac:dyDescent="0.35">
      <c r="B65" s="19" t="s">
        <v>16</v>
      </c>
      <c r="C65" s="53">
        <f t="shared" si="33"/>
        <v>85482582.667757347</v>
      </c>
      <c r="E65" s="52">
        <f>[3]CR!B29</f>
        <v>8724469.5999999959</v>
      </c>
      <c r="F65" s="52">
        <f>[3]CR!C29</f>
        <v>11212978.26</v>
      </c>
      <c r="G65" s="52">
        <f>[3]CR!D29</f>
        <v>13865801.910999997</v>
      </c>
      <c r="H65" s="52">
        <f>[3]CR!E29</f>
        <v>15813889.508350002</v>
      </c>
      <c r="I65" s="52">
        <f>[1]CR!E29</f>
        <v>17495338.238247495</v>
      </c>
      <c r="J65" s="52">
        <f>I65*(1+$C$6)</f>
        <v>18370105.150159869</v>
      </c>
    </row>
    <row r="66" spans="2:10" x14ac:dyDescent="0.35">
      <c r="B66" s="19" t="s">
        <v>17</v>
      </c>
      <c r="C66" s="53">
        <f t="shared" si="33"/>
        <v>0</v>
      </c>
      <c r="E66" s="52">
        <f>[3]CR!B30</f>
        <v>0</v>
      </c>
      <c r="F66" s="52">
        <f>[3]CR!C30</f>
        <v>0</v>
      </c>
      <c r="G66" s="52">
        <f>[3]CR!D30</f>
        <v>0</v>
      </c>
      <c r="H66" s="52">
        <f>[3]CR!E30</f>
        <v>0</v>
      </c>
      <c r="I66" s="52">
        <f>[1]CR!E30</f>
        <v>0</v>
      </c>
      <c r="J66" s="52"/>
    </row>
    <row r="67" spans="2:10" x14ac:dyDescent="0.35">
      <c r="B67" s="19" t="s">
        <v>18</v>
      </c>
      <c r="C67" s="53">
        <f t="shared" si="33"/>
        <v>0</v>
      </c>
      <c r="E67" s="52">
        <f>[3]CR!B31</f>
        <v>0</v>
      </c>
      <c r="F67" s="52">
        <f>[3]CR!C31</f>
        <v>0</v>
      </c>
      <c r="G67" s="52">
        <f>[3]CR!D31</f>
        <v>0</v>
      </c>
      <c r="H67" s="52">
        <f>[3]CR!E31</f>
        <v>0</v>
      </c>
      <c r="I67" s="52">
        <f>[1]CR!E31</f>
        <v>0</v>
      </c>
      <c r="J67" s="52"/>
    </row>
    <row r="68" spans="2:10" x14ac:dyDescent="0.35">
      <c r="B68" s="19" t="s">
        <v>19</v>
      </c>
      <c r="C68" s="53">
        <f t="shared" si="33"/>
        <v>398405815.10000002</v>
      </c>
      <c r="E68" s="52">
        <f>[3]CR!B32</f>
        <v>27310800</v>
      </c>
      <c r="F68" s="52">
        <f>[3]CR!C32</f>
        <v>42923000</v>
      </c>
      <c r="G68" s="52">
        <f>[3]CR!D32</f>
        <v>76955340</v>
      </c>
      <c r="H68" s="52">
        <f>[3]CR!E32</f>
        <v>80439207</v>
      </c>
      <c r="I68" s="52">
        <f>[1]CR!E32</f>
        <v>83306082</v>
      </c>
      <c r="J68" s="52">
        <f>I68*(1+$C$6)</f>
        <v>87471386.100000009</v>
      </c>
    </row>
    <row r="69" spans="2:10" s="19" customFormat="1" x14ac:dyDescent="0.35">
      <c r="B69" s="19" t="s">
        <v>20</v>
      </c>
      <c r="C69" s="53">
        <f t="shared" si="33"/>
        <v>690071540.14205039</v>
      </c>
      <c r="D69" s="53">
        <f>D57+D60-SUM(D62:D68)</f>
        <v>-12895759.052606963</v>
      </c>
      <c r="E69" s="53">
        <f>E57+E60-SUM(E62:E68)</f>
        <v>49136611.676183924</v>
      </c>
      <c r="F69" s="53">
        <f>F57+F60-SUM(F62:F68)</f>
        <v>95243125.727130949</v>
      </c>
      <c r="G69" s="53">
        <f t="shared" ref="G69:J69" si="34">G57+G60-SUM(G62:G68)</f>
        <v>109295521.30892003</v>
      </c>
      <c r="H69" s="53">
        <f t="shared" si="34"/>
        <v>143785739.39425662</v>
      </c>
      <c r="I69" s="53">
        <f t="shared" si="34"/>
        <v>164355488.70042831</v>
      </c>
      <c r="J69" s="53">
        <f t="shared" si="34"/>
        <v>141150812.38773748</v>
      </c>
    </row>
    <row r="70" spans="2:10" x14ac:dyDescent="0.35">
      <c r="B70" s="19" t="s">
        <v>21</v>
      </c>
      <c r="C70" s="53">
        <f t="shared" si="33"/>
        <v>144607000</v>
      </c>
      <c r="D70" s="52">
        <f>[3]CR!B34</f>
        <v>0</v>
      </c>
      <c r="E70" s="52">
        <f>[3]CR!C34</f>
        <v>25785166.666666664</v>
      </c>
      <c r="F70" s="52">
        <f>[3]CR!D34</f>
        <v>25785166.66666666</v>
      </c>
      <c r="G70" s="52">
        <f>[3]CR!E34</f>
        <v>25785166.666666664</v>
      </c>
      <c r="H70" s="52">
        <f>[1]CR!E34</f>
        <v>23536833.333333328</v>
      </c>
      <c r="I70" s="52">
        <f>[1]invest!$V$5</f>
        <v>21857333.333333336</v>
      </c>
      <c r="J70" s="52">
        <f>[1]invest!$V$5</f>
        <v>21857333.333333336</v>
      </c>
    </row>
    <row r="71" spans="2:10" x14ac:dyDescent="0.35">
      <c r="B71" s="19" t="s">
        <v>22</v>
      </c>
      <c r="C71" s="53">
        <f t="shared" si="33"/>
        <v>140350442.39645207</v>
      </c>
      <c r="E71" s="52">
        <f>[3]CR!B35</f>
        <v>24069069.659273759</v>
      </c>
      <c r="F71" s="52">
        <f>[3]CR!C35</f>
        <v>27418328.317627069</v>
      </c>
      <c r="G71" s="52">
        <f>[3]CR!D35</f>
        <v>28990651.966878805</v>
      </c>
      <c r="H71" s="52">
        <f>[3]CR!E35</f>
        <v>30118682.562372744</v>
      </c>
      <c r="I71" s="52">
        <f>[1]CR!E35</f>
        <v>29753709.890299693</v>
      </c>
      <c r="J71" s="52"/>
    </row>
    <row r="72" spans="2:10" s="19" customFormat="1" x14ac:dyDescent="0.35">
      <c r="B72" s="19" t="s">
        <v>23</v>
      </c>
      <c r="C72" s="53">
        <f t="shared" si="33"/>
        <v>405114097.74559826</v>
      </c>
      <c r="D72" s="53">
        <f>D69-D70-D71</f>
        <v>-12895759.052606963</v>
      </c>
      <c r="E72" s="53">
        <f t="shared" ref="E72:J72" si="35">E69-E70-E71</f>
        <v>-717624.64975649863</v>
      </c>
      <c r="F72" s="53">
        <f t="shared" si="35"/>
        <v>42039630.74283722</v>
      </c>
      <c r="G72" s="53">
        <f t="shared" si="35"/>
        <v>54519702.675374568</v>
      </c>
      <c r="H72" s="53">
        <f t="shared" si="35"/>
        <v>90130223.498550549</v>
      </c>
      <c r="I72" s="53">
        <f t="shared" si="35"/>
        <v>112744445.47679527</v>
      </c>
      <c r="J72" s="53">
        <f t="shared" si="35"/>
        <v>119293479.05440414</v>
      </c>
    </row>
    <row r="73" spans="2:10" x14ac:dyDescent="0.35">
      <c r="B73" s="19" t="s">
        <v>2</v>
      </c>
      <c r="C73" s="53">
        <f t="shared" si="33"/>
        <v>54562500.278854527</v>
      </c>
      <c r="D73" s="52">
        <f>[3]CR!B37</f>
        <v>13500000.059273737</v>
      </c>
      <c r="E73" s="52">
        <f>[3]CR!C37</f>
        <v>12468750.05762706</v>
      </c>
      <c r="F73" s="52">
        <f>[3]CR!D37</f>
        <v>10218750.055878811</v>
      </c>
      <c r="G73" s="52">
        <f>[3]CR!E37</f>
        <v>7968750.0540227443</v>
      </c>
      <c r="H73" s="52">
        <f>[1]CR!E37</f>
        <v>5718750.0520522045</v>
      </c>
      <c r="I73" s="52">
        <f>[1]emprunts!$W$156</f>
        <v>3468749.9999999828</v>
      </c>
      <c r="J73" s="52">
        <f>[1]emprunts!$X$156</f>
        <v>1218749.9999999837</v>
      </c>
    </row>
    <row r="74" spans="2:10" x14ac:dyDescent="0.35">
      <c r="B74" s="19" t="s">
        <v>24</v>
      </c>
      <c r="C74" s="53">
        <f t="shared" si="33"/>
        <v>0</v>
      </c>
      <c r="E74" s="52">
        <f>[3]CR!B38</f>
        <v>0</v>
      </c>
      <c r="F74" s="52">
        <f>[3]CR!C38</f>
        <v>0</v>
      </c>
      <c r="G74" s="52">
        <f>[3]CR!D38</f>
        <v>0</v>
      </c>
      <c r="H74" s="52">
        <f>[3]CR!E38</f>
        <v>0</v>
      </c>
      <c r="I74" s="52">
        <f>[1]CR!E38</f>
        <v>0</v>
      </c>
      <c r="J74" s="52"/>
    </row>
    <row r="75" spans="2:10" s="19" customFormat="1" x14ac:dyDescent="0.35">
      <c r="B75" s="19" t="s">
        <v>25</v>
      </c>
      <c r="C75" s="53">
        <f t="shared" si="33"/>
        <v>-54562500.278854527</v>
      </c>
      <c r="D75" s="53">
        <f>-D73-D74</f>
        <v>-13500000.059273737</v>
      </c>
      <c r="E75" s="53">
        <f>-E73-E74</f>
        <v>-12468750.05762706</v>
      </c>
      <c r="F75" s="53">
        <f t="shared" ref="F75:J75" si="36">-F73-F74</f>
        <v>-10218750.055878811</v>
      </c>
      <c r="G75" s="53">
        <f t="shared" si="36"/>
        <v>-7968750.0540227443</v>
      </c>
      <c r="H75" s="53">
        <f t="shared" si="36"/>
        <v>-5718750.0520522045</v>
      </c>
      <c r="I75" s="53">
        <f t="shared" si="36"/>
        <v>-3468749.9999999828</v>
      </c>
      <c r="J75" s="53">
        <f t="shared" si="36"/>
        <v>-1218749.9999999837</v>
      </c>
    </row>
    <row r="76" spans="2:10" s="19" customFormat="1" x14ac:dyDescent="0.35">
      <c r="B76" s="53" t="str">
        <f>B47</f>
        <v>Résultat brut:</v>
      </c>
      <c r="C76" s="53">
        <f t="shared" si="33"/>
        <v>350551597.46674377</v>
      </c>
      <c r="D76" s="53">
        <f>D72+D75</f>
        <v>-26395759.111880697</v>
      </c>
      <c r="E76" s="53">
        <f>E72+E75</f>
        <v>-13186374.707383558</v>
      </c>
      <c r="F76" s="53">
        <f t="shared" ref="F76:J76" si="37">F72+F75</f>
        <v>31820880.68695841</v>
      </c>
      <c r="G76" s="53">
        <f t="shared" si="37"/>
        <v>46550952.621351823</v>
      </c>
      <c r="H76" s="53">
        <f t="shared" si="37"/>
        <v>84411473.446498349</v>
      </c>
      <c r="I76" s="53">
        <f t="shared" si="37"/>
        <v>109275695.47679529</v>
      </c>
      <c r="J76" s="53">
        <f t="shared" si="37"/>
        <v>118074729.05440415</v>
      </c>
    </row>
    <row r="77" spans="2:10" x14ac:dyDescent="0.35">
      <c r="B77" s="19"/>
      <c r="C77" s="19"/>
      <c r="D77" s="52"/>
      <c r="E77" s="52"/>
      <c r="F77" s="52"/>
      <c r="G77" s="52"/>
      <c r="H77" s="52"/>
      <c r="I77" s="52"/>
      <c r="J77" s="52"/>
    </row>
    <row r="78" spans="2:10" x14ac:dyDescent="0.35">
      <c r="B78" s="19"/>
      <c r="C78" s="19"/>
      <c r="D78" s="52"/>
      <c r="E78" s="52"/>
      <c r="F78" s="52"/>
      <c r="G78" s="52"/>
      <c r="H78" s="52"/>
      <c r="I78" s="52"/>
      <c r="J78" s="52"/>
    </row>
    <row r="79" spans="2:10" x14ac:dyDescent="0.35">
      <c r="B79" s="19"/>
      <c r="C79" s="19"/>
      <c r="D79" s="52"/>
      <c r="E79" s="52"/>
      <c r="F79" s="52"/>
      <c r="G79" s="52"/>
      <c r="H79" s="52"/>
      <c r="I79" s="52"/>
      <c r="J79" s="52"/>
    </row>
    <row r="80" spans="2:10" ht="15" thickBot="1" x14ac:dyDescent="0.4">
      <c r="B80" s="19"/>
      <c r="C80" s="19"/>
      <c r="E80" s="52"/>
      <c r="F80" s="52"/>
      <c r="G80" s="52"/>
      <c r="H80" s="52"/>
      <c r="I80" s="52"/>
      <c r="J80" s="52"/>
    </row>
    <row r="81" spans="2:10" ht="34.9" customHeight="1" thickBot="1" x14ac:dyDescent="0.4">
      <c r="B81" s="86" t="s">
        <v>40</v>
      </c>
      <c r="C81" s="59">
        <f>$D$53+1</f>
        <v>2027</v>
      </c>
      <c r="E81" s="2" t="str">
        <f>$D$54</f>
        <v>Prévisions année:  1</v>
      </c>
      <c r="F81" s="2" t="str">
        <f>$E$54</f>
        <v>Prévisions année:  2</v>
      </c>
      <c r="G81" s="2" t="str">
        <f>$F$54</f>
        <v>Prévisions année:  3</v>
      </c>
      <c r="H81" s="2" t="str">
        <f>$G$54</f>
        <v>Prévisions année:  4</v>
      </c>
      <c r="I81" s="2" t="str">
        <f>$H$54</f>
        <v>Prévisions année:  5</v>
      </c>
      <c r="J81" s="2" t="str">
        <f>$I$54</f>
        <v>Prévisions année:  6</v>
      </c>
    </row>
    <row r="82" spans="2:10" x14ac:dyDescent="0.35">
      <c r="B82" s="19"/>
      <c r="C82" s="19"/>
      <c r="E82" s="52"/>
      <c r="F82" s="52"/>
      <c r="G82" s="52"/>
      <c r="H82" s="52"/>
      <c r="I82" s="52"/>
      <c r="J82" s="52"/>
    </row>
    <row r="83" spans="2:10" x14ac:dyDescent="0.35">
      <c r="B83" s="19" t="str">
        <f t="shared" ref="B83:B103" si="38">B56</f>
        <v>Chiffre d'affaires</v>
      </c>
      <c r="C83" s="19"/>
      <c r="D83" s="52"/>
      <c r="E83" s="52">
        <f t="shared" ref="E83:J90" si="39">D56</f>
        <v>0</v>
      </c>
      <c r="F83" s="52">
        <f t="shared" si="39"/>
        <v>218111739.99999994</v>
      </c>
      <c r="G83" s="52">
        <f t="shared" si="39"/>
        <v>280324456.49999994</v>
      </c>
      <c r="H83" s="52">
        <f t="shared" si="39"/>
        <v>346645047.77499998</v>
      </c>
      <c r="I83" s="52">
        <f t="shared" si="39"/>
        <v>395347237.70874995</v>
      </c>
      <c r="J83" s="52">
        <f t="shared" si="39"/>
        <v>437383455.95618749</v>
      </c>
    </row>
    <row r="84" spans="2:10" x14ac:dyDescent="0.35">
      <c r="B84" s="19" t="str">
        <f t="shared" si="38"/>
        <v>Récap autres produit ou produits divers</v>
      </c>
      <c r="C84" s="19"/>
      <c r="D84" s="52"/>
      <c r="E84" s="52">
        <f t="shared" si="39"/>
        <v>0</v>
      </c>
      <c r="F84" s="52">
        <f t="shared" si="39"/>
        <v>24069069.65927374</v>
      </c>
      <c r="G84" s="52">
        <f t="shared" si="39"/>
        <v>27418328.317627061</v>
      </c>
      <c r="H84" s="52">
        <f t="shared" si="39"/>
        <v>28990651.966878805</v>
      </c>
      <c r="I84" s="52">
        <f t="shared" si="39"/>
        <v>30118682.562372744</v>
      </c>
      <c r="J84" s="52">
        <f t="shared" si="39"/>
        <v>29753709.890299696</v>
      </c>
    </row>
    <row r="85" spans="2:10" x14ac:dyDescent="0.35">
      <c r="B85" s="19" t="str">
        <f t="shared" si="38"/>
        <v>Total produit ou produits d'exploitation</v>
      </c>
      <c r="C85" s="19"/>
      <c r="D85" s="52"/>
      <c r="E85" s="52">
        <f t="shared" si="39"/>
        <v>0</v>
      </c>
      <c r="F85" s="52">
        <f t="shared" si="39"/>
        <v>242180809.65927368</v>
      </c>
      <c r="G85" s="52">
        <f t="shared" si="39"/>
        <v>307742784.81762701</v>
      </c>
      <c r="H85" s="52">
        <f t="shared" si="39"/>
        <v>375635699.74187881</v>
      </c>
      <c r="I85" s="52">
        <f t="shared" si="39"/>
        <v>425465920.27112269</v>
      </c>
      <c r="J85" s="52">
        <f t="shared" si="39"/>
        <v>467137165.84648716</v>
      </c>
    </row>
    <row r="86" spans="2:10" x14ac:dyDescent="0.35">
      <c r="B86" s="19" t="str">
        <f t="shared" si="38"/>
        <v>Achats matières</v>
      </c>
      <c r="C86" s="19"/>
      <c r="D86" s="52"/>
      <c r="E86" s="52">
        <f t="shared" si="39"/>
        <v>0</v>
      </c>
      <c r="F86" s="52">
        <f t="shared" si="39"/>
        <v>132575991.88636363</v>
      </c>
      <c r="G86" s="52">
        <f t="shared" si="39"/>
        <v>124475991.88636361</v>
      </c>
      <c r="H86" s="52">
        <f t="shared" si="39"/>
        <v>136368152.55123967</v>
      </c>
      <c r="I86" s="52">
        <f t="shared" si="39"/>
        <v>142564363.69090909</v>
      </c>
      <c r="J86" s="52">
        <f t="shared" si="39"/>
        <v>156149817.68386361</v>
      </c>
    </row>
    <row r="87" spans="2:10" x14ac:dyDescent="0.35">
      <c r="B87" s="19" t="str">
        <f t="shared" si="38"/>
        <v>Marge sur achats matières</v>
      </c>
      <c r="C87" s="19"/>
      <c r="D87" s="52"/>
      <c r="E87" s="52">
        <f t="shared" si="39"/>
        <v>0</v>
      </c>
      <c r="F87" s="52">
        <f t="shared" si="39"/>
        <v>85535748.113636315</v>
      </c>
      <c r="G87" s="52">
        <f t="shared" si="39"/>
        <v>155848464.61363631</v>
      </c>
      <c r="H87" s="52">
        <f t="shared" si="39"/>
        <v>210276895.22376031</v>
      </c>
      <c r="I87" s="52">
        <f t="shared" si="39"/>
        <v>252782874.01784086</v>
      </c>
      <c r="J87" s="52">
        <f t="shared" si="39"/>
        <v>281233638.27232385</v>
      </c>
    </row>
    <row r="88" spans="2:10" x14ac:dyDescent="0.35">
      <c r="B88" s="19" t="str">
        <f t="shared" si="38"/>
        <v>Taux de marge / achats</v>
      </c>
      <c r="C88" s="19"/>
      <c r="D88" s="52"/>
      <c r="E88" s="169">
        <f t="shared" si="39"/>
        <v>0</v>
      </c>
      <c r="F88" s="169">
        <f t="shared" si="39"/>
        <v>0.39216480558834815</v>
      </c>
      <c r="G88" s="169">
        <f t="shared" si="39"/>
        <v>0.55595743075537307</v>
      </c>
      <c r="H88" s="169">
        <f t="shared" si="39"/>
        <v>0.60660579625602107</v>
      </c>
      <c r="I88" s="169">
        <f t="shared" si="39"/>
        <v>0.63939456231654401</v>
      </c>
      <c r="J88" s="169">
        <f t="shared" si="39"/>
        <v>0.64299102867872282</v>
      </c>
    </row>
    <row r="89" spans="2:10" x14ac:dyDescent="0.35">
      <c r="B89" s="19" t="str">
        <f t="shared" si="38"/>
        <v>Charges externes ponctuelles</v>
      </c>
      <c r="C89" s="19"/>
      <c r="D89" s="72"/>
      <c r="E89" s="52">
        <f t="shared" si="39"/>
        <v>0</v>
      </c>
      <c r="F89" s="52">
        <f t="shared" si="39"/>
        <v>0</v>
      </c>
      <c r="G89" s="52">
        <f t="shared" si="39"/>
        <v>0</v>
      </c>
      <c r="H89" s="52">
        <f t="shared" si="39"/>
        <v>0</v>
      </c>
      <c r="I89" s="52">
        <f t="shared" si="39"/>
        <v>0</v>
      </c>
      <c r="J89" s="52">
        <f t="shared" si="39"/>
        <v>0</v>
      </c>
    </row>
    <row r="90" spans="2:10" x14ac:dyDescent="0.35">
      <c r="B90" s="19" t="str">
        <f t="shared" si="38"/>
        <v>Frais généraux et charges permanentes</v>
      </c>
      <c r="C90" s="19"/>
      <c r="D90" s="52"/>
      <c r="E90" s="52">
        <f t="shared" si="39"/>
        <v>0</v>
      </c>
      <c r="F90" s="52">
        <f t="shared" si="39"/>
        <v>11537177.44411918</v>
      </c>
      <c r="G90" s="52">
        <f t="shared" si="39"/>
        <v>20991929.891525488</v>
      </c>
      <c r="H90" s="52">
        <f t="shared" si="39"/>
        <v>26255124.918112129</v>
      </c>
      <c r="I90" s="52">
        <f t="shared" si="39"/>
        <v>29966961.625000015</v>
      </c>
      <c r="J90" s="52">
        <f t="shared" si="39"/>
        <v>32934680.171340749</v>
      </c>
    </row>
    <row r="91" spans="2:10" x14ac:dyDescent="0.35">
      <c r="B91" s="19" t="str">
        <f t="shared" si="38"/>
        <v>Leasings et locations longues durées</v>
      </c>
      <c r="C91" s="19"/>
      <c r="D91" s="52"/>
      <c r="E91" s="52">
        <f t="shared" ref="E91:E103" si="40">D64</f>
        <v>12895759.052606963</v>
      </c>
      <c r="F91" s="52">
        <f t="shared" ref="F91:J91" si="41">E64</f>
        <v>12895759.052606963</v>
      </c>
      <c r="G91" s="52">
        <f t="shared" si="41"/>
        <v>12895759.052606963</v>
      </c>
      <c r="H91" s="52">
        <f t="shared" si="41"/>
        <v>12895759.052606963</v>
      </c>
      <c r="I91" s="52">
        <f t="shared" si="41"/>
        <v>12895759.052606961</v>
      </c>
      <c r="J91" s="52">
        <f t="shared" si="41"/>
        <v>12895759.052606961</v>
      </c>
    </row>
    <row r="92" spans="2:10" x14ac:dyDescent="0.35">
      <c r="B92" s="19" t="str">
        <f t="shared" si="38"/>
        <v>Impôts et taxes:</v>
      </c>
      <c r="C92" s="19"/>
      <c r="D92" s="52"/>
      <c r="E92" s="52">
        <f t="shared" si="40"/>
        <v>0</v>
      </c>
      <c r="F92" s="52">
        <f t="shared" ref="F92:J103" si="42">E65</f>
        <v>8724469.5999999959</v>
      </c>
      <c r="G92" s="52">
        <f t="shared" si="42"/>
        <v>11212978.26</v>
      </c>
      <c r="H92" s="52">
        <f t="shared" si="42"/>
        <v>13865801.910999997</v>
      </c>
      <c r="I92" s="52">
        <f t="shared" si="42"/>
        <v>15813889.508350002</v>
      </c>
      <c r="J92" s="52">
        <f t="shared" si="42"/>
        <v>17495338.238247495</v>
      </c>
    </row>
    <row r="93" spans="2:10" x14ac:dyDescent="0.35">
      <c r="B93" s="19" t="str">
        <f t="shared" si="38"/>
        <v>TVA/charges non récupérables</v>
      </c>
      <c r="C93" s="19"/>
      <c r="D93" s="52"/>
      <c r="E93" s="52">
        <f t="shared" si="40"/>
        <v>0</v>
      </c>
      <c r="F93" s="52">
        <f t="shared" si="42"/>
        <v>0</v>
      </c>
      <c r="G93" s="52">
        <f t="shared" si="42"/>
        <v>0</v>
      </c>
      <c r="H93" s="52">
        <f t="shared" si="42"/>
        <v>0</v>
      </c>
      <c r="I93" s="52">
        <f t="shared" si="42"/>
        <v>0</v>
      </c>
      <c r="J93" s="52">
        <f t="shared" si="42"/>
        <v>0</v>
      </c>
    </row>
    <row r="94" spans="2:10" x14ac:dyDescent="0.35">
      <c r="B94" s="19" t="str">
        <f t="shared" si="38"/>
        <v>Dirigeants non salariés (rémun + CS)</v>
      </c>
      <c r="C94" s="19"/>
      <c r="D94" s="52"/>
      <c r="E94" s="52">
        <f t="shared" si="40"/>
        <v>0</v>
      </c>
      <c r="F94" s="52">
        <f t="shared" si="42"/>
        <v>0</v>
      </c>
      <c r="G94" s="52">
        <f t="shared" si="42"/>
        <v>0</v>
      </c>
      <c r="H94" s="52">
        <f t="shared" si="42"/>
        <v>0</v>
      </c>
      <c r="I94" s="52">
        <f t="shared" si="42"/>
        <v>0</v>
      </c>
      <c r="J94" s="52">
        <f t="shared" si="42"/>
        <v>0</v>
      </c>
    </row>
    <row r="95" spans="2:10" x14ac:dyDescent="0.35">
      <c r="B95" s="19" t="str">
        <f t="shared" si="38"/>
        <v>Autres salaires + charges sociales</v>
      </c>
      <c r="C95" s="19"/>
      <c r="D95" s="52"/>
      <c r="E95" s="52">
        <f t="shared" si="40"/>
        <v>0</v>
      </c>
      <c r="F95" s="52">
        <f t="shared" si="42"/>
        <v>27310800</v>
      </c>
      <c r="G95" s="52">
        <f t="shared" si="42"/>
        <v>42923000</v>
      </c>
      <c r="H95" s="52">
        <f t="shared" si="42"/>
        <v>76955340</v>
      </c>
      <c r="I95" s="52">
        <f t="shared" si="42"/>
        <v>80439207</v>
      </c>
      <c r="J95" s="52">
        <f t="shared" si="42"/>
        <v>83306082</v>
      </c>
    </row>
    <row r="96" spans="2:10" x14ac:dyDescent="0.35">
      <c r="B96" s="19" t="str">
        <f t="shared" si="38"/>
        <v>Excédent brut d'exploitation (EBITDA):</v>
      </c>
      <c r="C96" s="19"/>
      <c r="D96" s="52"/>
      <c r="E96" s="52">
        <f t="shared" si="40"/>
        <v>-12895759.052606963</v>
      </c>
      <c r="F96" s="52">
        <f t="shared" si="42"/>
        <v>49136611.676183924</v>
      </c>
      <c r="G96" s="52">
        <f t="shared" si="42"/>
        <v>95243125.727130949</v>
      </c>
      <c r="H96" s="52">
        <f t="shared" si="42"/>
        <v>109295521.30892003</v>
      </c>
      <c r="I96" s="52">
        <f t="shared" si="42"/>
        <v>143785739.39425662</v>
      </c>
      <c r="J96" s="52">
        <f t="shared" si="42"/>
        <v>164355488.70042831</v>
      </c>
    </row>
    <row r="97" spans="2:10" x14ac:dyDescent="0.35">
      <c r="B97" s="19" t="str">
        <f t="shared" si="38"/>
        <v>Dotation amortissements</v>
      </c>
      <c r="C97" s="19"/>
      <c r="D97" s="52"/>
      <c r="E97" s="52">
        <f t="shared" si="40"/>
        <v>0</v>
      </c>
      <c r="F97" s="52">
        <f t="shared" si="42"/>
        <v>25785166.666666664</v>
      </c>
      <c r="G97" s="52">
        <f t="shared" si="42"/>
        <v>25785166.66666666</v>
      </c>
      <c r="H97" s="52">
        <f t="shared" si="42"/>
        <v>25785166.666666664</v>
      </c>
      <c r="I97" s="52">
        <f t="shared" si="42"/>
        <v>23536833.333333328</v>
      </c>
      <c r="J97" s="52">
        <f t="shared" si="42"/>
        <v>21857333.333333336</v>
      </c>
    </row>
    <row r="98" spans="2:10" x14ac:dyDescent="0.35">
      <c r="B98" s="19" t="str">
        <f t="shared" si="38"/>
        <v>Frais de direction</v>
      </c>
      <c r="C98" s="19"/>
      <c r="D98" s="52"/>
      <c r="E98" s="52">
        <f t="shared" si="40"/>
        <v>0</v>
      </c>
      <c r="F98" s="52">
        <f t="shared" si="42"/>
        <v>24069069.659273759</v>
      </c>
      <c r="G98" s="52">
        <f t="shared" si="42"/>
        <v>27418328.317627069</v>
      </c>
      <c r="H98" s="52">
        <f t="shared" si="42"/>
        <v>28990651.966878805</v>
      </c>
      <c r="I98" s="52">
        <f t="shared" si="42"/>
        <v>30118682.562372744</v>
      </c>
      <c r="J98" s="52">
        <f t="shared" si="42"/>
        <v>29753709.890299693</v>
      </c>
    </row>
    <row r="99" spans="2:10" x14ac:dyDescent="0.35">
      <c r="B99" s="19" t="str">
        <f t="shared" si="38"/>
        <v>Résultat d'exploitation (EBIT):</v>
      </c>
      <c r="C99" s="19"/>
      <c r="D99" s="52"/>
      <c r="E99" s="52">
        <f t="shared" si="40"/>
        <v>-12895759.052606963</v>
      </c>
      <c r="F99" s="52">
        <f t="shared" si="42"/>
        <v>-717624.64975649863</v>
      </c>
      <c r="G99" s="52">
        <f t="shared" si="42"/>
        <v>42039630.74283722</v>
      </c>
      <c r="H99" s="52">
        <f t="shared" si="42"/>
        <v>54519702.675374568</v>
      </c>
      <c r="I99" s="52">
        <f t="shared" si="42"/>
        <v>90130223.498550549</v>
      </c>
      <c r="J99" s="52">
        <f t="shared" si="42"/>
        <v>112744445.47679527</v>
      </c>
    </row>
    <row r="100" spans="2:10" x14ac:dyDescent="0.35">
      <c r="B100" s="19" t="str">
        <f t="shared" si="38"/>
        <v>Charges d'emprunts</v>
      </c>
      <c r="C100" s="19"/>
      <c r="D100" s="52"/>
      <c r="E100" s="52">
        <f t="shared" si="40"/>
        <v>13500000.059273737</v>
      </c>
      <c r="F100" s="52">
        <f t="shared" si="42"/>
        <v>12468750.05762706</v>
      </c>
      <c r="G100" s="52">
        <f t="shared" si="42"/>
        <v>10218750.055878811</v>
      </c>
      <c r="H100" s="52">
        <f t="shared" si="42"/>
        <v>7968750.0540227443</v>
      </c>
      <c r="I100" s="52">
        <f t="shared" si="42"/>
        <v>5718750.0520522045</v>
      </c>
      <c r="J100" s="52">
        <f t="shared" si="42"/>
        <v>3468749.9999999828</v>
      </c>
    </row>
    <row r="101" spans="2:10" x14ac:dyDescent="0.35">
      <c r="B101" s="19" t="str">
        <f t="shared" si="38"/>
        <v>Autres charges financières</v>
      </c>
      <c r="C101" s="19"/>
      <c r="D101" s="52"/>
      <c r="E101" s="52">
        <f t="shared" si="40"/>
        <v>0</v>
      </c>
      <c r="F101" s="52">
        <f t="shared" si="42"/>
        <v>0</v>
      </c>
      <c r="G101" s="52">
        <f t="shared" si="42"/>
        <v>0</v>
      </c>
      <c r="H101" s="52">
        <f t="shared" si="42"/>
        <v>0</v>
      </c>
      <c r="I101" s="52">
        <f t="shared" si="42"/>
        <v>0</v>
      </c>
      <c r="J101" s="52">
        <f t="shared" si="42"/>
        <v>0</v>
      </c>
    </row>
    <row r="102" spans="2:10" x14ac:dyDescent="0.35">
      <c r="B102" s="19" t="str">
        <f t="shared" si="38"/>
        <v>Résultat financier:</v>
      </c>
      <c r="C102" s="19"/>
      <c r="D102" s="52"/>
      <c r="E102" s="52">
        <f t="shared" si="40"/>
        <v>-13500000.059273737</v>
      </c>
      <c r="F102" s="52">
        <f t="shared" si="42"/>
        <v>-12468750.05762706</v>
      </c>
      <c r="G102" s="52">
        <f t="shared" si="42"/>
        <v>-10218750.055878811</v>
      </c>
      <c r="H102" s="52">
        <f t="shared" si="42"/>
        <v>-7968750.0540227443</v>
      </c>
      <c r="I102" s="52">
        <f t="shared" si="42"/>
        <v>-5718750.0520522045</v>
      </c>
      <c r="J102" s="52">
        <f t="shared" si="42"/>
        <v>-3468749.9999999828</v>
      </c>
    </row>
    <row r="103" spans="2:10" x14ac:dyDescent="0.35">
      <c r="B103" s="19" t="str">
        <f t="shared" si="38"/>
        <v>Résultat brut:</v>
      </c>
      <c r="C103" s="19"/>
      <c r="D103" s="52"/>
      <c r="E103" s="52">
        <f t="shared" si="40"/>
        <v>-26395759.111880697</v>
      </c>
      <c r="F103" s="52">
        <f t="shared" si="42"/>
        <v>-13186374.707383558</v>
      </c>
      <c r="G103" s="52">
        <f t="shared" si="42"/>
        <v>31820880.68695841</v>
      </c>
      <c r="H103" s="52">
        <f t="shared" si="42"/>
        <v>46550952.621351823</v>
      </c>
      <c r="I103" s="52">
        <f t="shared" si="42"/>
        <v>84411473.446498349</v>
      </c>
      <c r="J103" s="52">
        <f t="shared" si="42"/>
        <v>109275695.47679529</v>
      </c>
    </row>
    <row r="104" spans="2:10" x14ac:dyDescent="0.35">
      <c r="B104" s="19"/>
      <c r="C104" s="19"/>
      <c r="E104" s="52"/>
      <c r="F104" s="52"/>
      <c r="G104" s="52"/>
      <c r="H104" s="52"/>
      <c r="I104" s="52"/>
      <c r="J104" s="52"/>
    </row>
    <row r="107" spans="2:10" ht="15" thickBot="1" x14ac:dyDescent="0.4">
      <c r="B107" s="19"/>
      <c r="C107" s="19"/>
      <c r="E107" s="52"/>
      <c r="F107" s="52"/>
      <c r="G107" s="52"/>
      <c r="H107" s="52"/>
      <c r="I107" s="52"/>
      <c r="J107" s="52"/>
    </row>
    <row r="108" spans="2:10" ht="38.5" customHeight="1" thickBot="1" x14ac:dyDescent="0.4">
      <c r="B108" s="86" t="s">
        <v>41</v>
      </c>
      <c r="C108" s="59">
        <f>C81+1</f>
        <v>2028</v>
      </c>
      <c r="E108" s="52"/>
      <c r="F108" s="2" t="str">
        <f>E81</f>
        <v>Prévisions année:  1</v>
      </c>
      <c r="G108" s="2" t="str">
        <f>F81</f>
        <v>Prévisions année:  2</v>
      </c>
      <c r="H108" s="2" t="str">
        <f>G81</f>
        <v>Prévisions année:  3</v>
      </c>
      <c r="I108" s="2" t="str">
        <f>H81</f>
        <v>Prévisions année:  4</v>
      </c>
      <c r="J108" s="2" t="str">
        <f>I81</f>
        <v>Prévisions année:  5</v>
      </c>
    </row>
    <row r="109" spans="2:10" x14ac:dyDescent="0.35">
      <c r="B109" s="19"/>
      <c r="C109" s="19"/>
      <c r="E109" s="52"/>
      <c r="F109" s="52"/>
      <c r="G109" s="52"/>
      <c r="H109" s="52"/>
      <c r="I109" s="52"/>
      <c r="J109" s="52"/>
    </row>
    <row r="110" spans="2:10" x14ac:dyDescent="0.35">
      <c r="B110" s="19" t="str">
        <f t="shared" ref="B110:B130" si="43">B83</f>
        <v>Chiffre d'affaires</v>
      </c>
      <c r="C110" s="19"/>
      <c r="D110" s="52"/>
      <c r="E110" s="52"/>
      <c r="F110" s="52">
        <f>E83</f>
        <v>0</v>
      </c>
      <c r="G110" s="52">
        <f>F83</f>
        <v>218111739.99999994</v>
      </c>
      <c r="H110" s="52">
        <f>G83</f>
        <v>280324456.49999994</v>
      </c>
      <c r="I110" s="52">
        <f>H83</f>
        <v>346645047.77499998</v>
      </c>
      <c r="J110" s="52">
        <f>I83</f>
        <v>395347237.70874995</v>
      </c>
    </row>
    <row r="111" spans="2:10" x14ac:dyDescent="0.35">
      <c r="B111" s="19" t="str">
        <f t="shared" si="43"/>
        <v>Récap autres produit ou produits divers</v>
      </c>
      <c r="C111" s="19"/>
      <c r="D111" s="52"/>
      <c r="E111" s="52"/>
      <c r="F111" s="52">
        <f t="shared" ref="F111:J111" si="44">E84</f>
        <v>0</v>
      </c>
      <c r="G111" s="52">
        <f t="shared" si="44"/>
        <v>24069069.65927374</v>
      </c>
      <c r="H111" s="52">
        <f t="shared" si="44"/>
        <v>27418328.317627061</v>
      </c>
      <c r="I111" s="52">
        <f t="shared" si="44"/>
        <v>28990651.966878805</v>
      </c>
      <c r="J111" s="52">
        <f t="shared" si="44"/>
        <v>30118682.562372744</v>
      </c>
    </row>
    <row r="112" spans="2:10" x14ac:dyDescent="0.35">
      <c r="B112" s="19" t="str">
        <f t="shared" si="43"/>
        <v>Total produit ou produits d'exploitation</v>
      </c>
      <c r="C112" s="19"/>
      <c r="D112" s="52"/>
      <c r="E112" s="52"/>
      <c r="F112" s="52">
        <f t="shared" ref="F112:J112" si="45">E85</f>
        <v>0</v>
      </c>
      <c r="G112" s="52">
        <f t="shared" si="45"/>
        <v>242180809.65927368</v>
      </c>
      <c r="H112" s="52">
        <f t="shared" si="45"/>
        <v>307742784.81762701</v>
      </c>
      <c r="I112" s="52">
        <f t="shared" si="45"/>
        <v>375635699.74187881</v>
      </c>
      <c r="J112" s="52">
        <f t="shared" si="45"/>
        <v>425465920.27112269</v>
      </c>
    </row>
    <row r="113" spans="2:10" x14ac:dyDescent="0.35">
      <c r="B113" s="19" t="str">
        <f t="shared" si="43"/>
        <v>Achats matières</v>
      </c>
      <c r="C113" s="19"/>
      <c r="D113" s="52"/>
      <c r="E113" s="52"/>
      <c r="F113" s="52">
        <f t="shared" ref="F113:J113" si="46">E86</f>
        <v>0</v>
      </c>
      <c r="G113" s="52">
        <f t="shared" si="46"/>
        <v>132575991.88636363</v>
      </c>
      <c r="H113" s="52">
        <f t="shared" si="46"/>
        <v>124475991.88636361</v>
      </c>
      <c r="I113" s="52">
        <f t="shared" si="46"/>
        <v>136368152.55123967</v>
      </c>
      <c r="J113" s="52">
        <f t="shared" si="46"/>
        <v>142564363.69090909</v>
      </c>
    </row>
    <row r="114" spans="2:10" x14ac:dyDescent="0.35">
      <c r="B114" s="19" t="str">
        <f t="shared" si="43"/>
        <v>Marge sur achats matières</v>
      </c>
      <c r="C114" s="19"/>
      <c r="D114" s="52"/>
      <c r="E114" s="52"/>
      <c r="F114" s="52">
        <f t="shared" ref="F114:J114" si="47">E87</f>
        <v>0</v>
      </c>
      <c r="G114" s="52">
        <f t="shared" si="47"/>
        <v>85535748.113636315</v>
      </c>
      <c r="H114" s="52">
        <f t="shared" si="47"/>
        <v>155848464.61363631</v>
      </c>
      <c r="I114" s="52">
        <f t="shared" si="47"/>
        <v>210276895.22376031</v>
      </c>
      <c r="J114" s="52">
        <f t="shared" si="47"/>
        <v>252782874.01784086</v>
      </c>
    </row>
    <row r="115" spans="2:10" x14ac:dyDescent="0.35">
      <c r="B115" s="19" t="str">
        <f t="shared" si="43"/>
        <v>Taux de marge / achats</v>
      </c>
      <c r="C115" s="19"/>
      <c r="D115" s="52"/>
      <c r="E115" s="169"/>
      <c r="F115" s="169">
        <f t="shared" ref="F115:J115" si="48">E88</f>
        <v>0</v>
      </c>
      <c r="G115" s="169">
        <f t="shared" si="48"/>
        <v>0.39216480558834815</v>
      </c>
      <c r="H115" s="169">
        <f t="shared" si="48"/>
        <v>0.55595743075537307</v>
      </c>
      <c r="I115" s="169">
        <f t="shared" si="48"/>
        <v>0.60660579625602107</v>
      </c>
      <c r="J115" s="169">
        <f t="shared" si="48"/>
        <v>0.63939456231654401</v>
      </c>
    </row>
    <row r="116" spans="2:10" x14ac:dyDescent="0.35">
      <c r="B116" s="19" t="str">
        <f t="shared" si="43"/>
        <v>Charges externes ponctuelles</v>
      </c>
      <c r="C116" s="19"/>
      <c r="D116" s="72"/>
      <c r="E116" s="72"/>
      <c r="F116" s="52">
        <f t="shared" ref="F116:J116" si="49">E89</f>
        <v>0</v>
      </c>
      <c r="G116" s="52">
        <f t="shared" si="49"/>
        <v>0</v>
      </c>
      <c r="H116" s="52">
        <f t="shared" si="49"/>
        <v>0</v>
      </c>
      <c r="I116" s="52">
        <f t="shared" si="49"/>
        <v>0</v>
      </c>
      <c r="J116" s="52">
        <f t="shared" si="49"/>
        <v>0</v>
      </c>
    </row>
    <row r="117" spans="2:10" x14ac:dyDescent="0.35">
      <c r="B117" s="19" t="str">
        <f t="shared" si="43"/>
        <v>Frais généraux et charges permanentes</v>
      </c>
      <c r="C117" s="19"/>
      <c r="D117" s="52"/>
      <c r="E117" s="52"/>
      <c r="F117" s="52">
        <f t="shared" ref="F117:J117" si="50">E90</f>
        <v>0</v>
      </c>
      <c r="G117" s="52">
        <f t="shared" si="50"/>
        <v>11537177.44411918</v>
      </c>
      <c r="H117" s="52">
        <f t="shared" si="50"/>
        <v>20991929.891525488</v>
      </c>
      <c r="I117" s="52">
        <f t="shared" si="50"/>
        <v>26255124.918112129</v>
      </c>
      <c r="J117" s="52">
        <f t="shared" si="50"/>
        <v>29966961.625000015</v>
      </c>
    </row>
    <row r="118" spans="2:10" x14ac:dyDescent="0.35">
      <c r="B118" s="19" t="str">
        <f t="shared" si="43"/>
        <v>Leasings et locations longues durées</v>
      </c>
      <c r="C118" s="19"/>
      <c r="D118" s="52"/>
      <c r="E118" s="52"/>
      <c r="F118" s="52">
        <f t="shared" ref="F118:J118" si="51">E91</f>
        <v>12895759.052606963</v>
      </c>
      <c r="G118" s="52">
        <f t="shared" si="51"/>
        <v>12895759.052606963</v>
      </c>
      <c r="H118" s="52">
        <f t="shared" si="51"/>
        <v>12895759.052606963</v>
      </c>
      <c r="I118" s="52">
        <f t="shared" si="51"/>
        <v>12895759.052606963</v>
      </c>
      <c r="J118" s="52">
        <f t="shared" si="51"/>
        <v>12895759.052606961</v>
      </c>
    </row>
    <row r="119" spans="2:10" x14ac:dyDescent="0.35">
      <c r="B119" s="19" t="str">
        <f t="shared" si="43"/>
        <v>Impôts et taxes:</v>
      </c>
      <c r="C119" s="19"/>
      <c r="D119" s="52"/>
      <c r="E119" s="52"/>
      <c r="F119" s="52">
        <f t="shared" ref="F119:J119" si="52">E92</f>
        <v>0</v>
      </c>
      <c r="G119" s="52">
        <f t="shared" si="52"/>
        <v>8724469.5999999959</v>
      </c>
      <c r="H119" s="52">
        <f t="shared" si="52"/>
        <v>11212978.26</v>
      </c>
      <c r="I119" s="52">
        <f t="shared" si="52"/>
        <v>13865801.910999997</v>
      </c>
      <c r="J119" s="52">
        <f t="shared" si="52"/>
        <v>15813889.508350002</v>
      </c>
    </row>
    <row r="120" spans="2:10" x14ac:dyDescent="0.35">
      <c r="B120" s="19" t="str">
        <f t="shared" si="43"/>
        <v>TVA/charges non récupérables</v>
      </c>
      <c r="C120" s="19"/>
      <c r="D120" s="52"/>
      <c r="E120" s="52"/>
      <c r="F120" s="52">
        <f t="shared" ref="F120:J120" si="53">E93</f>
        <v>0</v>
      </c>
      <c r="G120" s="52">
        <f t="shared" si="53"/>
        <v>0</v>
      </c>
      <c r="H120" s="52">
        <f t="shared" si="53"/>
        <v>0</v>
      </c>
      <c r="I120" s="52">
        <f t="shared" si="53"/>
        <v>0</v>
      </c>
      <c r="J120" s="52">
        <f t="shared" si="53"/>
        <v>0</v>
      </c>
    </row>
    <row r="121" spans="2:10" x14ac:dyDescent="0.35">
      <c r="B121" s="19" t="str">
        <f t="shared" si="43"/>
        <v>Dirigeants non salariés (rémun + CS)</v>
      </c>
      <c r="C121" s="19"/>
      <c r="D121" s="52"/>
      <c r="E121" s="52"/>
      <c r="F121" s="52">
        <f t="shared" ref="F121:J121" si="54">E94</f>
        <v>0</v>
      </c>
      <c r="G121" s="52">
        <f t="shared" si="54"/>
        <v>0</v>
      </c>
      <c r="H121" s="52">
        <f t="shared" si="54"/>
        <v>0</v>
      </c>
      <c r="I121" s="52">
        <f t="shared" si="54"/>
        <v>0</v>
      </c>
      <c r="J121" s="52">
        <f t="shared" si="54"/>
        <v>0</v>
      </c>
    </row>
    <row r="122" spans="2:10" x14ac:dyDescent="0.35">
      <c r="B122" s="19" t="str">
        <f t="shared" si="43"/>
        <v>Autres salaires + charges sociales</v>
      </c>
      <c r="C122" s="19"/>
      <c r="D122" s="52"/>
      <c r="E122" s="52"/>
      <c r="F122" s="52">
        <f t="shared" ref="F122:J122" si="55">E95</f>
        <v>0</v>
      </c>
      <c r="G122" s="52">
        <f t="shared" si="55"/>
        <v>27310800</v>
      </c>
      <c r="H122" s="52">
        <f t="shared" si="55"/>
        <v>42923000</v>
      </c>
      <c r="I122" s="52">
        <f t="shared" si="55"/>
        <v>76955340</v>
      </c>
      <c r="J122" s="52">
        <f t="shared" si="55"/>
        <v>80439207</v>
      </c>
    </row>
    <row r="123" spans="2:10" x14ac:dyDescent="0.35">
      <c r="B123" s="19" t="str">
        <f t="shared" si="43"/>
        <v>Excédent brut d'exploitation (EBITDA):</v>
      </c>
      <c r="C123" s="19"/>
      <c r="D123" s="52"/>
      <c r="E123" s="52"/>
      <c r="F123" s="52">
        <f t="shared" ref="F123:J123" si="56">E96</f>
        <v>-12895759.052606963</v>
      </c>
      <c r="G123" s="52">
        <f t="shared" si="56"/>
        <v>49136611.676183924</v>
      </c>
      <c r="H123" s="52">
        <f t="shared" si="56"/>
        <v>95243125.727130949</v>
      </c>
      <c r="I123" s="52">
        <f t="shared" si="56"/>
        <v>109295521.30892003</v>
      </c>
      <c r="J123" s="52">
        <f t="shared" si="56"/>
        <v>143785739.39425662</v>
      </c>
    </row>
    <row r="124" spans="2:10" x14ac:dyDescent="0.35">
      <c r="B124" s="19" t="str">
        <f t="shared" si="43"/>
        <v>Dotation amortissements</v>
      </c>
      <c r="C124" s="19"/>
      <c r="D124" s="52"/>
      <c r="E124" s="52"/>
      <c r="F124" s="52">
        <f t="shared" ref="F124:J124" si="57">E97</f>
        <v>0</v>
      </c>
      <c r="G124" s="52">
        <f t="shared" si="57"/>
        <v>25785166.666666664</v>
      </c>
      <c r="H124" s="52">
        <f t="shared" si="57"/>
        <v>25785166.66666666</v>
      </c>
      <c r="I124" s="52">
        <f t="shared" si="57"/>
        <v>25785166.666666664</v>
      </c>
      <c r="J124" s="52">
        <f t="shared" si="57"/>
        <v>23536833.333333328</v>
      </c>
    </row>
    <row r="125" spans="2:10" x14ac:dyDescent="0.35">
      <c r="B125" s="19" t="str">
        <f t="shared" si="43"/>
        <v>Frais de direction</v>
      </c>
      <c r="C125" s="19"/>
      <c r="D125" s="52"/>
      <c r="E125" s="52"/>
      <c r="F125" s="52">
        <f t="shared" ref="F125:J125" si="58">E98</f>
        <v>0</v>
      </c>
      <c r="G125" s="52">
        <f t="shared" si="58"/>
        <v>24069069.659273759</v>
      </c>
      <c r="H125" s="52">
        <f t="shared" si="58"/>
        <v>27418328.317627069</v>
      </c>
      <c r="I125" s="52">
        <f t="shared" si="58"/>
        <v>28990651.966878805</v>
      </c>
      <c r="J125" s="52">
        <f t="shared" si="58"/>
        <v>30118682.562372744</v>
      </c>
    </row>
    <row r="126" spans="2:10" x14ac:dyDescent="0.35">
      <c r="B126" s="19" t="str">
        <f t="shared" si="43"/>
        <v>Résultat d'exploitation (EBIT):</v>
      </c>
      <c r="C126" s="19"/>
      <c r="D126" s="52"/>
      <c r="E126" s="52"/>
      <c r="F126" s="52">
        <f t="shared" ref="F126:J126" si="59">E99</f>
        <v>-12895759.052606963</v>
      </c>
      <c r="G126" s="52">
        <f t="shared" si="59"/>
        <v>-717624.64975649863</v>
      </c>
      <c r="H126" s="52">
        <f t="shared" si="59"/>
        <v>42039630.74283722</v>
      </c>
      <c r="I126" s="52">
        <f t="shared" si="59"/>
        <v>54519702.675374568</v>
      </c>
      <c r="J126" s="52">
        <f t="shared" si="59"/>
        <v>90130223.498550549</v>
      </c>
    </row>
    <row r="127" spans="2:10" x14ac:dyDescent="0.35">
      <c r="B127" s="19" t="str">
        <f t="shared" si="43"/>
        <v>Charges d'emprunts</v>
      </c>
      <c r="C127" s="19"/>
      <c r="D127" s="52"/>
      <c r="E127" s="52"/>
      <c r="F127" s="52">
        <f t="shared" ref="F127:J127" si="60">E100</f>
        <v>13500000.059273737</v>
      </c>
      <c r="G127" s="52">
        <f t="shared" si="60"/>
        <v>12468750.05762706</v>
      </c>
      <c r="H127" s="52">
        <f t="shared" si="60"/>
        <v>10218750.055878811</v>
      </c>
      <c r="I127" s="52">
        <f t="shared" si="60"/>
        <v>7968750.0540227443</v>
      </c>
      <c r="J127" s="52">
        <f t="shared" si="60"/>
        <v>5718750.0520522045</v>
      </c>
    </row>
    <row r="128" spans="2:10" x14ac:dyDescent="0.35">
      <c r="B128" s="19" t="str">
        <f t="shared" si="43"/>
        <v>Autres charges financières</v>
      </c>
      <c r="C128" s="19"/>
      <c r="D128" s="52"/>
      <c r="E128" s="52"/>
      <c r="F128" s="52">
        <f t="shared" ref="F128:J128" si="61">E101</f>
        <v>0</v>
      </c>
      <c r="G128" s="52">
        <f t="shared" si="61"/>
        <v>0</v>
      </c>
      <c r="H128" s="52">
        <f t="shared" si="61"/>
        <v>0</v>
      </c>
      <c r="I128" s="52">
        <f t="shared" si="61"/>
        <v>0</v>
      </c>
      <c r="J128" s="52">
        <f t="shared" si="61"/>
        <v>0</v>
      </c>
    </row>
    <row r="129" spans="2:10" x14ac:dyDescent="0.35">
      <c r="B129" s="19" t="str">
        <f t="shared" si="43"/>
        <v>Résultat financier:</v>
      </c>
      <c r="C129" s="19"/>
      <c r="D129" s="52"/>
      <c r="E129" s="52"/>
      <c r="F129" s="52">
        <f t="shared" ref="F129:J129" si="62">E102</f>
        <v>-13500000.059273737</v>
      </c>
      <c r="G129" s="52">
        <f t="shared" si="62"/>
        <v>-12468750.05762706</v>
      </c>
      <c r="H129" s="52">
        <f t="shared" si="62"/>
        <v>-10218750.055878811</v>
      </c>
      <c r="I129" s="52">
        <f t="shared" si="62"/>
        <v>-7968750.0540227443</v>
      </c>
      <c r="J129" s="52">
        <f t="shared" si="62"/>
        <v>-5718750.0520522045</v>
      </c>
    </row>
    <row r="130" spans="2:10" x14ac:dyDescent="0.35">
      <c r="B130" s="19" t="str">
        <f t="shared" si="43"/>
        <v>Résultat brut:</v>
      </c>
      <c r="C130" s="19"/>
      <c r="D130" s="52"/>
      <c r="E130" s="52"/>
      <c r="F130" s="52">
        <f t="shared" ref="F130:J130" si="63">E103</f>
        <v>-26395759.111880697</v>
      </c>
      <c r="G130" s="52">
        <f t="shared" si="63"/>
        <v>-13186374.707383558</v>
      </c>
      <c r="H130" s="52">
        <f t="shared" si="63"/>
        <v>31820880.68695841</v>
      </c>
      <c r="I130" s="52">
        <f t="shared" si="63"/>
        <v>46550952.621351823</v>
      </c>
      <c r="J130" s="52">
        <f t="shared" si="63"/>
        <v>84411473.446498349</v>
      </c>
    </row>
    <row r="131" spans="2:10" x14ac:dyDescent="0.35">
      <c r="B131" s="19"/>
      <c r="C131" s="19"/>
      <c r="E131" s="52"/>
      <c r="F131" s="52"/>
      <c r="G131" s="52"/>
      <c r="H131" s="52"/>
      <c r="I131" s="52"/>
      <c r="J131" s="52"/>
    </row>
    <row r="134" spans="2:10" ht="26" x14ac:dyDescent="0.6">
      <c r="B134" s="160" t="s">
        <v>115</v>
      </c>
      <c r="C134" s="19"/>
      <c r="E134" s="52"/>
      <c r="F134" s="52"/>
      <c r="G134" s="52"/>
      <c r="H134" s="52"/>
      <c r="I134" s="52"/>
      <c r="J134" s="52"/>
    </row>
    <row r="135" spans="2:10" ht="15" customHeight="1" x14ac:dyDescent="0.6">
      <c r="B135" s="68"/>
      <c r="C135" s="65"/>
      <c r="D135" s="59"/>
    </row>
    <row r="136" spans="2:10" ht="15" customHeight="1" x14ac:dyDescent="0.35">
      <c r="B136" s="110" t="s">
        <v>104</v>
      </c>
      <c r="C136" s="65">
        <f>'50 CAP'!C59</f>
        <v>75500</v>
      </c>
      <c r="D136" s="59" t="s">
        <v>113</v>
      </c>
    </row>
    <row r="137" spans="2:10" ht="15" customHeight="1" x14ac:dyDescent="0.35">
      <c r="B137" s="110" t="s">
        <v>105</v>
      </c>
      <c r="C137" s="154">
        <f>'50 CAP'!C60</f>
        <v>0.16512141280353201</v>
      </c>
      <c r="D137" s="59"/>
    </row>
    <row r="138" spans="2:10" ht="15" customHeight="1" x14ac:dyDescent="0.35">
      <c r="B138" s="110" t="s">
        <v>106</v>
      </c>
      <c r="C138" s="65">
        <f>657*C137</f>
        <v>108.48476821192054</v>
      </c>
      <c r="D138" s="59"/>
    </row>
    <row r="139" spans="2:10" ht="15" customHeight="1" x14ac:dyDescent="0.6">
      <c r="B139" s="68"/>
      <c r="C139" s="65"/>
      <c r="D139" s="59"/>
    </row>
    <row r="140" spans="2:10" ht="15" customHeight="1" x14ac:dyDescent="0.45">
      <c r="B140" s="83" t="s">
        <v>116</v>
      </c>
      <c r="C140" s="65"/>
      <c r="D140" s="59"/>
    </row>
    <row r="141" spans="2:10" ht="15" customHeight="1" thickBot="1" x14ac:dyDescent="0.65">
      <c r="B141" s="68"/>
      <c r="C141" s="65"/>
      <c r="D141" s="59"/>
    </row>
    <row r="142" spans="2:10" ht="38.25" customHeight="1" thickBot="1" x14ac:dyDescent="0.4">
      <c r="B142" s="86"/>
      <c r="C142" s="1" t="s">
        <v>54</v>
      </c>
      <c r="D142" s="2" t="str">
        <f t="shared" ref="D142:J142" si="64">D54</f>
        <v>Prévisions année:  1</v>
      </c>
      <c r="E142" s="2" t="str">
        <f t="shared" si="64"/>
        <v>Prévisions année:  2</v>
      </c>
      <c r="F142" s="2" t="str">
        <f t="shared" si="64"/>
        <v>Prévisions année:  3</v>
      </c>
      <c r="G142" s="2" t="str">
        <f t="shared" si="64"/>
        <v>Prévisions année:  4</v>
      </c>
      <c r="H142" s="2" t="str">
        <f t="shared" si="64"/>
        <v>Prévisions année:  5</v>
      </c>
      <c r="I142" s="2" t="str">
        <f t="shared" si="64"/>
        <v>Prévisions année:  6</v>
      </c>
      <c r="J142" s="2" t="str">
        <f t="shared" si="64"/>
        <v>Prévisions année:  7</v>
      </c>
    </row>
    <row r="143" spans="2:10" ht="15" customHeight="1" x14ac:dyDescent="0.35">
      <c r="B143" s="19"/>
      <c r="C143" s="19"/>
    </row>
    <row r="144" spans="2:10" ht="15" customHeight="1" x14ac:dyDescent="0.35">
      <c r="B144" s="19" t="s">
        <v>109</v>
      </c>
      <c r="C144" s="53">
        <f>SUM(D144:J144)</f>
        <v>15227.188172169823</v>
      </c>
      <c r="D144" s="52">
        <f t="shared" ref="D144:J144" si="65">(D$10*D154+D$12*D160+D$14*D166)/1000</f>
        <v>0</v>
      </c>
      <c r="E144" s="52">
        <f t="shared" si="65"/>
        <v>416.53095808731717</v>
      </c>
      <c r="F144" s="52">
        <f t="shared" si="65"/>
        <v>1368.401345593938</v>
      </c>
      <c r="G144" s="52">
        <f t="shared" si="65"/>
        <v>2565.7335401250352</v>
      </c>
      <c r="H144" s="52">
        <f t="shared" si="65"/>
        <v>3149.6643890621945</v>
      </c>
      <c r="I144" s="52">
        <f t="shared" si="65"/>
        <v>3669.2626682674763</v>
      </c>
      <c r="J144" s="52">
        <f t="shared" si="65"/>
        <v>4057.5952710338602</v>
      </c>
    </row>
    <row r="145" spans="2:10" s="28" customFormat="1" ht="27" customHeight="1" x14ac:dyDescent="0.35">
      <c r="B145" s="157" t="s">
        <v>114</v>
      </c>
      <c r="C145" s="65"/>
      <c r="D145" s="158">
        <f>D144/1800</f>
        <v>0</v>
      </c>
      <c r="E145" s="158">
        <f t="shared" ref="E145:J145" si="66">E144/1800</f>
        <v>0.23140608782628733</v>
      </c>
      <c r="F145" s="158">
        <f t="shared" si="66"/>
        <v>0.76022296977440995</v>
      </c>
      <c r="G145" s="158">
        <f t="shared" si="66"/>
        <v>1.4254075222916862</v>
      </c>
      <c r="H145" s="158">
        <f t="shared" si="66"/>
        <v>1.749813549478997</v>
      </c>
      <c r="I145" s="158">
        <f t="shared" si="66"/>
        <v>2.0384792601485979</v>
      </c>
      <c r="J145" s="158">
        <f t="shared" si="66"/>
        <v>2.2542195950188111</v>
      </c>
    </row>
    <row r="146" spans="2:10" ht="15" customHeight="1" x14ac:dyDescent="0.35">
      <c r="B146" s="19" t="s">
        <v>110</v>
      </c>
      <c r="C146" s="53">
        <f>SUM(D146:J146)</f>
        <v>1651.9179793771411</v>
      </c>
      <c r="D146" s="52">
        <f>(D$10*D155+D$12*D161+D$14*D167)/1000000</f>
        <v>0</v>
      </c>
      <c r="E146" s="52">
        <f t="shared" ref="E146:J146" si="67">(E$10*E155+E$12*E161+E$14*E167)/1000000</f>
        <v>45.187264441191793</v>
      </c>
      <c r="F146" s="52">
        <f t="shared" si="67"/>
        <v>148.45070279763854</v>
      </c>
      <c r="G146" s="52">
        <f t="shared" si="67"/>
        <v>278.34300839401476</v>
      </c>
      <c r="H146" s="52">
        <f t="shared" si="67"/>
        <v>341.6906111927525</v>
      </c>
      <c r="I146" s="52">
        <f t="shared" si="67"/>
        <v>398.05911007565021</v>
      </c>
      <c r="J146" s="52">
        <f t="shared" si="67"/>
        <v>440.18728247589326</v>
      </c>
    </row>
    <row r="147" spans="2:10" ht="15" customHeight="1" x14ac:dyDescent="0.6">
      <c r="B147" s="68"/>
      <c r="C147" s="65"/>
      <c r="D147" s="59"/>
    </row>
    <row r="148" spans="2:10" ht="15" customHeight="1" x14ac:dyDescent="0.6">
      <c r="B148" s="68"/>
      <c r="C148" s="65"/>
      <c r="D148" s="59"/>
    </row>
    <row r="149" spans="2:10" ht="15" customHeight="1" x14ac:dyDescent="0.6">
      <c r="B149" s="68"/>
      <c r="C149" s="65"/>
      <c r="D149" s="59"/>
    </row>
    <row r="150" spans="2:10" ht="15" customHeight="1" x14ac:dyDescent="0.45">
      <c r="B150" s="83" t="s">
        <v>117</v>
      </c>
      <c r="C150" s="65"/>
      <c r="D150" s="59"/>
    </row>
    <row r="151" spans="2:10" ht="15" thickBot="1" x14ac:dyDescent="0.4">
      <c r="B151" s="39"/>
      <c r="C151" s="39"/>
    </row>
    <row r="152" spans="2:10" ht="31.5" thickBot="1" x14ac:dyDescent="0.4">
      <c r="B152" s="86" t="s">
        <v>39</v>
      </c>
      <c r="C152" s="59"/>
      <c r="D152" s="2" t="str">
        <f t="shared" ref="D152:J152" si="68">D54</f>
        <v>Prévisions année:  1</v>
      </c>
      <c r="E152" s="2" t="str">
        <f t="shared" si="68"/>
        <v>Prévisions année:  2</v>
      </c>
      <c r="F152" s="2" t="str">
        <f t="shared" si="68"/>
        <v>Prévisions année:  3</v>
      </c>
      <c r="G152" s="2" t="str">
        <f t="shared" si="68"/>
        <v>Prévisions année:  4</v>
      </c>
      <c r="H152" s="2" t="str">
        <f t="shared" si="68"/>
        <v>Prévisions année:  5</v>
      </c>
      <c r="I152" s="2" t="str">
        <f t="shared" si="68"/>
        <v>Prévisions année:  6</v>
      </c>
      <c r="J152" s="2" t="str">
        <f t="shared" si="68"/>
        <v>Prévisions année:  7</v>
      </c>
    </row>
    <row r="153" spans="2:10" x14ac:dyDescent="0.35">
      <c r="B153" s="19"/>
      <c r="C153" s="19"/>
    </row>
    <row r="154" spans="2:10" x14ac:dyDescent="0.35">
      <c r="B154" s="19" t="s">
        <v>107</v>
      </c>
      <c r="C154" s="19"/>
      <c r="D154" s="52">
        <f t="shared" ref="D154:J154" si="69">$C$136*D$56/$H$56</f>
        <v>0</v>
      </c>
      <c r="E154" s="52">
        <f t="shared" si="69"/>
        <v>41653.095808731719</v>
      </c>
      <c r="F154" s="52">
        <f t="shared" si="69"/>
        <v>53533.942941930356</v>
      </c>
      <c r="G154" s="52">
        <f t="shared" si="69"/>
        <v>66199.276511179371</v>
      </c>
      <c r="H154" s="52">
        <f t="shared" si="69"/>
        <v>75500</v>
      </c>
      <c r="I154" s="52">
        <f t="shared" si="69"/>
        <v>83527.713804388855</v>
      </c>
      <c r="J154" s="52">
        <f t="shared" si="69"/>
        <v>87704.099494608308</v>
      </c>
    </row>
    <row r="155" spans="2:10" x14ac:dyDescent="0.35">
      <c r="B155" s="19" t="s">
        <v>108</v>
      </c>
      <c r="C155" s="19"/>
      <c r="D155" s="52">
        <f>D154*$C$138</f>
        <v>0</v>
      </c>
      <c r="E155" s="52">
        <f t="shared" ref="E155:J155" si="70">E154*$C$138</f>
        <v>4518726.4441191796</v>
      </c>
      <c r="F155" s="52">
        <f t="shared" si="70"/>
        <v>5807617.3915254939</v>
      </c>
      <c r="G155" s="52">
        <f t="shared" si="70"/>
        <v>7181613.1681121299</v>
      </c>
      <c r="H155" s="52">
        <f t="shared" si="70"/>
        <v>8190600.0000000009</v>
      </c>
      <c r="I155" s="52">
        <f t="shared" si="70"/>
        <v>9061484.6713407598</v>
      </c>
      <c r="J155" s="52">
        <f t="shared" si="70"/>
        <v>9514558.9049078003</v>
      </c>
    </row>
    <row r="156" spans="2:10" hidden="1" x14ac:dyDescent="0.35">
      <c r="B156" s="19"/>
      <c r="C156" s="19"/>
      <c r="G156" s="52"/>
      <c r="H156" s="52"/>
      <c r="I156" s="52"/>
      <c r="J156" s="52"/>
    </row>
    <row r="157" spans="2:10" ht="15" thickBot="1" x14ac:dyDescent="0.4">
      <c r="B157" s="19"/>
      <c r="C157" s="19"/>
      <c r="G157" s="52"/>
      <c r="H157" s="52"/>
      <c r="I157" s="52"/>
      <c r="J157" s="52"/>
    </row>
    <row r="158" spans="2:10" ht="36.75" customHeight="1" thickBot="1" x14ac:dyDescent="0.4">
      <c r="B158" s="86" t="s">
        <v>40</v>
      </c>
      <c r="C158" s="59"/>
      <c r="E158" s="2" t="str">
        <f>D152</f>
        <v>Prévisions année:  1</v>
      </c>
      <c r="F158" s="2" t="str">
        <f t="shared" ref="F158:J158" si="71">E152</f>
        <v>Prévisions année:  2</v>
      </c>
      <c r="G158" s="2" t="str">
        <f t="shared" si="71"/>
        <v>Prévisions année:  3</v>
      </c>
      <c r="H158" s="2" t="str">
        <f t="shared" si="71"/>
        <v>Prévisions année:  4</v>
      </c>
      <c r="I158" s="2" t="str">
        <f t="shared" si="71"/>
        <v>Prévisions année:  5</v>
      </c>
      <c r="J158" s="2" t="str">
        <f t="shared" si="71"/>
        <v>Prévisions année:  6</v>
      </c>
    </row>
    <row r="159" spans="2:10" x14ac:dyDescent="0.35">
      <c r="B159" s="19"/>
      <c r="C159" s="19"/>
    </row>
    <row r="160" spans="2:10" x14ac:dyDescent="0.35">
      <c r="B160" s="19" t="s">
        <v>107</v>
      </c>
      <c r="C160" s="19"/>
      <c r="E160" s="52">
        <f>D154</f>
        <v>0</v>
      </c>
      <c r="F160" s="52">
        <f t="shared" ref="F160:J161" si="72">E154</f>
        <v>41653.095808731719</v>
      </c>
      <c r="G160" s="52">
        <f t="shared" si="72"/>
        <v>53533.942941930356</v>
      </c>
      <c r="H160" s="52">
        <f t="shared" si="72"/>
        <v>66199.276511179371</v>
      </c>
      <c r="I160" s="52">
        <f t="shared" si="72"/>
        <v>75500</v>
      </c>
      <c r="J160" s="52">
        <f t="shared" si="72"/>
        <v>83527.713804388855</v>
      </c>
    </row>
    <row r="161" spans="2:10" x14ac:dyDescent="0.35">
      <c r="B161" s="19" t="s">
        <v>108</v>
      </c>
      <c r="C161" s="19"/>
      <c r="E161" s="52">
        <f>D155</f>
        <v>0</v>
      </c>
      <c r="F161" s="52">
        <f t="shared" si="72"/>
        <v>4518726.4441191796</v>
      </c>
      <c r="G161" s="52">
        <f t="shared" si="72"/>
        <v>5807617.3915254939</v>
      </c>
      <c r="H161" s="52">
        <f t="shared" si="72"/>
        <v>7181613.1681121299</v>
      </c>
      <c r="I161" s="52">
        <f t="shared" si="72"/>
        <v>8190600.0000000009</v>
      </c>
      <c r="J161" s="52">
        <f t="shared" si="72"/>
        <v>9061484.6713407598</v>
      </c>
    </row>
    <row r="162" spans="2:10" hidden="1" x14ac:dyDescent="0.35">
      <c r="B162" s="19"/>
      <c r="C162" s="19"/>
      <c r="G162" s="52"/>
      <c r="H162" s="52"/>
      <c r="I162" s="52"/>
      <c r="J162" s="52"/>
    </row>
    <row r="163" spans="2:10" ht="15" thickBot="1" x14ac:dyDescent="0.4">
      <c r="B163" s="19"/>
      <c r="C163" s="19"/>
      <c r="G163" s="52"/>
      <c r="H163" s="52"/>
      <c r="I163" s="52"/>
      <c r="J163" s="52"/>
    </row>
    <row r="164" spans="2:10" ht="31.5" thickBot="1" x14ac:dyDescent="0.4">
      <c r="B164" s="86" t="s">
        <v>41</v>
      </c>
      <c r="C164" s="59"/>
      <c r="F164" s="2" t="str">
        <f t="shared" ref="F164:J164" si="73">E158</f>
        <v>Prévisions année:  1</v>
      </c>
      <c r="G164" s="2" t="str">
        <f t="shared" si="73"/>
        <v>Prévisions année:  2</v>
      </c>
      <c r="H164" s="2" t="str">
        <f t="shared" si="73"/>
        <v>Prévisions année:  3</v>
      </c>
      <c r="I164" s="2" t="str">
        <f t="shared" si="73"/>
        <v>Prévisions année:  4</v>
      </c>
      <c r="J164" s="2" t="str">
        <f t="shared" si="73"/>
        <v>Prévisions année:  5</v>
      </c>
    </row>
    <row r="165" spans="2:10" x14ac:dyDescent="0.35">
      <c r="B165" s="19"/>
      <c r="C165" s="19"/>
    </row>
    <row r="166" spans="2:10" x14ac:dyDescent="0.35">
      <c r="B166" s="19" t="s">
        <v>107</v>
      </c>
      <c r="C166" s="19"/>
      <c r="F166" s="52">
        <f t="shared" ref="F166:J166" si="74">E160</f>
        <v>0</v>
      </c>
      <c r="G166" s="52">
        <f t="shared" si="74"/>
        <v>41653.095808731719</v>
      </c>
      <c r="H166" s="52">
        <f t="shared" si="74"/>
        <v>53533.942941930356</v>
      </c>
      <c r="I166" s="52">
        <f t="shared" si="74"/>
        <v>66199.276511179371</v>
      </c>
      <c r="J166" s="52">
        <f t="shared" si="74"/>
        <v>75500</v>
      </c>
    </row>
    <row r="167" spans="2:10" x14ac:dyDescent="0.35">
      <c r="B167" s="19" t="s">
        <v>108</v>
      </c>
      <c r="C167" s="19"/>
      <c r="F167" s="52">
        <f t="shared" ref="F167:J167" si="75">E161</f>
        <v>0</v>
      </c>
      <c r="G167" s="52">
        <f t="shared" si="75"/>
        <v>4518726.4441191796</v>
      </c>
      <c r="H167" s="52">
        <f t="shared" si="75"/>
        <v>5807617.3915254939</v>
      </c>
      <c r="I167" s="52">
        <f t="shared" si="75"/>
        <v>7181613.1681121299</v>
      </c>
      <c r="J167" s="52">
        <f t="shared" si="75"/>
        <v>8190600.0000000009</v>
      </c>
    </row>
    <row r="168" spans="2:10" x14ac:dyDescent="0.35">
      <c r="B168" s="19"/>
      <c r="C168" s="19"/>
      <c r="G168" s="52"/>
      <c r="H168" s="52"/>
      <c r="I168" s="52"/>
      <c r="J168" s="52"/>
    </row>
    <row r="169" spans="2:10" x14ac:dyDescent="0.35">
      <c r="B169" s="19"/>
      <c r="C169" s="19"/>
      <c r="G169" s="52"/>
      <c r="H169" s="52"/>
      <c r="I169" s="52"/>
      <c r="J169" s="52"/>
    </row>
    <row r="170" spans="2:10" x14ac:dyDescent="0.35">
      <c r="B170" s="19"/>
      <c r="C170" s="19"/>
      <c r="G170" s="52"/>
      <c r="H170" s="52"/>
      <c r="I170" s="52"/>
      <c r="J170" s="52"/>
    </row>
    <row r="171" spans="2:10" x14ac:dyDescent="0.35">
      <c r="B171" s="19"/>
      <c r="C171" s="19"/>
      <c r="G171" s="52"/>
      <c r="H171" s="52"/>
      <c r="I171" s="52"/>
      <c r="J171" s="52"/>
    </row>
    <row r="172" spans="2:10" x14ac:dyDescent="0.35">
      <c r="B172" s="19"/>
      <c r="C172" s="19"/>
      <c r="G172" s="52"/>
      <c r="H172" s="52"/>
      <c r="I172" s="52"/>
      <c r="J172" s="52"/>
    </row>
    <row r="173" spans="2:10" x14ac:dyDescent="0.35">
      <c r="B173" s="19"/>
      <c r="C173" s="19"/>
      <c r="G173" s="52"/>
      <c r="H173" s="52"/>
      <c r="I173" s="52"/>
      <c r="J173" s="52"/>
    </row>
    <row r="174" spans="2:10" x14ac:dyDescent="0.35">
      <c r="B174" s="19"/>
      <c r="C174" s="19"/>
      <c r="G174" s="52"/>
      <c r="H174" s="52"/>
      <c r="I174" s="52"/>
      <c r="J174" s="52"/>
    </row>
    <row r="175" spans="2:10" x14ac:dyDescent="0.35">
      <c r="B175" s="19"/>
      <c r="C175" s="19"/>
      <c r="G175" s="52"/>
      <c r="H175" s="52"/>
      <c r="I175" s="52"/>
      <c r="J175" s="52"/>
    </row>
    <row r="176" spans="2:10" x14ac:dyDescent="0.35">
      <c r="B176" s="19"/>
      <c r="C176" s="19"/>
      <c r="G176" s="52"/>
      <c r="H176" s="52"/>
      <c r="I176" s="52"/>
      <c r="J176" s="52"/>
    </row>
    <row r="177" spans="2:10" x14ac:dyDescent="0.35">
      <c r="B177" s="19"/>
      <c r="C177" s="19"/>
      <c r="G177" s="52"/>
      <c r="H177" s="52"/>
      <c r="I177" s="52"/>
      <c r="J177" s="52"/>
    </row>
    <row r="178" spans="2:10" x14ac:dyDescent="0.35">
      <c r="B178" s="19"/>
      <c r="C178" s="19"/>
      <c r="G178" s="52"/>
      <c r="H178" s="52"/>
      <c r="I178" s="52"/>
      <c r="J178" s="52"/>
    </row>
    <row r="179" spans="2:10" x14ac:dyDescent="0.35">
      <c r="B179" s="19"/>
      <c r="C179" s="19"/>
      <c r="G179" s="52"/>
      <c r="H179" s="52"/>
      <c r="I179" s="52"/>
      <c r="J179" s="52"/>
    </row>
    <row r="180" spans="2:10" x14ac:dyDescent="0.35">
      <c r="B180" s="19"/>
      <c r="C180" s="19"/>
      <c r="G180" s="52"/>
      <c r="H180" s="52"/>
      <c r="I180" s="52"/>
      <c r="J180" s="52"/>
    </row>
    <row r="181" spans="2:10" x14ac:dyDescent="0.35">
      <c r="B181" s="19"/>
      <c r="C181" s="19"/>
      <c r="G181" s="52"/>
      <c r="H181" s="52"/>
      <c r="I181" s="52"/>
      <c r="J181" s="52"/>
    </row>
    <row r="182" spans="2:10" x14ac:dyDescent="0.35">
      <c r="B182" s="19"/>
      <c r="G182" s="52"/>
      <c r="H182" s="52"/>
      <c r="I182" s="52"/>
      <c r="J182" s="52"/>
    </row>
    <row r="183" spans="2:10" x14ac:dyDescent="0.35">
      <c r="B183" s="19"/>
      <c r="G183" s="52"/>
      <c r="H183" s="52"/>
      <c r="I183" s="52"/>
      <c r="J183" s="52"/>
    </row>
    <row r="186" spans="2:10" x14ac:dyDescent="0.35">
      <c r="B186" s="19"/>
      <c r="C186" s="19"/>
    </row>
    <row r="187" spans="2:10" ht="31.9" customHeight="1" x14ac:dyDescent="0.35">
      <c r="B187" s="66"/>
      <c r="C187" s="65"/>
      <c r="D187" s="59"/>
    </row>
    <row r="188" spans="2:10" x14ac:dyDescent="0.35">
      <c r="B188" s="39"/>
      <c r="C188" s="39"/>
    </row>
    <row r="189" spans="2:10" x14ac:dyDescent="0.35">
      <c r="B189" s="19"/>
      <c r="C189" s="19"/>
    </row>
    <row r="190" spans="2:10" x14ac:dyDescent="0.35">
      <c r="B190" s="19"/>
      <c r="C190" s="19"/>
    </row>
    <row r="191" spans="2:10" x14ac:dyDescent="0.35">
      <c r="B191" s="19"/>
      <c r="C191" s="19"/>
      <c r="H191" s="52"/>
      <c r="I191" s="52"/>
      <c r="J191" s="52"/>
    </row>
    <row r="192" spans="2:10" x14ac:dyDescent="0.35">
      <c r="B192" s="19"/>
      <c r="C192" s="19"/>
      <c r="H192" s="52"/>
      <c r="I192" s="52"/>
      <c r="J192" s="52"/>
    </row>
    <row r="193" spans="2:10" x14ac:dyDescent="0.35">
      <c r="B193" s="19"/>
      <c r="C193" s="19"/>
      <c r="H193" s="52"/>
      <c r="I193" s="52"/>
      <c r="J193" s="52"/>
    </row>
    <row r="194" spans="2:10" x14ac:dyDescent="0.35">
      <c r="B194" s="19"/>
      <c r="C194" s="19"/>
      <c r="H194" s="52"/>
      <c r="I194" s="52"/>
      <c r="J194" s="52"/>
    </row>
    <row r="195" spans="2:10" x14ac:dyDescent="0.35">
      <c r="B195" s="19"/>
      <c r="C195" s="19"/>
      <c r="H195" s="52"/>
      <c r="I195" s="52"/>
      <c r="J195" s="52"/>
    </row>
    <row r="196" spans="2:10" x14ac:dyDescent="0.35">
      <c r="B196" s="19"/>
      <c r="C196" s="19"/>
      <c r="H196" s="52"/>
      <c r="I196" s="52"/>
      <c r="J196" s="52"/>
    </row>
    <row r="197" spans="2:10" x14ac:dyDescent="0.35">
      <c r="B197" s="19"/>
      <c r="C197" s="19"/>
      <c r="H197" s="52"/>
      <c r="I197" s="52"/>
      <c r="J197" s="52"/>
    </row>
    <row r="198" spans="2:10" x14ac:dyDescent="0.35">
      <c r="B198" s="19"/>
      <c r="C198" s="19"/>
      <c r="H198" s="52"/>
      <c r="I198" s="52"/>
      <c r="J198" s="52"/>
    </row>
    <row r="199" spans="2:10" x14ac:dyDescent="0.35">
      <c r="B199" s="19"/>
      <c r="C199" s="19"/>
      <c r="H199" s="52"/>
      <c r="I199" s="52"/>
      <c r="J199" s="52"/>
    </row>
    <row r="200" spans="2:10" x14ac:dyDescent="0.35">
      <c r="B200" s="19"/>
      <c r="C200" s="19"/>
      <c r="H200" s="52"/>
      <c r="I200" s="52"/>
      <c r="J200" s="52"/>
    </row>
    <row r="201" spans="2:10" x14ac:dyDescent="0.35">
      <c r="B201" s="19"/>
      <c r="C201" s="19"/>
      <c r="H201" s="52"/>
      <c r="I201" s="52"/>
      <c r="J201" s="52"/>
    </row>
    <row r="202" spans="2:10" x14ac:dyDescent="0.35">
      <c r="B202" s="19"/>
      <c r="C202" s="19"/>
      <c r="H202" s="52"/>
      <c r="I202" s="52"/>
      <c r="J202" s="52"/>
    </row>
    <row r="203" spans="2:10" x14ac:dyDescent="0.35">
      <c r="B203" s="19"/>
      <c r="C203" s="19"/>
      <c r="H203" s="52"/>
      <c r="I203" s="52"/>
      <c r="J203" s="52"/>
    </row>
    <row r="204" spans="2:10" x14ac:dyDescent="0.35">
      <c r="B204" s="19"/>
      <c r="C204" s="19"/>
      <c r="H204" s="52"/>
      <c r="I204" s="52"/>
      <c r="J204" s="52"/>
    </row>
    <row r="205" spans="2:10" x14ac:dyDescent="0.35">
      <c r="B205" s="19"/>
      <c r="C205" s="19"/>
      <c r="H205" s="52"/>
      <c r="I205" s="52"/>
      <c r="J205" s="52"/>
    </row>
    <row r="206" spans="2:10" x14ac:dyDescent="0.35">
      <c r="B206" s="19"/>
      <c r="C206" s="19"/>
      <c r="H206" s="52"/>
      <c r="I206" s="52"/>
      <c r="J206" s="52"/>
    </row>
    <row r="207" spans="2:10" x14ac:dyDescent="0.35">
      <c r="B207" s="19"/>
      <c r="C207" s="19"/>
      <c r="H207" s="52"/>
      <c r="I207" s="52"/>
      <c r="J207" s="52"/>
    </row>
    <row r="208" spans="2:10" x14ac:dyDescent="0.35">
      <c r="B208" s="19"/>
      <c r="C208" s="19"/>
      <c r="H208" s="52"/>
      <c r="I208" s="52"/>
      <c r="J208" s="52"/>
    </row>
    <row r="209" spans="2:10" x14ac:dyDescent="0.35">
      <c r="B209" s="19"/>
      <c r="C209" s="19"/>
      <c r="H209" s="52"/>
      <c r="I209" s="52"/>
      <c r="J209" s="52"/>
    </row>
    <row r="210" spans="2:10" x14ac:dyDescent="0.35">
      <c r="B210" s="19"/>
      <c r="C210" s="19"/>
      <c r="H210" s="52"/>
      <c r="I210" s="52"/>
      <c r="J210" s="52"/>
    </row>
    <row r="211" spans="2:10" x14ac:dyDescent="0.35">
      <c r="B211" s="19"/>
      <c r="C211" s="19"/>
      <c r="H211" s="52"/>
      <c r="I211" s="52"/>
      <c r="J211" s="52"/>
    </row>
    <row r="212" spans="2:10" x14ac:dyDescent="0.35">
      <c r="B212" s="19"/>
      <c r="C212" s="19"/>
      <c r="H212" s="52"/>
      <c r="I212" s="52"/>
      <c r="J212" s="52"/>
    </row>
    <row r="213" spans="2:10" x14ac:dyDescent="0.35">
      <c r="B213" s="19"/>
      <c r="C213" s="19"/>
      <c r="H213" s="52"/>
      <c r="I213" s="52"/>
      <c r="J213" s="52"/>
    </row>
    <row r="214" spans="2:10" x14ac:dyDescent="0.35">
      <c r="B214" s="19"/>
      <c r="C214" s="19"/>
      <c r="H214" s="52"/>
      <c r="I214" s="52"/>
      <c r="J214" s="52"/>
    </row>
    <row r="215" spans="2:10" x14ac:dyDescent="0.35">
      <c r="B215" s="19"/>
      <c r="C215" s="19"/>
      <c r="H215" s="52"/>
      <c r="I215" s="52"/>
      <c r="J215" s="52"/>
    </row>
    <row r="216" spans="2:10" x14ac:dyDescent="0.35">
      <c r="B216" s="19"/>
      <c r="C216" s="19"/>
      <c r="H216" s="52"/>
      <c r="I216" s="52"/>
      <c r="J216" s="52"/>
    </row>
    <row r="217" spans="2:10" x14ac:dyDescent="0.35">
      <c r="B217" s="19"/>
      <c r="C217" s="19"/>
      <c r="H217" s="52"/>
      <c r="I217" s="52"/>
      <c r="J217" s="52"/>
    </row>
    <row r="218" spans="2:10" x14ac:dyDescent="0.35">
      <c r="B218" s="19"/>
      <c r="C218" s="19"/>
      <c r="H218" s="52"/>
      <c r="I218" s="52"/>
      <c r="J218" s="52"/>
    </row>
    <row r="219" spans="2:10" x14ac:dyDescent="0.35">
      <c r="B219" s="19"/>
      <c r="H219" s="52"/>
      <c r="I219" s="52"/>
      <c r="J219" s="52"/>
    </row>
    <row r="220" spans="2:10" x14ac:dyDescent="0.35">
      <c r="B220" s="19"/>
      <c r="H220" s="52"/>
      <c r="I220" s="52"/>
      <c r="J220" s="52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scale="50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CEDDD-8D78-4AC4-8E69-AC64F33D7CD9}">
  <dimension ref="A2:H41"/>
  <sheetViews>
    <sheetView topLeftCell="A23" workbookViewId="0">
      <selection activeCell="D5" sqref="D5"/>
    </sheetView>
  </sheetViews>
  <sheetFormatPr baseColWidth="10" defaultRowHeight="14.5" x14ac:dyDescent="0.35"/>
  <cols>
    <col min="2" max="2" width="25.453125" customWidth="1"/>
    <col min="3" max="8" width="15.7265625" customWidth="1"/>
  </cols>
  <sheetData>
    <row r="2" spans="1:8" ht="28.5" x14ac:dyDescent="0.65">
      <c r="A2" s="26" t="s">
        <v>62</v>
      </c>
      <c r="E2" s="26" t="s">
        <v>61</v>
      </c>
    </row>
    <row r="5" spans="1:8" s="124" customFormat="1" ht="15.5" x14ac:dyDescent="0.35">
      <c r="B5" s="71" t="s">
        <v>3</v>
      </c>
      <c r="C5" s="71"/>
      <c r="D5" s="108">
        <f>PL!D5</f>
        <v>46023</v>
      </c>
      <c r="E5" s="108">
        <f>PL!E5</f>
        <v>46388</v>
      </c>
      <c r="F5" s="108">
        <f>PL!F5</f>
        <v>46753</v>
      </c>
      <c r="G5" s="108">
        <f>PL!G5</f>
        <v>47119</v>
      </c>
      <c r="H5" s="108">
        <f>PL!H5</f>
        <v>47484</v>
      </c>
    </row>
    <row r="6" spans="1:8" ht="18.5" x14ac:dyDescent="0.45">
      <c r="A6" s="80"/>
      <c r="B6" s="81"/>
      <c r="C6" s="81"/>
      <c r="D6" s="80"/>
      <c r="E6" s="80"/>
      <c r="F6" s="80"/>
      <c r="G6" s="80"/>
      <c r="H6" s="80"/>
    </row>
    <row r="7" spans="1:8" ht="18.5" x14ac:dyDescent="0.45">
      <c r="A7" s="80"/>
      <c r="B7" s="83" t="s">
        <v>4</v>
      </c>
      <c r="C7" s="83"/>
      <c r="D7" s="83">
        <v>1</v>
      </c>
      <c r="E7" s="83">
        <f>1+D7</f>
        <v>2</v>
      </c>
      <c r="F7" s="83">
        <f>1+E7</f>
        <v>3</v>
      </c>
      <c r="G7" s="83">
        <f>1+F7</f>
        <v>4</v>
      </c>
      <c r="H7" s="83">
        <f>1+G7</f>
        <v>5</v>
      </c>
    </row>
    <row r="8" spans="1:8" ht="15" thickBot="1" x14ac:dyDescent="0.4"/>
    <row r="9" spans="1:8" ht="15" customHeight="1" thickBot="1" x14ac:dyDescent="0.4">
      <c r="A9" s="111"/>
      <c r="B9" s="2" t="s">
        <v>51</v>
      </c>
      <c r="C9" s="2">
        <f>PL!C10</f>
        <v>10</v>
      </c>
      <c r="D9" s="2">
        <f>PL!D10</f>
        <v>10</v>
      </c>
      <c r="E9" s="2">
        <f>PL!E10</f>
        <v>10</v>
      </c>
      <c r="F9" s="2">
        <f>PL!F10</f>
        <v>10</v>
      </c>
      <c r="G9" s="2">
        <f>PL!G10</f>
        <v>10</v>
      </c>
      <c r="H9" s="2">
        <f>PL!H10</f>
        <v>10</v>
      </c>
    </row>
    <row r="10" spans="1:8" ht="15" customHeight="1" thickBot="1" x14ac:dyDescent="0.4">
      <c r="A10" s="111"/>
      <c r="B10" s="110"/>
      <c r="C10" s="110"/>
      <c r="D10" s="110"/>
      <c r="E10" s="110"/>
      <c r="F10" s="110"/>
      <c r="G10" s="110"/>
      <c r="H10" s="110"/>
    </row>
    <row r="11" spans="1:8" ht="15" customHeight="1" thickBot="1" x14ac:dyDescent="0.4">
      <c r="A11" s="111"/>
      <c r="B11" s="2" t="s">
        <v>52</v>
      </c>
      <c r="C11" s="2">
        <f>PL!C12</f>
        <v>20</v>
      </c>
      <c r="D11" s="2"/>
      <c r="E11" s="2">
        <f>PL!E12</f>
        <v>20</v>
      </c>
      <c r="F11" s="2">
        <f>PL!F12</f>
        <v>20</v>
      </c>
      <c r="G11" s="2">
        <f>PL!G12</f>
        <v>20</v>
      </c>
      <c r="H11" s="2">
        <f>PL!H12</f>
        <v>20</v>
      </c>
    </row>
    <row r="12" spans="1:8" ht="15" customHeight="1" thickBot="1" x14ac:dyDescent="0.4">
      <c r="A12" s="111"/>
      <c r="B12" s="110"/>
      <c r="C12" s="110"/>
      <c r="D12" s="110"/>
      <c r="E12" s="110"/>
      <c r="F12" s="110"/>
      <c r="G12" s="110"/>
      <c r="H12" s="110"/>
    </row>
    <row r="13" spans="1:8" ht="15" customHeight="1" thickBot="1" x14ac:dyDescent="0.4">
      <c r="A13" s="111"/>
      <c r="B13" s="2" t="s">
        <v>53</v>
      </c>
      <c r="C13" s="2">
        <f>PL!C14</f>
        <v>20</v>
      </c>
      <c r="D13" s="2"/>
      <c r="E13" s="2"/>
      <c r="F13" s="2">
        <f>PL!F14</f>
        <v>20</v>
      </c>
      <c r="G13" s="2">
        <f>PL!G14</f>
        <v>20</v>
      </c>
      <c r="H13" s="2">
        <f>PL!H14</f>
        <v>20</v>
      </c>
    </row>
    <row r="14" spans="1:8" ht="15" customHeight="1" thickBot="1" x14ac:dyDescent="0.4">
      <c r="B14" s="53"/>
      <c r="C14" s="53"/>
      <c r="D14" s="53"/>
      <c r="E14" s="53"/>
      <c r="F14" s="53"/>
      <c r="G14" s="53"/>
      <c r="H14" s="53"/>
    </row>
    <row r="15" spans="1:8" ht="15" customHeight="1" thickBot="1" x14ac:dyDescent="0.4">
      <c r="B15" s="69" t="s">
        <v>38</v>
      </c>
      <c r="C15" s="70">
        <f>SUM(C9:C14)</f>
        <v>50</v>
      </c>
      <c r="D15" s="70">
        <f>SUM(D9:D14)</f>
        <v>10</v>
      </c>
      <c r="E15" s="70">
        <f t="shared" ref="E15:H15" si="0">SUM(E9:E14)</f>
        <v>30</v>
      </c>
      <c r="F15" s="70">
        <f t="shared" si="0"/>
        <v>50</v>
      </c>
      <c r="G15" s="70">
        <f t="shared" si="0"/>
        <v>50</v>
      </c>
      <c r="H15" s="70">
        <f t="shared" si="0"/>
        <v>50</v>
      </c>
    </row>
    <row r="16" spans="1:8" x14ac:dyDescent="0.35">
      <c r="B16" s="27"/>
      <c r="C16" s="27"/>
    </row>
    <row r="17" spans="2:8" ht="26" x14ac:dyDescent="0.6">
      <c r="B17" s="68" t="s">
        <v>71</v>
      </c>
      <c r="C17" s="27"/>
    </row>
    <row r="18" spans="2:8" ht="15" thickBot="1" x14ac:dyDescent="0.4">
      <c r="B18" s="27"/>
      <c r="C18" s="27"/>
    </row>
    <row r="19" spans="2:8" ht="21.5" thickBot="1" x14ac:dyDescent="0.4">
      <c r="B19" s="125"/>
      <c r="C19" s="125"/>
      <c r="D19" s="2" t="s">
        <v>66</v>
      </c>
      <c r="E19" s="2" t="s">
        <v>67</v>
      </c>
      <c r="F19" s="2" t="s">
        <v>68</v>
      </c>
      <c r="G19" s="2" t="s">
        <v>69</v>
      </c>
      <c r="H19" s="2" t="s">
        <v>70</v>
      </c>
    </row>
    <row r="20" spans="2:8" ht="17.5" thickBot="1" x14ac:dyDescent="0.45">
      <c r="B20" s="126" t="str">
        <f>[3]libel!$C$140</f>
        <v>Tréso début de période</v>
      </c>
      <c r="C20" s="129"/>
      <c r="D20" s="127">
        <f t="shared" ref="D20:H21" si="1">(D$9*D30+D$11*D35+D$13*D40)</f>
        <v>0</v>
      </c>
      <c r="E20" s="127">
        <f t="shared" si="1"/>
        <v>131.85041930938581</v>
      </c>
      <c r="F20" s="127">
        <f t="shared" si="1"/>
        <v>532.44506449681239</v>
      </c>
      <c r="G20" s="127">
        <f t="shared" si="1"/>
        <v>1354.1280421469219</v>
      </c>
      <c r="H20" s="127">
        <f t="shared" si="1"/>
        <v>2836.6211078647448</v>
      </c>
    </row>
    <row r="21" spans="2:8" ht="17.5" thickBot="1" x14ac:dyDescent="0.45">
      <c r="B21" s="126" t="s">
        <v>65</v>
      </c>
      <c r="C21" s="129"/>
      <c r="D21" s="127">
        <f t="shared" si="1"/>
        <v>131.85041930938581</v>
      </c>
      <c r="E21" s="127">
        <f t="shared" si="1"/>
        <v>532.44506449681239</v>
      </c>
      <c r="F21" s="127">
        <f t="shared" si="1"/>
        <v>1354.1280421469219</v>
      </c>
      <c r="G21" s="127">
        <f t="shared" si="1"/>
        <v>2836.621107864743</v>
      </c>
      <c r="H21" s="127">
        <f t="shared" si="1"/>
        <v>5557.8065818126142</v>
      </c>
    </row>
    <row r="22" spans="2:8" x14ac:dyDescent="0.35">
      <c r="B22" s="27"/>
      <c r="C22" s="27"/>
    </row>
    <row r="23" spans="2:8" x14ac:dyDescent="0.35">
      <c r="B23" s="27"/>
      <c r="C23" s="27"/>
    </row>
    <row r="24" spans="2:8" x14ac:dyDescent="0.35">
      <c r="B24" s="27"/>
      <c r="C24" s="27"/>
    </row>
    <row r="25" spans="2:8" ht="26" x14ac:dyDescent="0.6">
      <c r="B25" s="68" t="s">
        <v>98</v>
      </c>
      <c r="C25" s="27"/>
    </row>
    <row r="26" spans="2:8" x14ac:dyDescent="0.35">
      <c r="B26" s="27"/>
      <c r="C26" s="27"/>
    </row>
    <row r="27" spans="2:8" x14ac:dyDescent="0.35">
      <c r="B27" s="27"/>
      <c r="C27" s="27"/>
    </row>
    <row r="28" spans="2:8" ht="19" thickBot="1" x14ac:dyDescent="0.5">
      <c r="B28" s="79" t="s">
        <v>39</v>
      </c>
      <c r="C28" s="27"/>
    </row>
    <row r="29" spans="2:8" ht="15" customHeight="1" thickBot="1" x14ac:dyDescent="0.4">
      <c r="B29" s="125"/>
      <c r="C29" s="125"/>
      <c r="D29" s="2" t="s">
        <v>66</v>
      </c>
      <c r="E29" s="2" t="s">
        <v>67</v>
      </c>
      <c r="F29" s="2" t="s">
        <v>68</v>
      </c>
      <c r="G29" s="2" t="s">
        <v>69</v>
      </c>
      <c r="H29" s="2" t="s">
        <v>70</v>
      </c>
    </row>
    <row r="30" spans="2:8" ht="15" customHeight="1" thickBot="1" x14ac:dyDescent="0.45">
      <c r="B30" s="126" t="str">
        <f>[3]libel!$C$140</f>
        <v>Tréso début de période</v>
      </c>
      <c r="C30" s="129"/>
      <c r="D30" s="127">
        <f>[3]tréso!B$9/1000000</f>
        <v>0</v>
      </c>
      <c r="E30" s="127">
        <f>[3]tréso!C$9/1000000</f>
        <v>13.185041930938581</v>
      </c>
      <c r="F30" s="127">
        <f>[3]tréso!D$9/1000000</f>
        <v>26.874422587804077</v>
      </c>
      <c r="G30" s="127">
        <f>[3]tréso!E$9/1000000</f>
        <v>55.293875177206885</v>
      </c>
      <c r="H30" s="128">
        <f>[1]tréso!$E$9/1000000</f>
        <v>119.32551525645253</v>
      </c>
    </row>
    <row r="31" spans="2:8" ht="15" customHeight="1" thickBot="1" x14ac:dyDescent="0.45">
      <c r="B31" s="126" t="s">
        <v>65</v>
      </c>
      <c r="C31" s="129"/>
      <c r="D31" s="127">
        <f>[3]tréso!B$39/1000000</f>
        <v>13.185041930938581</v>
      </c>
      <c r="E31" s="127">
        <f>[3]tréso!C$39/1000000</f>
        <v>26.874422587804077</v>
      </c>
      <c r="F31" s="127">
        <f>[3]tréso!D$39/1000000</f>
        <v>55.293875177206885</v>
      </c>
      <c r="G31" s="127">
        <f>[3]tréso!E$39/1000000</f>
        <v>119.32551525645239</v>
      </c>
      <c r="H31" s="128">
        <f>[1]tréso!$E$39/1000000</f>
        <v>206.54187731394282</v>
      </c>
    </row>
    <row r="32" spans="2:8" ht="15" customHeight="1" x14ac:dyDescent="0.35"/>
    <row r="33" spans="2:8" ht="15" customHeight="1" thickBot="1" x14ac:dyDescent="0.5">
      <c r="B33" s="79" t="s">
        <v>40</v>
      </c>
    </row>
    <row r="34" spans="2:8" ht="15" customHeight="1" thickBot="1" x14ac:dyDescent="0.4">
      <c r="B34" s="130"/>
      <c r="E34" s="2" t="s">
        <v>66</v>
      </c>
      <c r="F34" s="2" t="s">
        <v>67</v>
      </c>
      <c r="G34" s="2" t="s">
        <v>68</v>
      </c>
      <c r="H34" s="2" t="s">
        <v>69</v>
      </c>
    </row>
    <row r="35" spans="2:8" ht="15" customHeight="1" thickBot="1" x14ac:dyDescent="0.45">
      <c r="B35" s="131" t="str">
        <f>[3]libel!$C$140</f>
        <v>Tréso début de période</v>
      </c>
      <c r="E35" s="127">
        <f t="shared" ref="E35:H36" si="2">D30</f>
        <v>0</v>
      </c>
      <c r="F35" s="127">
        <f t="shared" si="2"/>
        <v>13.185041930938581</v>
      </c>
      <c r="G35" s="127">
        <f t="shared" si="2"/>
        <v>26.874422587804077</v>
      </c>
      <c r="H35" s="127">
        <f t="shared" si="2"/>
        <v>55.293875177206885</v>
      </c>
    </row>
    <row r="36" spans="2:8" ht="15" customHeight="1" thickBot="1" x14ac:dyDescent="0.45">
      <c r="B36" s="131" t="s">
        <v>65</v>
      </c>
      <c r="E36" s="127">
        <f t="shared" si="2"/>
        <v>13.185041930938581</v>
      </c>
      <c r="F36" s="127">
        <f t="shared" si="2"/>
        <v>26.874422587804077</v>
      </c>
      <c r="G36" s="127">
        <f t="shared" si="2"/>
        <v>55.293875177206885</v>
      </c>
      <c r="H36" s="127">
        <f t="shared" si="2"/>
        <v>119.32551525645239</v>
      </c>
    </row>
    <row r="37" spans="2:8" ht="15" customHeight="1" x14ac:dyDescent="0.35"/>
    <row r="38" spans="2:8" ht="15" customHeight="1" thickBot="1" x14ac:dyDescent="0.5">
      <c r="B38" s="79" t="s">
        <v>41</v>
      </c>
    </row>
    <row r="39" spans="2:8" ht="15" customHeight="1" thickBot="1" x14ac:dyDescent="0.4">
      <c r="B39" s="130"/>
      <c r="F39" s="2" t="s">
        <v>66</v>
      </c>
      <c r="G39" s="2" t="s">
        <v>67</v>
      </c>
      <c r="H39" s="2" t="s">
        <v>68</v>
      </c>
    </row>
    <row r="40" spans="2:8" ht="15" customHeight="1" thickBot="1" x14ac:dyDescent="0.45">
      <c r="B40" s="131" t="str">
        <f>[3]libel!$C$140</f>
        <v>Tréso début de période</v>
      </c>
      <c r="F40" s="127">
        <f>E35</f>
        <v>0</v>
      </c>
      <c r="G40" s="127">
        <f t="shared" ref="G40:H40" si="3">F35</f>
        <v>13.185041930938581</v>
      </c>
      <c r="H40" s="127">
        <f t="shared" si="3"/>
        <v>26.874422587804077</v>
      </c>
    </row>
    <row r="41" spans="2:8" ht="15" customHeight="1" thickBot="1" x14ac:dyDescent="0.45">
      <c r="B41" s="131" t="s">
        <v>65</v>
      </c>
      <c r="F41" s="127">
        <f>E36</f>
        <v>13.185041930938581</v>
      </c>
      <c r="G41" s="127">
        <f t="shared" ref="G41:H41" si="4">F36</f>
        <v>26.874422587804077</v>
      </c>
      <c r="H41" s="127">
        <f t="shared" si="4"/>
        <v>55.293875177206885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3747C-954D-4AFD-B91C-9E8E40303F7B}">
  <dimension ref="A1:J102"/>
  <sheetViews>
    <sheetView topLeftCell="B13" workbookViewId="0">
      <selection activeCell="D20" sqref="D20"/>
    </sheetView>
  </sheetViews>
  <sheetFormatPr baseColWidth="10" defaultRowHeight="14.5" x14ac:dyDescent="0.35"/>
  <cols>
    <col min="2" max="2" width="35.453125" customWidth="1"/>
    <col min="3" max="10" width="15.7265625" customWidth="1"/>
  </cols>
  <sheetData>
    <row r="1" spans="1:10" ht="28.5" x14ac:dyDescent="0.65">
      <c r="A1" s="26" t="s">
        <v>62</v>
      </c>
      <c r="D1" s="68" t="s">
        <v>79</v>
      </c>
    </row>
    <row r="2" spans="1:10" ht="26" x14ac:dyDescent="0.6">
      <c r="C2" s="68"/>
    </row>
    <row r="4" spans="1:10" s="152" customFormat="1" ht="15.5" x14ac:dyDescent="0.35">
      <c r="B4" s="153" t="s">
        <v>4</v>
      </c>
      <c r="C4" s="153"/>
      <c r="D4" s="153">
        <v>1</v>
      </c>
      <c r="E4" s="153">
        <f>1+D4</f>
        <v>2</v>
      </c>
      <c r="F4" s="153">
        <f>1+E4</f>
        <v>3</v>
      </c>
      <c r="G4" s="153">
        <f>1+F4</f>
        <v>4</v>
      </c>
      <c r="H4" s="153">
        <f t="shared" ref="H4:J4" si="0">1+G4</f>
        <v>5</v>
      </c>
      <c r="I4" s="153">
        <f t="shared" si="0"/>
        <v>6</v>
      </c>
      <c r="J4" s="153">
        <f t="shared" si="0"/>
        <v>7</v>
      </c>
    </row>
    <row r="5" spans="1:10" ht="18.5" x14ac:dyDescent="0.45">
      <c r="B5" s="83"/>
      <c r="C5" s="83"/>
      <c r="D5" s="83"/>
      <c r="E5" s="83"/>
      <c r="F5" s="83"/>
      <c r="G5" s="83"/>
    </row>
    <row r="6" spans="1:10" ht="18.5" x14ac:dyDescent="0.45">
      <c r="B6" s="83"/>
      <c r="C6" s="83"/>
      <c r="D6" s="83"/>
      <c r="E6" s="83"/>
      <c r="F6" s="83"/>
      <c r="G6" s="83"/>
    </row>
    <row r="7" spans="1:10" ht="15.5" x14ac:dyDescent="0.35">
      <c r="B7" s="71"/>
      <c r="C7" s="71"/>
    </row>
    <row r="8" spans="1:10" ht="15.65" customHeight="1" thickBot="1" x14ac:dyDescent="0.4"/>
    <row r="9" spans="1:10" ht="15.65" customHeight="1" thickBot="1" x14ac:dyDescent="0.4">
      <c r="B9" s="1" t="s">
        <v>51</v>
      </c>
      <c r="C9" s="1">
        <f>PL!C10</f>
        <v>10</v>
      </c>
      <c r="D9" s="2">
        <f>$C9</f>
        <v>10</v>
      </c>
      <c r="E9" s="2">
        <f>D9</f>
        <v>10</v>
      </c>
      <c r="F9" s="2">
        <f t="shared" ref="F9:J9" si="1">E9</f>
        <v>10</v>
      </c>
      <c r="G9" s="2">
        <f t="shared" si="1"/>
        <v>10</v>
      </c>
      <c r="H9" s="2">
        <f t="shared" si="1"/>
        <v>10</v>
      </c>
      <c r="I9" s="2">
        <f t="shared" si="1"/>
        <v>10</v>
      </c>
      <c r="J9" s="2">
        <f t="shared" si="1"/>
        <v>10</v>
      </c>
    </row>
    <row r="10" spans="1:10" ht="15.65" customHeight="1" thickBot="1" x14ac:dyDescent="0.4">
      <c r="B10" s="53"/>
      <c r="C10" s="53"/>
      <c r="D10" s="53"/>
      <c r="E10" s="53"/>
      <c r="F10" s="53"/>
      <c r="G10" s="53"/>
      <c r="H10" s="53"/>
      <c r="I10" s="53"/>
      <c r="J10" s="53"/>
    </row>
    <row r="11" spans="1:10" ht="15.65" customHeight="1" thickBot="1" x14ac:dyDescent="0.4">
      <c r="B11" s="1" t="s">
        <v>52</v>
      </c>
      <c r="C11" s="1">
        <f>PL!C12</f>
        <v>20</v>
      </c>
      <c r="D11" s="2"/>
      <c r="E11" s="2">
        <f>$C11</f>
        <v>20</v>
      </c>
      <c r="F11" s="2">
        <f>E11</f>
        <v>20</v>
      </c>
      <c r="G11" s="2">
        <f t="shared" ref="G11:J11" si="2">F11</f>
        <v>20</v>
      </c>
      <c r="H11" s="2">
        <f t="shared" si="2"/>
        <v>20</v>
      </c>
      <c r="I11" s="2">
        <f t="shared" si="2"/>
        <v>20</v>
      </c>
      <c r="J11" s="2">
        <f t="shared" si="2"/>
        <v>20</v>
      </c>
    </row>
    <row r="12" spans="1:10" ht="15.65" customHeight="1" thickBot="1" x14ac:dyDescent="0.4">
      <c r="B12" s="53"/>
      <c r="C12" s="53"/>
      <c r="D12" s="53"/>
      <c r="E12" s="53"/>
      <c r="F12" s="53"/>
      <c r="G12" s="53"/>
      <c r="H12" s="53"/>
      <c r="I12" s="53"/>
      <c r="J12" s="53"/>
    </row>
    <row r="13" spans="1:10" ht="15.65" customHeight="1" thickBot="1" x14ac:dyDescent="0.4">
      <c r="B13" s="1" t="s">
        <v>53</v>
      </c>
      <c r="C13" s="1">
        <f>PL!C14</f>
        <v>20</v>
      </c>
      <c r="D13" s="2"/>
      <c r="E13" s="2"/>
      <c r="F13" s="2">
        <f>$C13</f>
        <v>20</v>
      </c>
      <c r="G13" s="2">
        <f t="shared" ref="G13:J13" si="3">F13</f>
        <v>20</v>
      </c>
      <c r="H13" s="2">
        <f t="shared" si="3"/>
        <v>20</v>
      </c>
      <c r="I13" s="2">
        <f t="shared" si="3"/>
        <v>20</v>
      </c>
      <c r="J13" s="2">
        <f t="shared" si="3"/>
        <v>20</v>
      </c>
    </row>
    <row r="14" spans="1:10" ht="15.65" customHeight="1" thickBot="1" x14ac:dyDescent="0.4">
      <c r="B14" s="53"/>
      <c r="C14" s="53"/>
      <c r="D14" s="53"/>
      <c r="E14" s="53"/>
      <c r="F14" s="53"/>
      <c r="G14" s="53"/>
      <c r="H14" s="53"/>
      <c r="I14" s="53"/>
      <c r="J14" s="53"/>
    </row>
    <row r="15" spans="1:10" ht="15.65" customHeight="1" thickBot="1" x14ac:dyDescent="0.4">
      <c r="B15" s="69" t="s">
        <v>38</v>
      </c>
      <c r="C15" s="70">
        <f>SUM(C9:C14)</f>
        <v>50</v>
      </c>
      <c r="D15" s="70">
        <f>SUM(D9:D14)</f>
        <v>10</v>
      </c>
      <c r="E15" s="70">
        <f t="shared" ref="E15:J15" si="4">SUM(E9:E14)</f>
        <v>30</v>
      </c>
      <c r="F15" s="70">
        <f t="shared" si="4"/>
        <v>50</v>
      </c>
      <c r="G15" s="70">
        <f t="shared" si="4"/>
        <v>50</v>
      </c>
      <c r="H15" s="70">
        <f t="shared" si="4"/>
        <v>50</v>
      </c>
      <c r="I15" s="70">
        <f t="shared" si="4"/>
        <v>50</v>
      </c>
      <c r="J15" s="70">
        <f t="shared" si="4"/>
        <v>50</v>
      </c>
    </row>
    <row r="16" spans="1:10" ht="16.5" customHeight="1" x14ac:dyDescent="0.35"/>
    <row r="17" spans="2:10" ht="26.25" customHeight="1" x14ac:dyDescent="0.65">
      <c r="B17" s="26" t="s">
        <v>74</v>
      </c>
      <c r="C17" s="26"/>
    </row>
    <row r="18" spans="2:10" ht="16.5" customHeight="1" x14ac:dyDescent="0.35"/>
    <row r="19" spans="2:10" ht="16.5" customHeight="1" x14ac:dyDescent="0.35">
      <c r="B19" s="112" t="s">
        <v>4</v>
      </c>
      <c r="C19" s="112" t="s">
        <v>54</v>
      </c>
      <c r="D19" s="113">
        <f>D34</f>
        <v>1</v>
      </c>
      <c r="E19" s="113">
        <f t="shared" ref="E19:G19" si="5">E34</f>
        <v>2</v>
      </c>
      <c r="F19" s="113">
        <f t="shared" si="5"/>
        <v>3</v>
      </c>
      <c r="G19" s="113">
        <f t="shared" si="5"/>
        <v>4</v>
      </c>
      <c r="H19" s="113">
        <f t="shared" ref="H19:J19" si="6">H34</f>
        <v>5</v>
      </c>
      <c r="I19" s="113">
        <f t="shared" si="6"/>
        <v>6</v>
      </c>
      <c r="J19" s="113">
        <f t="shared" si="6"/>
        <v>7</v>
      </c>
    </row>
    <row r="20" spans="2:10" ht="16.5" customHeight="1" x14ac:dyDescent="0.35">
      <c r="B20" s="114" t="s">
        <v>44</v>
      </c>
      <c r="C20" s="102">
        <f>SUM(D20:J20)</f>
        <v>12419.124999999996</v>
      </c>
      <c r="D20" s="102">
        <f t="shared" ref="D20:J20" si="7">(D$9*D36+D$11*D47+D$13*D58)/1000000</f>
        <v>2483.8249999999994</v>
      </c>
      <c r="E20" s="115">
        <f t="shared" si="7"/>
        <v>4967.6499999999987</v>
      </c>
      <c r="F20" s="115">
        <f t="shared" si="7"/>
        <v>4967.6499999999987</v>
      </c>
      <c r="G20" s="116">
        <f t="shared" si="7"/>
        <v>0</v>
      </c>
      <c r="H20" s="116">
        <f t="shared" si="7"/>
        <v>0</v>
      </c>
      <c r="I20" s="116">
        <f t="shared" si="7"/>
        <v>0</v>
      </c>
      <c r="J20" s="116">
        <f t="shared" si="7"/>
        <v>0</v>
      </c>
    </row>
    <row r="21" spans="2:10" ht="16.5" customHeight="1" x14ac:dyDescent="0.35">
      <c r="B21" s="114" t="s">
        <v>55</v>
      </c>
      <c r="C21" s="103">
        <f>C20</f>
        <v>12419.124999999996</v>
      </c>
      <c r="D21" s="103">
        <f>D20</f>
        <v>2483.8249999999994</v>
      </c>
      <c r="E21" s="103">
        <f t="shared" ref="E21:G21" si="8">D21+E20</f>
        <v>7451.4749999999985</v>
      </c>
      <c r="F21" s="103">
        <f t="shared" si="8"/>
        <v>12419.124999999996</v>
      </c>
      <c r="G21" s="116">
        <f t="shared" si="8"/>
        <v>12419.124999999996</v>
      </c>
      <c r="H21" s="116">
        <f t="shared" ref="H21" si="9">G21+H20</f>
        <v>12419.124999999996</v>
      </c>
      <c r="I21" s="116">
        <f t="shared" ref="I21" si="10">H21+I20</f>
        <v>12419.124999999996</v>
      </c>
      <c r="J21" s="116">
        <f t="shared" ref="J21" si="11">I21+J20</f>
        <v>12419.124999999996</v>
      </c>
    </row>
    <row r="22" spans="2:10" ht="16.5" customHeight="1" x14ac:dyDescent="0.35">
      <c r="B22" s="117" t="s">
        <v>45</v>
      </c>
      <c r="C22" s="118">
        <f>SUM(D22:J22)</f>
        <v>17419.125</v>
      </c>
      <c r="D22" s="118">
        <f t="shared" ref="D22:J22" si="12">(D$9*D37+D$11*D48+D$13*D59)/1000000</f>
        <v>3483.8249999999998</v>
      </c>
      <c r="E22" s="118">
        <f t="shared" si="12"/>
        <v>6967.65</v>
      </c>
      <c r="F22" s="118">
        <f t="shared" si="12"/>
        <v>6967.65</v>
      </c>
      <c r="G22" s="119">
        <f t="shared" si="12"/>
        <v>0</v>
      </c>
      <c r="H22" s="119">
        <f t="shared" si="12"/>
        <v>0</v>
      </c>
      <c r="I22" s="119">
        <f t="shared" si="12"/>
        <v>0</v>
      </c>
      <c r="J22" s="119">
        <f t="shared" si="12"/>
        <v>0</v>
      </c>
    </row>
    <row r="23" spans="2:10" ht="16.5" customHeight="1" x14ac:dyDescent="0.35">
      <c r="B23" s="120" t="s">
        <v>58</v>
      </c>
      <c r="C23" s="121">
        <f>J23</f>
        <v>17419.125</v>
      </c>
      <c r="D23" s="121">
        <f>D22</f>
        <v>3483.8249999999998</v>
      </c>
      <c r="E23" s="121">
        <f>D23+E22</f>
        <v>10451.474999999999</v>
      </c>
      <c r="F23" s="121">
        <f t="shared" ref="F23" si="13">E23+F22</f>
        <v>17419.125</v>
      </c>
      <c r="G23" s="122">
        <f t="shared" ref="G23" si="14">F23+G22</f>
        <v>17419.125</v>
      </c>
      <c r="H23" s="122">
        <f t="shared" ref="H23" si="15">G23+H22</f>
        <v>17419.125</v>
      </c>
      <c r="I23" s="122">
        <f t="shared" ref="I23" si="16">H23+I22</f>
        <v>17419.125</v>
      </c>
      <c r="J23" s="122">
        <f t="shared" ref="J23" si="17">I23+J22</f>
        <v>17419.125</v>
      </c>
    </row>
    <row r="24" spans="2:10" ht="16.5" customHeight="1" x14ac:dyDescent="0.35">
      <c r="B24" s="120" t="s">
        <v>46</v>
      </c>
      <c r="C24" s="121">
        <f>SUM(D24:J24)</f>
        <v>5986.0899999999974</v>
      </c>
      <c r="D24" s="121">
        <f t="shared" ref="D24:J24" si="18">(D$9*D38+D$11*D49+D$13*D60)/1000000</f>
        <v>0</v>
      </c>
      <c r="E24" s="121">
        <f t="shared" si="18"/>
        <v>257.85166666666657</v>
      </c>
      <c r="F24" s="121">
        <f t="shared" si="18"/>
        <v>773.55499999999972</v>
      </c>
      <c r="G24" s="122">
        <f t="shared" si="18"/>
        <v>1289.258333333333</v>
      </c>
      <c r="H24" s="122">
        <f t="shared" si="18"/>
        <v>1266.7749999999999</v>
      </c>
      <c r="I24" s="122">
        <f t="shared" si="18"/>
        <v>1221.8083333333329</v>
      </c>
      <c r="J24" s="122">
        <f t="shared" si="18"/>
        <v>1176.8416666666665</v>
      </c>
    </row>
    <row r="25" spans="2:10" ht="16.5" customHeight="1" x14ac:dyDescent="0.35">
      <c r="B25" s="120" t="s">
        <v>59</v>
      </c>
      <c r="C25" s="121">
        <f>J25</f>
        <v>5986.0899999999974</v>
      </c>
      <c r="D25" s="121">
        <f>D24</f>
        <v>0</v>
      </c>
      <c r="E25" s="121">
        <f>D25+E24</f>
        <v>257.85166666666657</v>
      </c>
      <c r="F25" s="121">
        <f t="shared" ref="F25:G25" si="19">E25+F24</f>
        <v>1031.4066666666663</v>
      </c>
      <c r="G25" s="122">
        <f t="shared" si="19"/>
        <v>2320.6649999999991</v>
      </c>
      <c r="H25" s="122">
        <f t="shared" ref="H25" si="20">G25+H24</f>
        <v>3587.4399999999987</v>
      </c>
      <c r="I25" s="122">
        <f t="shared" ref="I25" si="21">H25+I24</f>
        <v>4809.2483333333312</v>
      </c>
      <c r="J25" s="122">
        <f t="shared" ref="J25" si="22">I25+J24</f>
        <v>5986.0899999999974</v>
      </c>
    </row>
    <row r="26" spans="2:10" ht="16.5" hidden="1" customHeight="1" x14ac:dyDescent="0.35">
      <c r="B26" s="120" t="s">
        <v>48</v>
      </c>
      <c r="C26" s="121">
        <f t="shared" ref="C26" si="23">SUM(D26:G26)</f>
        <v>12419.124999999996</v>
      </c>
      <c r="D26" s="121">
        <f t="shared" ref="D26:J28" si="24">(D$9*D40+D$11*D51+D$13*D62)/1000000</f>
        <v>2483.8249999999994</v>
      </c>
      <c r="E26" s="121">
        <f t="shared" si="24"/>
        <v>4967.6499999999987</v>
      </c>
      <c r="F26" s="121">
        <f t="shared" si="24"/>
        <v>4967.6499999999987</v>
      </c>
      <c r="G26" s="122">
        <f t="shared" si="24"/>
        <v>0</v>
      </c>
      <c r="H26" s="122">
        <f t="shared" si="24"/>
        <v>0</v>
      </c>
      <c r="I26" s="122">
        <f t="shared" si="24"/>
        <v>0</v>
      </c>
      <c r="J26" s="122">
        <f t="shared" si="24"/>
        <v>0</v>
      </c>
    </row>
    <row r="27" spans="2:10" ht="16.5" customHeight="1" x14ac:dyDescent="0.35">
      <c r="B27" s="120" t="s">
        <v>49</v>
      </c>
      <c r="C27" s="118">
        <f>SUM(D27:J27)</f>
        <v>12077.125</v>
      </c>
      <c r="D27" s="118">
        <f t="shared" si="24"/>
        <v>2415.4249999999997</v>
      </c>
      <c r="E27" s="118">
        <f t="shared" si="24"/>
        <v>4830.8499999999995</v>
      </c>
      <c r="F27" s="118">
        <f t="shared" si="24"/>
        <v>4830.8499999999995</v>
      </c>
      <c r="G27" s="119">
        <f t="shared" si="24"/>
        <v>0</v>
      </c>
      <c r="H27" s="119">
        <f t="shared" si="24"/>
        <v>0</v>
      </c>
      <c r="I27" s="119">
        <f t="shared" si="24"/>
        <v>0</v>
      </c>
      <c r="J27" s="119">
        <f t="shared" si="24"/>
        <v>0</v>
      </c>
    </row>
    <row r="28" spans="2:10" ht="16.5" customHeight="1" x14ac:dyDescent="0.35">
      <c r="B28" s="120" t="s">
        <v>50</v>
      </c>
      <c r="C28" s="121">
        <f>SUM(D28:J28)</f>
        <v>342</v>
      </c>
      <c r="D28" s="121">
        <f t="shared" si="24"/>
        <v>68.400000000000006</v>
      </c>
      <c r="E28" s="121">
        <f t="shared" si="24"/>
        <v>136.80000000000001</v>
      </c>
      <c r="F28" s="121">
        <f t="shared" si="24"/>
        <v>136.80000000000001</v>
      </c>
      <c r="G28" s="122">
        <f t="shared" si="24"/>
        <v>0</v>
      </c>
      <c r="H28" s="122">
        <f t="shared" si="24"/>
        <v>0</v>
      </c>
      <c r="I28" s="122">
        <f t="shared" si="24"/>
        <v>0</v>
      </c>
      <c r="J28" s="122">
        <f t="shared" si="24"/>
        <v>0</v>
      </c>
    </row>
    <row r="29" spans="2:10" ht="16.5" customHeight="1" x14ac:dyDescent="0.35"/>
    <row r="31" spans="2:10" ht="26" x14ac:dyDescent="0.6">
      <c r="B31" s="136" t="s">
        <v>57</v>
      </c>
      <c r="C31" s="68"/>
    </row>
    <row r="34" spans="2:10" ht="18.5" x14ac:dyDescent="0.35">
      <c r="B34" s="86" t="s">
        <v>39</v>
      </c>
      <c r="C34" s="86"/>
      <c r="D34" s="73">
        <f>PL!D4</f>
        <v>1</v>
      </c>
      <c r="E34" s="73">
        <f>PL!E4</f>
        <v>2</v>
      </c>
      <c r="F34" s="73">
        <f>PL!F4</f>
        <v>3</v>
      </c>
      <c r="G34" s="73">
        <f>PL!G4</f>
        <v>4</v>
      </c>
      <c r="H34" s="73">
        <f>PL!H$4</f>
        <v>5</v>
      </c>
      <c r="I34" s="73">
        <f>PL!I$4</f>
        <v>6</v>
      </c>
      <c r="J34" s="73">
        <f>PL!J$4</f>
        <v>7</v>
      </c>
    </row>
    <row r="36" spans="2:10" x14ac:dyDescent="0.35">
      <c r="B36" s="87" t="s">
        <v>44</v>
      </c>
      <c r="C36" s="87"/>
      <c r="D36" s="88">
        <f>[3]invest!R225</f>
        <v>248382499.99999997</v>
      </c>
      <c r="E36" s="88">
        <f>[3]invest!S225</f>
        <v>0</v>
      </c>
      <c r="F36" s="88">
        <f>[3]invest!T225</f>
        <v>0</v>
      </c>
      <c r="G36" s="89">
        <f>[3]invest!U225</f>
        <v>0</v>
      </c>
      <c r="H36" s="89">
        <f>G36</f>
        <v>0</v>
      </c>
      <c r="I36" s="89">
        <f t="shared" ref="I36:J36" si="25">H36</f>
        <v>0</v>
      </c>
      <c r="J36" s="89">
        <f t="shared" si="25"/>
        <v>0</v>
      </c>
    </row>
    <row r="37" spans="2:10" x14ac:dyDescent="0.35">
      <c r="B37" s="90" t="s">
        <v>45</v>
      </c>
      <c r="C37" s="90"/>
      <c r="D37" s="91">
        <f>[3]invest!R226</f>
        <v>348382500</v>
      </c>
      <c r="E37" s="91">
        <f>[3]invest!S226</f>
        <v>0</v>
      </c>
      <c r="F37" s="91">
        <f>[3]invest!T226</f>
        <v>0</v>
      </c>
      <c r="G37" s="92">
        <f>[3]invest!U226</f>
        <v>0</v>
      </c>
      <c r="H37" s="92">
        <f t="shared" ref="H37:J37" si="26">G37</f>
        <v>0</v>
      </c>
      <c r="I37" s="92">
        <f t="shared" si="26"/>
        <v>0</v>
      </c>
      <c r="J37" s="92">
        <f t="shared" si="26"/>
        <v>0</v>
      </c>
    </row>
    <row r="38" spans="2:10" x14ac:dyDescent="0.35">
      <c r="B38" s="87" t="s">
        <v>46</v>
      </c>
      <c r="C38" s="87"/>
      <c r="D38" s="88">
        <f>[3]invest!R227</f>
        <v>0</v>
      </c>
      <c r="E38" s="88">
        <f>[3]invest!S227</f>
        <v>25785166.66666666</v>
      </c>
      <c r="F38" s="88">
        <f>[3]invest!T227</f>
        <v>25785166.66666666</v>
      </c>
      <c r="G38" s="89">
        <f>[3]invest!U227</f>
        <v>25785166.66666666</v>
      </c>
      <c r="H38" s="89">
        <f>[1]invest!$U$227</f>
        <v>23536833.333333328</v>
      </c>
      <c r="I38" s="89">
        <f t="shared" ref="I38:J38" si="27">H38</f>
        <v>23536833.333333328</v>
      </c>
      <c r="J38" s="89">
        <f t="shared" si="27"/>
        <v>23536833.333333328</v>
      </c>
    </row>
    <row r="39" spans="2:10" hidden="1" x14ac:dyDescent="0.35">
      <c r="B39" s="87" t="s">
        <v>47</v>
      </c>
      <c r="C39" s="87"/>
      <c r="D39" s="88">
        <f>[3]invest!R228</f>
        <v>248382499.99999997</v>
      </c>
      <c r="E39" s="88">
        <f>[3]invest!S228</f>
        <v>0</v>
      </c>
      <c r="F39" s="88">
        <f>[3]invest!T228</f>
        <v>0</v>
      </c>
      <c r="G39" s="89">
        <f>[3]invest!U228</f>
        <v>0</v>
      </c>
      <c r="H39" s="89">
        <f t="shared" ref="H39:J39" si="28">G39</f>
        <v>0</v>
      </c>
      <c r="I39" s="89">
        <f t="shared" si="28"/>
        <v>0</v>
      </c>
      <c r="J39" s="89">
        <f t="shared" si="28"/>
        <v>0</v>
      </c>
    </row>
    <row r="40" spans="2:10" hidden="1" x14ac:dyDescent="0.35">
      <c r="B40" s="87" t="s">
        <v>48</v>
      </c>
      <c r="C40" s="87"/>
      <c r="D40" s="88">
        <f>[3]invest!R229</f>
        <v>248382499.99999997</v>
      </c>
      <c r="E40" s="88">
        <f>[3]invest!S229</f>
        <v>0</v>
      </c>
      <c r="F40" s="88">
        <f>[3]invest!T229</f>
        <v>0</v>
      </c>
      <c r="G40" s="89">
        <f>[3]invest!U229</f>
        <v>0</v>
      </c>
      <c r="H40" s="89">
        <f t="shared" ref="H40:J40" si="29">G40</f>
        <v>0</v>
      </c>
      <c r="I40" s="89">
        <f t="shared" si="29"/>
        <v>0</v>
      </c>
      <c r="J40" s="89">
        <f t="shared" si="29"/>
        <v>0</v>
      </c>
    </row>
    <row r="41" spans="2:10" x14ac:dyDescent="0.35">
      <c r="B41" s="87" t="s">
        <v>49</v>
      </c>
      <c r="C41" s="87"/>
      <c r="D41" s="91">
        <f>[3]invest!R230</f>
        <v>241542499.99999997</v>
      </c>
      <c r="E41" s="91">
        <f>[3]invest!S230</f>
        <v>0</v>
      </c>
      <c r="F41" s="91">
        <f>[3]invest!T230</f>
        <v>0</v>
      </c>
      <c r="G41" s="92">
        <f>[3]invest!U230</f>
        <v>0</v>
      </c>
      <c r="H41" s="92">
        <f t="shared" ref="H41:J41" si="30">G41</f>
        <v>0</v>
      </c>
      <c r="I41" s="92">
        <f t="shared" si="30"/>
        <v>0</v>
      </c>
      <c r="J41" s="92">
        <f t="shared" si="30"/>
        <v>0</v>
      </c>
    </row>
    <row r="42" spans="2:10" x14ac:dyDescent="0.35">
      <c r="B42" s="87" t="s">
        <v>50</v>
      </c>
      <c r="C42" s="87"/>
      <c r="D42" s="88">
        <f>[3]invest!R231</f>
        <v>6840000</v>
      </c>
      <c r="E42" s="88">
        <f>[3]invest!S231</f>
        <v>0</v>
      </c>
      <c r="F42" s="88">
        <f>[3]invest!T231</f>
        <v>0</v>
      </c>
      <c r="G42" s="89">
        <f>[3]invest!U231</f>
        <v>0</v>
      </c>
      <c r="H42" s="89">
        <f t="shared" ref="H42:J42" si="31">G42</f>
        <v>0</v>
      </c>
      <c r="I42" s="89">
        <f t="shared" si="31"/>
        <v>0</v>
      </c>
      <c r="J42" s="89">
        <f t="shared" si="31"/>
        <v>0</v>
      </c>
    </row>
    <row r="45" spans="2:10" ht="18.5" x14ac:dyDescent="0.35">
      <c r="B45" s="86" t="s">
        <v>40</v>
      </c>
      <c r="C45" s="86"/>
      <c r="D45" s="73"/>
      <c r="E45" s="73">
        <f>D34</f>
        <v>1</v>
      </c>
      <c r="F45" s="73">
        <f t="shared" ref="F45:J45" si="32">E34</f>
        <v>2</v>
      </c>
      <c r="G45" s="73">
        <f t="shared" si="32"/>
        <v>3</v>
      </c>
      <c r="H45" s="73">
        <f t="shared" si="32"/>
        <v>4</v>
      </c>
      <c r="I45" s="73">
        <f t="shared" si="32"/>
        <v>5</v>
      </c>
      <c r="J45" s="73">
        <f t="shared" si="32"/>
        <v>6</v>
      </c>
    </row>
    <row r="47" spans="2:10" x14ac:dyDescent="0.35">
      <c r="B47" s="87" t="str">
        <f>B36</f>
        <v>Total investissements:</v>
      </c>
      <c r="C47" s="87"/>
      <c r="D47" s="88"/>
      <c r="E47" s="88">
        <f>D36</f>
        <v>248382499.99999997</v>
      </c>
      <c r="F47" s="88">
        <f t="shared" ref="F47:J47" si="33">E36</f>
        <v>0</v>
      </c>
      <c r="G47" s="89">
        <f t="shared" si="33"/>
        <v>0</v>
      </c>
      <c r="H47" s="89">
        <f t="shared" si="33"/>
        <v>0</v>
      </c>
      <c r="I47" s="89">
        <f t="shared" si="33"/>
        <v>0</v>
      </c>
      <c r="J47" s="89">
        <f t="shared" si="33"/>
        <v>0</v>
      </c>
    </row>
    <row r="48" spans="2:10" x14ac:dyDescent="0.35">
      <c r="B48" s="87" t="str">
        <f t="shared" ref="B48:B53" si="34">B37</f>
        <v>Total base amortissements:</v>
      </c>
      <c r="C48" s="87"/>
      <c r="D48" s="91"/>
      <c r="E48" s="91">
        <f t="shared" ref="E48:J48" si="35">D37</f>
        <v>348382500</v>
      </c>
      <c r="F48" s="91">
        <f t="shared" si="35"/>
        <v>0</v>
      </c>
      <c r="G48" s="92">
        <f t="shared" si="35"/>
        <v>0</v>
      </c>
      <c r="H48" s="92">
        <f t="shared" si="35"/>
        <v>0</v>
      </c>
      <c r="I48" s="92">
        <f t="shared" si="35"/>
        <v>0</v>
      </c>
      <c r="J48" s="92">
        <f t="shared" si="35"/>
        <v>0</v>
      </c>
    </row>
    <row r="49" spans="2:10" x14ac:dyDescent="0.35">
      <c r="B49" s="87" t="str">
        <f t="shared" si="34"/>
        <v>Total amortissement:</v>
      </c>
      <c r="C49" s="87"/>
      <c r="D49" s="88"/>
      <c r="E49" s="88">
        <f t="shared" ref="E49:J49" si="36">D38</f>
        <v>0</v>
      </c>
      <c r="F49" s="88">
        <f t="shared" si="36"/>
        <v>25785166.66666666</v>
      </c>
      <c r="G49" s="89">
        <f t="shared" si="36"/>
        <v>25785166.66666666</v>
      </c>
      <c r="H49" s="89">
        <f t="shared" si="36"/>
        <v>25785166.66666666</v>
      </c>
      <c r="I49" s="89">
        <f t="shared" si="36"/>
        <v>23536833.333333328</v>
      </c>
      <c r="J49" s="89">
        <f t="shared" si="36"/>
        <v>23536833.333333328</v>
      </c>
    </row>
    <row r="50" spans="2:10" hidden="1" x14ac:dyDescent="0.35">
      <c r="B50" s="87" t="str">
        <f t="shared" si="34"/>
        <v>Total investissement HT</v>
      </c>
      <c r="C50" s="87"/>
      <c r="D50" s="88"/>
      <c r="E50" s="88">
        <f t="shared" ref="E50:J50" si="37">D39</f>
        <v>248382499.99999997</v>
      </c>
      <c r="F50" s="88">
        <f t="shared" si="37"/>
        <v>0</v>
      </c>
      <c r="G50" s="89">
        <f t="shared" si="37"/>
        <v>0</v>
      </c>
      <c r="H50" s="89">
        <f t="shared" si="37"/>
        <v>0</v>
      </c>
      <c r="I50" s="89">
        <f t="shared" si="37"/>
        <v>0</v>
      </c>
      <c r="J50" s="89">
        <f t="shared" si="37"/>
        <v>0</v>
      </c>
    </row>
    <row r="51" spans="2:10" hidden="1" x14ac:dyDescent="0.35">
      <c r="B51" s="87" t="str">
        <f t="shared" si="34"/>
        <v>Total investissement TTC</v>
      </c>
      <c r="C51" s="87"/>
      <c r="D51" s="88"/>
      <c r="E51" s="88">
        <f t="shared" ref="E51:J51" si="38">D40</f>
        <v>248382499.99999997</v>
      </c>
      <c r="F51" s="88">
        <f t="shared" si="38"/>
        <v>0</v>
      </c>
      <c r="G51" s="89">
        <f t="shared" si="38"/>
        <v>0</v>
      </c>
      <c r="H51" s="89">
        <f t="shared" si="38"/>
        <v>0</v>
      </c>
      <c r="I51" s="89">
        <f t="shared" si="38"/>
        <v>0</v>
      </c>
      <c r="J51" s="89">
        <f t="shared" si="38"/>
        <v>0</v>
      </c>
    </row>
    <row r="52" spans="2:10" x14ac:dyDescent="0.35">
      <c r="B52" s="87" t="str">
        <f t="shared" si="34"/>
        <v>Total invest. corporels:</v>
      </c>
      <c r="C52" s="87"/>
      <c r="D52" s="91"/>
      <c r="E52" s="91">
        <f t="shared" ref="E52:J52" si="39">D41</f>
        <v>241542499.99999997</v>
      </c>
      <c r="F52" s="91">
        <f t="shared" si="39"/>
        <v>0</v>
      </c>
      <c r="G52" s="92">
        <f t="shared" si="39"/>
        <v>0</v>
      </c>
      <c r="H52" s="92">
        <f t="shared" si="39"/>
        <v>0</v>
      </c>
      <c r="I52" s="92">
        <f t="shared" si="39"/>
        <v>0</v>
      </c>
      <c r="J52" s="92">
        <f t="shared" si="39"/>
        <v>0</v>
      </c>
    </row>
    <row r="53" spans="2:10" x14ac:dyDescent="0.35">
      <c r="B53" s="87" t="str">
        <f t="shared" si="34"/>
        <v>Total invest. incorporels:</v>
      </c>
      <c r="C53" s="87"/>
      <c r="D53" s="88"/>
      <c r="E53" s="88">
        <f t="shared" ref="E53:J53" si="40">D42</f>
        <v>6840000</v>
      </c>
      <c r="F53" s="88">
        <f t="shared" si="40"/>
        <v>0</v>
      </c>
      <c r="G53" s="89">
        <f t="shared" si="40"/>
        <v>0</v>
      </c>
      <c r="H53" s="89">
        <f t="shared" si="40"/>
        <v>0</v>
      </c>
      <c r="I53" s="89">
        <f t="shared" si="40"/>
        <v>0</v>
      </c>
      <c r="J53" s="89">
        <f t="shared" si="40"/>
        <v>0</v>
      </c>
    </row>
    <row r="56" spans="2:10" ht="18.5" x14ac:dyDescent="0.35">
      <c r="B56" s="86" t="s">
        <v>41</v>
      </c>
      <c r="C56" s="86"/>
      <c r="D56" s="73"/>
      <c r="E56" s="73"/>
      <c r="F56" s="73">
        <f>E45</f>
        <v>1</v>
      </c>
      <c r="G56" s="73">
        <f t="shared" ref="G56:J56" si="41">F45</f>
        <v>2</v>
      </c>
      <c r="H56" s="73">
        <f t="shared" si="41"/>
        <v>3</v>
      </c>
      <c r="I56" s="73">
        <f t="shared" si="41"/>
        <v>4</v>
      </c>
      <c r="J56" s="73">
        <f t="shared" si="41"/>
        <v>5</v>
      </c>
    </row>
    <row r="58" spans="2:10" x14ac:dyDescent="0.35">
      <c r="B58" s="87" t="str">
        <f>B47</f>
        <v>Total investissements:</v>
      </c>
      <c r="C58" s="87"/>
      <c r="D58" s="88"/>
      <c r="E58" s="88"/>
      <c r="F58" s="88">
        <f>E47</f>
        <v>248382499.99999997</v>
      </c>
      <c r="G58" s="89">
        <f t="shared" ref="G58:J58" si="42">F47</f>
        <v>0</v>
      </c>
      <c r="H58" s="89">
        <f t="shared" si="42"/>
        <v>0</v>
      </c>
      <c r="I58" s="89">
        <f t="shared" si="42"/>
        <v>0</v>
      </c>
      <c r="J58" s="89">
        <f t="shared" si="42"/>
        <v>0</v>
      </c>
    </row>
    <row r="59" spans="2:10" x14ac:dyDescent="0.35">
      <c r="B59" s="87" t="str">
        <f t="shared" ref="B59:B64" si="43">B48</f>
        <v>Total base amortissements:</v>
      </c>
      <c r="C59" s="87"/>
      <c r="D59" s="91"/>
      <c r="E59" s="91"/>
      <c r="F59" s="91">
        <f t="shared" ref="F59:J64" si="44">E48</f>
        <v>348382500</v>
      </c>
      <c r="G59" s="92">
        <f t="shared" si="44"/>
        <v>0</v>
      </c>
      <c r="H59" s="92">
        <f t="shared" si="44"/>
        <v>0</v>
      </c>
      <c r="I59" s="92">
        <f t="shared" si="44"/>
        <v>0</v>
      </c>
      <c r="J59" s="92">
        <f t="shared" si="44"/>
        <v>0</v>
      </c>
    </row>
    <row r="60" spans="2:10" x14ac:dyDescent="0.35">
      <c r="B60" s="87" t="str">
        <f t="shared" si="43"/>
        <v>Total amortissement:</v>
      </c>
      <c r="C60" s="87"/>
      <c r="D60" s="88"/>
      <c r="E60" s="88"/>
      <c r="F60" s="88">
        <f t="shared" si="44"/>
        <v>0</v>
      </c>
      <c r="G60" s="89">
        <f t="shared" si="44"/>
        <v>25785166.66666666</v>
      </c>
      <c r="H60" s="89">
        <f t="shared" si="44"/>
        <v>25785166.66666666</v>
      </c>
      <c r="I60" s="89">
        <f t="shared" si="44"/>
        <v>25785166.66666666</v>
      </c>
      <c r="J60" s="89">
        <f t="shared" si="44"/>
        <v>23536833.333333328</v>
      </c>
    </row>
    <row r="61" spans="2:10" hidden="1" x14ac:dyDescent="0.35">
      <c r="B61" s="87" t="str">
        <f t="shared" si="43"/>
        <v>Total investissement HT</v>
      </c>
      <c r="C61" s="87"/>
      <c r="D61" s="88"/>
      <c r="E61" s="88"/>
      <c r="F61" s="88">
        <f t="shared" si="44"/>
        <v>248382499.99999997</v>
      </c>
      <c r="G61" s="89">
        <f t="shared" si="44"/>
        <v>0</v>
      </c>
      <c r="H61" s="89">
        <f t="shared" si="44"/>
        <v>0</v>
      </c>
      <c r="I61" s="89">
        <f t="shared" si="44"/>
        <v>0</v>
      </c>
      <c r="J61" s="89">
        <f t="shared" si="44"/>
        <v>0</v>
      </c>
    </row>
    <row r="62" spans="2:10" hidden="1" x14ac:dyDescent="0.35">
      <c r="B62" s="87" t="str">
        <f t="shared" si="43"/>
        <v>Total investissement TTC</v>
      </c>
      <c r="C62" s="87"/>
      <c r="D62" s="88"/>
      <c r="E62" s="88"/>
      <c r="F62" s="88">
        <f t="shared" si="44"/>
        <v>248382499.99999997</v>
      </c>
      <c r="G62" s="89">
        <f t="shared" si="44"/>
        <v>0</v>
      </c>
      <c r="H62" s="89">
        <f t="shared" si="44"/>
        <v>0</v>
      </c>
      <c r="I62" s="89">
        <f t="shared" si="44"/>
        <v>0</v>
      </c>
      <c r="J62" s="89">
        <f t="shared" si="44"/>
        <v>0</v>
      </c>
    </row>
    <row r="63" spans="2:10" x14ac:dyDescent="0.35">
      <c r="B63" s="87" t="str">
        <f t="shared" si="43"/>
        <v>Total invest. corporels:</v>
      </c>
      <c r="C63" s="87"/>
      <c r="D63" s="91"/>
      <c r="E63" s="91"/>
      <c r="F63" s="91">
        <f t="shared" si="44"/>
        <v>241542499.99999997</v>
      </c>
      <c r="G63" s="92">
        <f t="shared" si="44"/>
        <v>0</v>
      </c>
      <c r="H63" s="92">
        <f t="shared" si="44"/>
        <v>0</v>
      </c>
      <c r="I63" s="92">
        <f t="shared" si="44"/>
        <v>0</v>
      </c>
      <c r="J63" s="92">
        <f t="shared" si="44"/>
        <v>0</v>
      </c>
    </row>
    <row r="64" spans="2:10" x14ac:dyDescent="0.35">
      <c r="B64" s="87" t="str">
        <f t="shared" si="43"/>
        <v>Total invest. incorporels:</v>
      </c>
      <c r="C64" s="87"/>
      <c r="D64" s="88"/>
      <c r="E64" s="88"/>
      <c r="F64" s="88">
        <f t="shared" si="44"/>
        <v>6840000</v>
      </c>
      <c r="G64" s="89">
        <f t="shared" si="44"/>
        <v>0</v>
      </c>
      <c r="H64" s="89">
        <f t="shared" si="44"/>
        <v>0</v>
      </c>
      <c r="I64" s="89">
        <f t="shared" si="44"/>
        <v>0</v>
      </c>
      <c r="J64" s="89">
        <f t="shared" si="44"/>
        <v>0</v>
      </c>
    </row>
    <row r="69" spans="2:10" ht="28.5" x14ac:dyDescent="0.65">
      <c r="B69" s="26" t="s">
        <v>75</v>
      </c>
    </row>
    <row r="71" spans="2:10" ht="15.5" x14ac:dyDescent="0.35">
      <c r="B71" s="112" t="s">
        <v>4</v>
      </c>
      <c r="C71" s="112" t="s">
        <v>54</v>
      </c>
      <c r="D71" s="113">
        <f>D$4</f>
        <v>1</v>
      </c>
      <c r="E71" s="113">
        <f t="shared" ref="E71:J71" si="45">E$4</f>
        <v>2</v>
      </c>
      <c r="F71" s="113">
        <f t="shared" si="45"/>
        <v>3</v>
      </c>
      <c r="G71" s="113">
        <f t="shared" si="45"/>
        <v>4</v>
      </c>
      <c r="H71" s="113">
        <f t="shared" si="45"/>
        <v>5</v>
      </c>
      <c r="I71" s="113">
        <f t="shared" si="45"/>
        <v>6</v>
      </c>
      <c r="J71" s="113">
        <f t="shared" si="45"/>
        <v>7</v>
      </c>
    </row>
    <row r="72" spans="2:10" ht="15.5" x14ac:dyDescent="0.35">
      <c r="B72" s="114" t="s">
        <v>44</v>
      </c>
      <c r="C72" s="102">
        <f>SUM(D72:J72)</f>
        <v>7500</v>
      </c>
      <c r="D72" s="102">
        <f t="shared" ref="D72:J72" si="46">(D$9*D83+D$11*D91+D$13*D99)/1000000</f>
        <v>1500</v>
      </c>
      <c r="E72" s="115">
        <f t="shared" si="46"/>
        <v>3000</v>
      </c>
      <c r="F72" s="115">
        <f t="shared" si="46"/>
        <v>3000</v>
      </c>
      <c r="G72" s="116">
        <f t="shared" si="46"/>
        <v>0</v>
      </c>
      <c r="H72" s="116">
        <f t="shared" si="46"/>
        <v>0</v>
      </c>
      <c r="I72" s="116">
        <f t="shared" si="46"/>
        <v>0</v>
      </c>
      <c r="J72" s="116">
        <f t="shared" si="46"/>
        <v>0</v>
      </c>
    </row>
    <row r="73" spans="2:10" ht="15.5" x14ac:dyDescent="0.35">
      <c r="B73" s="114" t="s">
        <v>55</v>
      </c>
      <c r="C73" s="103">
        <f>C72</f>
        <v>7500</v>
      </c>
      <c r="D73" s="103">
        <f>D72</f>
        <v>1500</v>
      </c>
      <c r="E73" s="103">
        <f t="shared" ref="E73" si="47">D73+E72</f>
        <v>4500</v>
      </c>
      <c r="F73" s="103">
        <f t="shared" ref="F73" si="48">E73+F72</f>
        <v>7500</v>
      </c>
      <c r="G73" s="116">
        <f t="shared" ref="G73" si="49">F73+G72</f>
        <v>7500</v>
      </c>
      <c r="H73" s="116">
        <f t="shared" ref="H73" si="50">G73+H72</f>
        <v>7500</v>
      </c>
      <c r="I73" s="116">
        <f t="shared" ref="I73" si="51">H73+I72</f>
        <v>7500</v>
      </c>
      <c r="J73" s="116">
        <f t="shared" ref="J73" si="52">I73+J72</f>
        <v>7500</v>
      </c>
    </row>
    <row r="74" spans="2:10" ht="15.5" x14ac:dyDescent="0.35">
      <c r="B74" s="120" t="s">
        <v>76</v>
      </c>
      <c r="C74" s="121" t="e">
        <f>SUM(D74:J74)</f>
        <v>#REF!</v>
      </c>
      <c r="D74" s="121">
        <f t="shared" ref="D74:J74" si="53">(D$9*D85+D$11*D93+D$13*D101)/1000000</f>
        <v>128.95759052606962</v>
      </c>
      <c r="E74" s="121">
        <f t="shared" si="53"/>
        <v>386.87277157820887</v>
      </c>
      <c r="F74" s="121">
        <f t="shared" si="53"/>
        <v>644.78795263034806</v>
      </c>
      <c r="G74" s="122">
        <f t="shared" si="53"/>
        <v>644.78795263034806</v>
      </c>
      <c r="H74" s="122">
        <f t="shared" si="53"/>
        <v>644.78795263034806</v>
      </c>
      <c r="I74" s="122" t="e">
        <f t="shared" si="53"/>
        <v>#REF!</v>
      </c>
      <c r="J74" s="122" t="e">
        <f t="shared" si="53"/>
        <v>#REF!</v>
      </c>
    </row>
    <row r="75" spans="2:10" ht="15.5" x14ac:dyDescent="0.35">
      <c r="B75" s="120" t="s">
        <v>77</v>
      </c>
      <c r="C75" s="121" t="e">
        <f>J75</f>
        <v>#REF!</v>
      </c>
      <c r="D75" s="121">
        <f>D74</f>
        <v>128.95759052606962</v>
      </c>
      <c r="E75" s="121">
        <f>D75+E74</f>
        <v>515.83036210427849</v>
      </c>
      <c r="F75" s="121">
        <f t="shared" ref="F75" si="54">E75+F74</f>
        <v>1160.6183147346264</v>
      </c>
      <c r="G75" s="122">
        <f t="shared" ref="G75" si="55">F75+G74</f>
        <v>1805.4062673649746</v>
      </c>
      <c r="H75" s="122">
        <f t="shared" ref="H75" si="56">G75+H74</f>
        <v>2450.1942199953228</v>
      </c>
      <c r="I75" s="122" t="e">
        <f t="shared" ref="I75" si="57">H75+I74</f>
        <v>#REF!</v>
      </c>
      <c r="J75" s="122" t="e">
        <f t="shared" ref="J75" si="58">I75+J74</f>
        <v>#REF!</v>
      </c>
    </row>
    <row r="78" spans="2:10" ht="26" x14ac:dyDescent="0.6">
      <c r="B78" s="136" t="s">
        <v>78</v>
      </c>
      <c r="C78" s="68"/>
    </row>
    <row r="81" spans="2:10" ht="18.5" x14ac:dyDescent="0.35">
      <c r="B81" s="86" t="s">
        <v>39</v>
      </c>
      <c r="C81" s="86"/>
      <c r="D81" s="113">
        <f>D$4</f>
        <v>1</v>
      </c>
      <c r="E81" s="113">
        <f t="shared" ref="E81:J81" si="59">E$4</f>
        <v>2</v>
      </c>
      <c r="F81" s="113">
        <f t="shared" si="59"/>
        <v>3</v>
      </c>
      <c r="G81" s="113">
        <f t="shared" si="59"/>
        <v>4</v>
      </c>
      <c r="H81" s="113">
        <f t="shared" si="59"/>
        <v>5</v>
      </c>
      <c r="I81" s="113">
        <f t="shared" si="59"/>
        <v>6</v>
      </c>
      <c r="J81" s="113">
        <f t="shared" si="59"/>
        <v>7</v>
      </c>
    </row>
    <row r="83" spans="2:10" ht="15.5" x14ac:dyDescent="0.35">
      <c r="B83" s="120" t="s">
        <v>44</v>
      </c>
      <c r="C83" s="135">
        <f>SUM(D83:J83)</f>
        <v>150000000</v>
      </c>
      <c r="D83" s="135">
        <f>[1]leasing!$F$20</f>
        <v>150000000</v>
      </c>
      <c r="E83" s="121"/>
      <c r="F83" s="121"/>
      <c r="G83" s="122"/>
      <c r="H83" s="122"/>
      <c r="I83" s="122"/>
      <c r="J83" s="122"/>
    </row>
    <row r="84" spans="2:10" ht="15.5" x14ac:dyDescent="0.35">
      <c r="B84" s="114" t="s">
        <v>55</v>
      </c>
      <c r="C84" s="103">
        <f>C83</f>
        <v>150000000</v>
      </c>
      <c r="D84" s="103">
        <f>D83</f>
        <v>150000000</v>
      </c>
      <c r="E84" s="103">
        <f t="shared" ref="E84" si="60">D84+E83</f>
        <v>150000000</v>
      </c>
      <c r="F84" s="103">
        <f t="shared" ref="F84" si="61">E84+F83</f>
        <v>150000000</v>
      </c>
      <c r="G84" s="116">
        <f t="shared" ref="G84" si="62">F84+G83</f>
        <v>150000000</v>
      </c>
      <c r="H84" s="116">
        <f t="shared" ref="H84" si="63">G84+H83</f>
        <v>150000000</v>
      </c>
      <c r="I84" s="116">
        <f t="shared" ref="I84" si="64">H84+I83</f>
        <v>150000000</v>
      </c>
      <c r="J84" s="116">
        <f t="shared" ref="J84" si="65">I84+J83</f>
        <v>150000000</v>
      </c>
    </row>
    <row r="85" spans="2:10" ht="15.5" x14ac:dyDescent="0.35">
      <c r="B85" s="120" t="s">
        <v>76</v>
      </c>
      <c r="C85" s="121" t="e">
        <f>SUM(D85:J85)</f>
        <v>#REF!</v>
      </c>
      <c r="D85" s="121">
        <f>PL!D64</f>
        <v>12895759.052606963</v>
      </c>
      <c r="E85" s="121">
        <f>PL!E64</f>
        <v>12895759.052606963</v>
      </c>
      <c r="F85" s="121">
        <f>PL!F64</f>
        <v>12895759.052606963</v>
      </c>
      <c r="G85" s="121">
        <f>PL!G64</f>
        <v>12895759.052606963</v>
      </c>
      <c r="H85" s="121">
        <f>PL!H64</f>
        <v>12895759.052606961</v>
      </c>
      <c r="I85" s="121" t="e">
        <f>PL!#REF!</f>
        <v>#REF!</v>
      </c>
      <c r="J85" s="121">
        <f>PL!I64</f>
        <v>12895759.052606961</v>
      </c>
    </row>
    <row r="86" spans="2:10" ht="15.5" x14ac:dyDescent="0.35">
      <c r="B86" s="120" t="s">
        <v>77</v>
      </c>
      <c r="C86" s="121" t="e">
        <f>J86</f>
        <v>#REF!</v>
      </c>
      <c r="D86" s="121">
        <f>D85</f>
        <v>12895759.052606963</v>
      </c>
      <c r="E86" s="121">
        <f>D86+E85</f>
        <v>25791518.105213925</v>
      </c>
      <c r="F86" s="121">
        <f t="shared" ref="F86" si="66">E86+F85</f>
        <v>38687277.157820888</v>
      </c>
      <c r="G86" s="122">
        <f t="shared" ref="G86" si="67">F86+G85</f>
        <v>51583036.21042785</v>
      </c>
      <c r="H86" s="122">
        <f t="shared" ref="H86" si="68">G86+H85</f>
        <v>64478795.263034813</v>
      </c>
      <c r="I86" s="122" t="e">
        <f t="shared" ref="I86" si="69">H86+I85</f>
        <v>#REF!</v>
      </c>
      <c r="J86" s="122" t="e">
        <f t="shared" ref="J86" si="70">I86+J85</f>
        <v>#REF!</v>
      </c>
    </row>
    <row r="89" spans="2:10" ht="18.5" x14ac:dyDescent="0.35">
      <c r="B89" s="86" t="s">
        <v>40</v>
      </c>
      <c r="C89" s="86"/>
      <c r="D89" s="73"/>
      <c r="E89" s="73">
        <f t="shared" ref="E89:J89" si="71">D81</f>
        <v>1</v>
      </c>
      <c r="F89" s="73">
        <f t="shared" si="71"/>
        <v>2</v>
      </c>
      <c r="G89" s="73">
        <f t="shared" si="71"/>
        <v>3</v>
      </c>
      <c r="H89" s="73">
        <f t="shared" si="71"/>
        <v>4</v>
      </c>
      <c r="I89" s="73">
        <f t="shared" si="71"/>
        <v>5</v>
      </c>
      <c r="J89" s="73">
        <f t="shared" si="71"/>
        <v>6</v>
      </c>
    </row>
    <row r="91" spans="2:10" x14ac:dyDescent="0.35">
      <c r="B91" s="87" t="str">
        <f>B83</f>
        <v>Total investissements:</v>
      </c>
      <c r="C91" s="87"/>
      <c r="D91" s="88"/>
      <c r="E91" s="88">
        <f t="shared" ref="E91:J94" si="72">D83</f>
        <v>150000000</v>
      </c>
      <c r="F91" s="88">
        <f t="shared" si="72"/>
        <v>0</v>
      </c>
      <c r="G91" s="89">
        <f t="shared" si="72"/>
        <v>0</v>
      </c>
      <c r="H91" s="89">
        <f t="shared" si="72"/>
        <v>0</v>
      </c>
      <c r="I91" s="89">
        <f t="shared" si="72"/>
        <v>0</v>
      </c>
      <c r="J91" s="89">
        <f t="shared" si="72"/>
        <v>0</v>
      </c>
    </row>
    <row r="92" spans="2:10" x14ac:dyDescent="0.35">
      <c r="B92" s="87" t="str">
        <f>B84</f>
        <v>Investissement cumulé:</v>
      </c>
      <c r="C92" s="87"/>
      <c r="D92" s="91"/>
      <c r="E92" s="91">
        <f t="shared" si="72"/>
        <v>150000000</v>
      </c>
      <c r="F92" s="91">
        <f t="shared" si="72"/>
        <v>150000000</v>
      </c>
      <c r="G92" s="92">
        <f t="shared" si="72"/>
        <v>150000000</v>
      </c>
      <c r="H92" s="92">
        <f t="shared" si="72"/>
        <v>150000000</v>
      </c>
      <c r="I92" s="92">
        <f t="shared" si="72"/>
        <v>150000000</v>
      </c>
      <c r="J92" s="92">
        <f t="shared" si="72"/>
        <v>150000000</v>
      </c>
    </row>
    <row r="93" spans="2:10" x14ac:dyDescent="0.35">
      <c r="B93" s="87" t="str">
        <f>B85</f>
        <v>Total loyers:</v>
      </c>
      <c r="C93" s="87"/>
      <c r="D93" s="88"/>
      <c r="E93" s="88">
        <f t="shared" si="72"/>
        <v>12895759.052606963</v>
      </c>
      <c r="F93" s="88">
        <f t="shared" si="72"/>
        <v>12895759.052606963</v>
      </c>
      <c r="G93" s="89">
        <f t="shared" si="72"/>
        <v>12895759.052606963</v>
      </c>
      <c r="H93" s="89">
        <f t="shared" si="72"/>
        <v>12895759.052606963</v>
      </c>
      <c r="I93" s="89">
        <f t="shared" si="72"/>
        <v>12895759.052606961</v>
      </c>
      <c r="J93" s="89" t="e">
        <f t="shared" si="72"/>
        <v>#REF!</v>
      </c>
    </row>
    <row r="94" spans="2:10" x14ac:dyDescent="0.35">
      <c r="B94" s="87" t="str">
        <f>B86</f>
        <v>Loyers cumulés:</v>
      </c>
      <c r="C94" s="87"/>
      <c r="D94" s="88"/>
      <c r="E94" s="88">
        <f t="shared" si="72"/>
        <v>12895759.052606963</v>
      </c>
      <c r="F94" s="88">
        <f t="shared" si="72"/>
        <v>25791518.105213925</v>
      </c>
      <c r="G94" s="89">
        <f t="shared" si="72"/>
        <v>38687277.157820888</v>
      </c>
      <c r="H94" s="89">
        <f t="shared" si="72"/>
        <v>51583036.21042785</v>
      </c>
      <c r="I94" s="89">
        <f t="shared" si="72"/>
        <v>64478795.263034813</v>
      </c>
      <c r="J94" s="89" t="e">
        <f t="shared" si="72"/>
        <v>#REF!</v>
      </c>
    </row>
    <row r="97" spans="2:10" ht="18.5" x14ac:dyDescent="0.35">
      <c r="B97" s="86" t="s">
        <v>41</v>
      </c>
      <c r="C97" s="86"/>
      <c r="D97" s="73"/>
      <c r="E97" s="73"/>
      <c r="F97" s="73">
        <f>E89</f>
        <v>1</v>
      </c>
      <c r="G97" s="73">
        <f>F89</f>
        <v>2</v>
      </c>
      <c r="H97" s="73">
        <f>G89</f>
        <v>3</v>
      </c>
      <c r="I97" s="73">
        <f>H89</f>
        <v>4</v>
      </c>
      <c r="J97" s="73">
        <f>I89</f>
        <v>5</v>
      </c>
    </row>
    <row r="99" spans="2:10" x14ac:dyDescent="0.35">
      <c r="B99" s="87" t="str">
        <f>B91</f>
        <v>Total investissements:</v>
      </c>
      <c r="C99" s="87"/>
      <c r="D99" s="88"/>
      <c r="E99" s="88"/>
      <c r="F99" s="88">
        <f t="shared" ref="F99:J102" si="73">E91</f>
        <v>150000000</v>
      </c>
      <c r="G99" s="89">
        <f t="shared" si="73"/>
        <v>0</v>
      </c>
      <c r="H99" s="89">
        <f t="shared" si="73"/>
        <v>0</v>
      </c>
      <c r="I99" s="89">
        <f t="shared" si="73"/>
        <v>0</v>
      </c>
      <c r="J99" s="89">
        <f t="shared" si="73"/>
        <v>0</v>
      </c>
    </row>
    <row r="100" spans="2:10" x14ac:dyDescent="0.35">
      <c r="B100" s="87" t="str">
        <f>B92</f>
        <v>Investissement cumulé:</v>
      </c>
      <c r="C100" s="87"/>
      <c r="D100" s="91"/>
      <c r="E100" s="91"/>
      <c r="F100" s="91">
        <f t="shared" si="73"/>
        <v>150000000</v>
      </c>
      <c r="G100" s="92">
        <f t="shared" si="73"/>
        <v>150000000</v>
      </c>
      <c r="H100" s="92">
        <f t="shared" si="73"/>
        <v>150000000</v>
      </c>
      <c r="I100" s="92">
        <f t="shared" si="73"/>
        <v>150000000</v>
      </c>
      <c r="J100" s="92">
        <f t="shared" si="73"/>
        <v>150000000</v>
      </c>
    </row>
    <row r="101" spans="2:10" x14ac:dyDescent="0.35">
      <c r="B101" s="87" t="str">
        <f>B93</f>
        <v>Total loyers:</v>
      </c>
      <c r="C101" s="87"/>
      <c r="D101" s="88"/>
      <c r="E101" s="88"/>
      <c r="F101" s="88">
        <f t="shared" si="73"/>
        <v>12895759.052606963</v>
      </c>
      <c r="G101" s="89">
        <f t="shared" si="73"/>
        <v>12895759.052606963</v>
      </c>
      <c r="H101" s="89">
        <f t="shared" si="73"/>
        <v>12895759.052606963</v>
      </c>
      <c r="I101" s="89">
        <f t="shared" si="73"/>
        <v>12895759.052606963</v>
      </c>
      <c r="J101" s="89">
        <f t="shared" si="73"/>
        <v>12895759.052606961</v>
      </c>
    </row>
    <row r="102" spans="2:10" x14ac:dyDescent="0.35">
      <c r="B102" s="87" t="str">
        <f>B94</f>
        <v>Loyers cumulés:</v>
      </c>
      <c r="C102" s="87"/>
      <c r="D102" s="88"/>
      <c r="E102" s="88"/>
      <c r="F102" s="88">
        <f t="shared" si="73"/>
        <v>12895759.052606963</v>
      </c>
      <c r="G102" s="89">
        <f t="shared" si="73"/>
        <v>25791518.105213925</v>
      </c>
      <c r="H102" s="89">
        <f t="shared" si="73"/>
        <v>38687277.157820888</v>
      </c>
      <c r="I102" s="89">
        <f t="shared" si="73"/>
        <v>51583036.21042785</v>
      </c>
      <c r="J102" s="89">
        <f t="shared" si="73"/>
        <v>64478795.263034813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3489D-6148-4063-A19C-D872F8BEFF00}">
  <dimension ref="A2:S230"/>
  <sheetViews>
    <sheetView topLeftCell="A21" zoomScale="90" zoomScaleNormal="90" workbookViewId="0">
      <selection activeCell="K2" sqref="K2"/>
    </sheetView>
  </sheetViews>
  <sheetFormatPr baseColWidth="10" defaultColWidth="11.453125" defaultRowHeight="14.5" x14ac:dyDescent="0.35"/>
  <cols>
    <col min="3" max="3" width="35.26953125" customWidth="1"/>
    <col min="4" max="4" width="16.1796875" customWidth="1"/>
    <col min="5" max="10" width="15.7265625" customWidth="1"/>
    <col min="11" max="11" width="17.54296875" customWidth="1"/>
  </cols>
  <sheetData>
    <row r="2" spans="1:11" ht="28.5" x14ac:dyDescent="0.65">
      <c r="A2" s="26" t="s">
        <v>62</v>
      </c>
      <c r="E2" s="26" t="s">
        <v>64</v>
      </c>
    </row>
    <row r="5" spans="1:11" s="80" customFormat="1" ht="18.5" x14ac:dyDescent="0.45">
      <c r="C5" s="81" t="s">
        <v>3</v>
      </c>
      <c r="D5" s="81"/>
      <c r="E5" s="82">
        <f>PL!D5</f>
        <v>46023</v>
      </c>
      <c r="F5" s="82">
        <f>PL!E5</f>
        <v>46388</v>
      </c>
      <c r="G5" s="82">
        <f>PL!F5</f>
        <v>46753</v>
      </c>
      <c r="H5" s="82">
        <f>PL!G5</f>
        <v>47119</v>
      </c>
      <c r="I5" s="82">
        <f>PL!H5</f>
        <v>47484</v>
      </c>
      <c r="J5" s="82">
        <f>PL!I5</f>
        <v>47849</v>
      </c>
      <c r="K5" s="82">
        <f>PL!J5</f>
        <v>48214</v>
      </c>
    </row>
    <row r="6" spans="1:11" s="80" customFormat="1" ht="18.5" x14ac:dyDescent="0.45">
      <c r="C6" s="81"/>
      <c r="D6" s="81"/>
    </row>
    <row r="7" spans="1:11" s="80" customFormat="1" ht="18.5" x14ac:dyDescent="0.45">
      <c r="C7" s="83" t="s">
        <v>4</v>
      </c>
      <c r="D7" s="83"/>
      <c r="E7" s="83">
        <v>1</v>
      </c>
      <c r="F7" s="83">
        <f>1+E7</f>
        <v>2</v>
      </c>
      <c r="G7" s="83">
        <f>1+F7</f>
        <v>3</v>
      </c>
      <c r="H7" s="83">
        <f>1+G7</f>
        <v>4</v>
      </c>
      <c r="I7" s="83">
        <f>1+H7</f>
        <v>5</v>
      </c>
      <c r="J7" s="83">
        <f t="shared" ref="J7:K7" si="0">1+I7</f>
        <v>6</v>
      </c>
      <c r="K7" s="83">
        <f t="shared" si="0"/>
        <v>7</v>
      </c>
    </row>
    <row r="8" spans="1:11" ht="15" thickBot="1" x14ac:dyDescent="0.4"/>
    <row r="9" spans="1:11" s="111" customFormat="1" ht="15" customHeight="1" thickBot="1" x14ac:dyDescent="0.4">
      <c r="C9" s="2" t="s">
        <v>51</v>
      </c>
      <c r="D9" s="2">
        <f>PL!C10</f>
        <v>10</v>
      </c>
      <c r="E9" s="2">
        <f>PL!D10</f>
        <v>10</v>
      </c>
      <c r="F9" s="2">
        <f>PL!E10</f>
        <v>10</v>
      </c>
      <c r="G9" s="2">
        <f>PL!F10</f>
        <v>10</v>
      </c>
      <c r="H9" s="2">
        <f>PL!G10</f>
        <v>10</v>
      </c>
      <c r="I9" s="2">
        <f>PL!H10</f>
        <v>10</v>
      </c>
      <c r="J9" s="2">
        <f>PL!I10</f>
        <v>10</v>
      </c>
      <c r="K9" s="2">
        <f>PL!J10</f>
        <v>10</v>
      </c>
    </row>
    <row r="10" spans="1:11" s="111" customFormat="1" ht="15" customHeight="1" thickBot="1" x14ac:dyDescent="0.4">
      <c r="C10" s="110"/>
      <c r="D10" s="110"/>
      <c r="E10" s="110"/>
      <c r="F10" s="110"/>
      <c r="G10" s="110"/>
      <c r="H10" s="110"/>
      <c r="I10" s="110"/>
      <c r="J10" s="110"/>
      <c r="K10" s="110"/>
    </row>
    <row r="11" spans="1:11" s="111" customFormat="1" ht="15" customHeight="1" thickBot="1" x14ac:dyDescent="0.4">
      <c r="C11" s="2" t="s">
        <v>52</v>
      </c>
      <c r="D11" s="2">
        <f>PL!C12</f>
        <v>20</v>
      </c>
      <c r="E11" s="2"/>
      <c r="F11" s="2">
        <f>PL!E12</f>
        <v>20</v>
      </c>
      <c r="G11" s="2">
        <f>PL!F12</f>
        <v>20</v>
      </c>
      <c r="H11" s="2">
        <f>PL!G12</f>
        <v>20</v>
      </c>
      <c r="I11" s="2">
        <f>PL!H12</f>
        <v>20</v>
      </c>
      <c r="J11" s="2">
        <f>PL!I12</f>
        <v>20</v>
      </c>
      <c r="K11" s="2">
        <f>PL!J12</f>
        <v>20</v>
      </c>
    </row>
    <row r="12" spans="1:11" s="111" customFormat="1" ht="15" customHeight="1" thickBot="1" x14ac:dyDescent="0.4">
      <c r="C12" s="110"/>
      <c r="D12" s="110"/>
      <c r="E12" s="110"/>
      <c r="F12" s="110"/>
      <c r="G12" s="110"/>
      <c r="H12" s="110"/>
      <c r="I12" s="110"/>
      <c r="J12" s="110"/>
      <c r="K12" s="110"/>
    </row>
    <row r="13" spans="1:11" s="111" customFormat="1" ht="15" customHeight="1" thickBot="1" x14ac:dyDescent="0.4">
      <c r="C13" s="2" t="s">
        <v>53</v>
      </c>
      <c r="D13" s="2">
        <f>PL!C14</f>
        <v>20</v>
      </c>
      <c r="E13" s="2"/>
      <c r="F13" s="2"/>
      <c r="G13" s="2">
        <f>PL!F14</f>
        <v>20</v>
      </c>
      <c r="H13" s="2">
        <f>PL!G14</f>
        <v>20</v>
      </c>
      <c r="I13" s="2">
        <f>PL!H14</f>
        <v>20</v>
      </c>
      <c r="J13" s="2">
        <f>PL!I14</f>
        <v>20</v>
      </c>
      <c r="K13" s="2">
        <f>PL!J14</f>
        <v>20</v>
      </c>
    </row>
    <row r="14" spans="1:11" ht="15" customHeight="1" thickBot="1" x14ac:dyDescent="0.4">
      <c r="C14" s="53"/>
      <c r="D14" s="53"/>
      <c r="E14" s="53"/>
      <c r="F14" s="53"/>
      <c r="G14" s="53"/>
      <c r="H14" s="53"/>
      <c r="I14" s="53"/>
      <c r="J14" s="53"/>
      <c r="K14" s="53"/>
    </row>
    <row r="15" spans="1:11" ht="15" customHeight="1" thickBot="1" x14ac:dyDescent="0.4">
      <c r="C15" s="69" t="s">
        <v>38</v>
      </c>
      <c r="D15" s="70">
        <f>SUM(D9:D14)</f>
        <v>50</v>
      </c>
      <c r="E15" s="70">
        <f>SUM(E9:E14)</f>
        <v>10</v>
      </c>
      <c r="F15" s="70">
        <f t="shared" ref="F15:K15" si="1">SUM(F9:F14)</f>
        <v>30</v>
      </c>
      <c r="G15" s="70">
        <f t="shared" si="1"/>
        <v>50</v>
      </c>
      <c r="H15" s="70">
        <f t="shared" si="1"/>
        <v>50</v>
      </c>
      <c r="I15" s="70">
        <f t="shared" si="1"/>
        <v>50</v>
      </c>
      <c r="J15" s="70">
        <f t="shared" si="1"/>
        <v>50</v>
      </c>
      <c r="K15" s="70">
        <f t="shared" si="1"/>
        <v>50</v>
      </c>
    </row>
    <row r="16" spans="1:11" ht="15" customHeight="1" x14ac:dyDescent="0.35">
      <c r="C16" s="27"/>
      <c r="D16" s="27"/>
    </row>
    <row r="17" spans="1:11" ht="15" customHeight="1" x14ac:dyDescent="0.35">
      <c r="C17" s="27"/>
      <c r="D17" s="27"/>
    </row>
    <row r="18" spans="1:11" ht="15" customHeight="1" x14ac:dyDescent="0.35">
      <c r="C18" s="27"/>
      <c r="D18" s="27"/>
    </row>
    <row r="19" spans="1:11" ht="15" customHeight="1" x14ac:dyDescent="0.35">
      <c r="C19" s="27"/>
      <c r="D19" s="27"/>
    </row>
    <row r="20" spans="1:11" ht="27" customHeight="1" x14ac:dyDescent="0.65">
      <c r="C20" s="26" t="s">
        <v>37</v>
      </c>
      <c r="D20" s="27"/>
    </row>
    <row r="21" spans="1:11" ht="15" customHeight="1" x14ac:dyDescent="0.35">
      <c r="C21" s="27"/>
      <c r="D21" s="27"/>
    </row>
    <row r="22" spans="1:11" ht="15" customHeight="1" thickBot="1" x14ac:dyDescent="0.4">
      <c r="C22" s="27"/>
      <c r="D22" s="27"/>
    </row>
    <row r="23" spans="1:11" ht="15" customHeight="1" thickBot="1" x14ac:dyDescent="0.4">
      <c r="A23" s="29"/>
      <c r="B23" s="29"/>
      <c r="C23" s="30"/>
      <c r="D23" s="30"/>
      <c r="E23" s="54">
        <v>2026</v>
      </c>
      <c r="F23" s="54">
        <v>2027</v>
      </c>
      <c r="G23" s="54">
        <v>2028</v>
      </c>
      <c r="H23" s="54">
        <v>2029</v>
      </c>
      <c r="I23" s="54">
        <v>2030</v>
      </c>
      <c r="J23" s="54">
        <v>2031</v>
      </c>
      <c r="K23" s="75">
        <v>2032</v>
      </c>
    </row>
    <row r="24" spans="1:11" ht="15" customHeight="1" thickBot="1" x14ac:dyDescent="0.4">
      <c r="C24" s="2" t="s">
        <v>26</v>
      </c>
      <c r="D24" s="51" t="s">
        <v>54</v>
      </c>
      <c r="E24" s="31" t="s">
        <v>27</v>
      </c>
      <c r="F24" s="31" t="s">
        <v>27</v>
      </c>
      <c r="G24" s="31" t="s">
        <v>27</v>
      </c>
      <c r="H24" s="3" t="s">
        <v>27</v>
      </c>
      <c r="I24" s="3" t="s">
        <v>27</v>
      </c>
      <c r="J24" s="3" t="s">
        <v>27</v>
      </c>
      <c r="K24" s="4" t="s">
        <v>36</v>
      </c>
    </row>
    <row r="25" spans="1:11" ht="15" customHeight="1" thickBot="1" x14ac:dyDescent="0.4">
      <c r="A25" s="28"/>
      <c r="C25" s="123" t="s">
        <v>4</v>
      </c>
      <c r="D25" s="32"/>
      <c r="E25" s="74">
        <f t="shared" ref="E25:K25" si="2">E7</f>
        <v>1</v>
      </c>
      <c r="F25" s="74">
        <f t="shared" si="2"/>
        <v>2</v>
      </c>
      <c r="G25" s="74">
        <f t="shared" si="2"/>
        <v>3</v>
      </c>
      <c r="H25" s="74">
        <f t="shared" si="2"/>
        <v>4</v>
      </c>
      <c r="I25" s="74">
        <f t="shared" si="2"/>
        <v>5</v>
      </c>
      <c r="J25" s="74">
        <f t="shared" si="2"/>
        <v>6</v>
      </c>
      <c r="K25" s="74">
        <f t="shared" si="2"/>
        <v>7</v>
      </c>
    </row>
    <row r="26" spans="1:11" ht="15" customHeight="1" thickTop="1" x14ac:dyDescent="0.35">
      <c r="A26" s="45"/>
      <c r="C26" s="43" t="s">
        <v>29</v>
      </c>
      <c r="D26" s="98">
        <f>SUM(E26:K26)</f>
        <v>12610.000024931796</v>
      </c>
      <c r="E26" s="44">
        <f t="shared" ref="E26:K27" si="3">(E$9*E184+E$11*E203+E$13*E220)/1000000</f>
        <v>135.00000085971729</v>
      </c>
      <c r="F26" s="44">
        <f t="shared" si="3"/>
        <v>811.35416924581841</v>
      </c>
      <c r="G26" s="44">
        <f t="shared" si="3"/>
        <v>1871.5625042985857</v>
      </c>
      <c r="H26" s="44">
        <f t="shared" si="3"/>
        <v>2616.7708376319188</v>
      </c>
      <c r="I26" s="44">
        <f t="shared" si="3"/>
        <v>2504.2708376319188</v>
      </c>
      <c r="J26" s="44">
        <f t="shared" si="3"/>
        <v>2391.7708376319183</v>
      </c>
      <c r="K26" s="76">
        <f t="shared" si="3"/>
        <v>2279.2708376319188</v>
      </c>
    </row>
    <row r="27" spans="1:11" ht="15" customHeight="1" x14ac:dyDescent="0.35">
      <c r="A27" s="45"/>
      <c r="C27" s="46" t="s">
        <v>43</v>
      </c>
      <c r="D27" s="99">
        <f t="shared" ref="D27:D29" si="4">SUM(E27:K27)</f>
        <v>12500</v>
      </c>
      <c r="E27" s="47">
        <f t="shared" si="3"/>
        <v>2500</v>
      </c>
      <c r="F27" s="47">
        <f t="shared" si="3"/>
        <v>5000</v>
      </c>
      <c r="G27" s="47">
        <f t="shared" si="3"/>
        <v>5000</v>
      </c>
      <c r="H27" s="47">
        <f t="shared" si="3"/>
        <v>0</v>
      </c>
      <c r="I27" s="56">
        <f t="shared" si="3"/>
        <v>0</v>
      </c>
      <c r="J27" s="56">
        <f t="shared" si="3"/>
        <v>0</v>
      </c>
      <c r="K27" s="77">
        <f t="shared" si="3"/>
        <v>0</v>
      </c>
    </row>
    <row r="28" spans="1:11" ht="15" customHeight="1" x14ac:dyDescent="0.35">
      <c r="A28" s="45"/>
      <c r="C28" s="46" t="s">
        <v>56</v>
      </c>
      <c r="D28" s="99">
        <f>K28</f>
        <v>12500</v>
      </c>
      <c r="E28" s="47">
        <f>E27</f>
        <v>2500</v>
      </c>
      <c r="F28" s="47">
        <f>E28+F27</f>
        <v>7500</v>
      </c>
      <c r="G28" s="47">
        <f t="shared" ref="G28:K28" si="5">F28+G27</f>
        <v>12500</v>
      </c>
      <c r="H28" s="47">
        <f t="shared" si="5"/>
        <v>12500</v>
      </c>
      <c r="I28" s="47">
        <f t="shared" si="5"/>
        <v>12500</v>
      </c>
      <c r="J28" s="47">
        <f t="shared" si="5"/>
        <v>12500</v>
      </c>
      <c r="K28" s="77">
        <f t="shared" si="5"/>
        <v>12500</v>
      </c>
    </row>
    <row r="29" spans="1:11" ht="15" customHeight="1" x14ac:dyDescent="0.35">
      <c r="A29" s="45"/>
      <c r="C29" s="46" t="s">
        <v>30</v>
      </c>
      <c r="D29" s="99">
        <f t="shared" si="4"/>
        <v>10000.000009012878</v>
      </c>
      <c r="E29" s="47">
        <f t="shared" ref="E29:K30" si="6">(E$9*E186+E$11*E205+E$13*E222)/1000000</f>
        <v>2.66979882129015E-7</v>
      </c>
      <c r="F29" s="47">
        <f t="shared" si="6"/>
        <v>416.666667484073</v>
      </c>
      <c r="G29" s="47">
        <f t="shared" si="6"/>
        <v>1250.0000014017821</v>
      </c>
      <c r="H29" s="47">
        <f t="shared" si="6"/>
        <v>2083.3333348215742</v>
      </c>
      <c r="I29" s="56">
        <f t="shared" si="6"/>
        <v>2083.3333349133663</v>
      </c>
      <c r="J29" s="56">
        <f t="shared" si="6"/>
        <v>2083.3333350108192</v>
      </c>
      <c r="K29" s="77">
        <f t="shared" si="6"/>
        <v>2083.3333351142824</v>
      </c>
    </row>
    <row r="30" spans="1:11" ht="15" customHeight="1" x14ac:dyDescent="0.35">
      <c r="A30" s="45"/>
      <c r="C30" s="46" t="s">
        <v>60</v>
      </c>
      <c r="D30" s="99">
        <f>K30</f>
        <v>2500.0000169799041</v>
      </c>
      <c r="E30" s="47">
        <f t="shared" si="6"/>
        <v>2499.9999997330196</v>
      </c>
      <c r="F30" s="47">
        <f t="shared" si="6"/>
        <v>7083.3333422489441</v>
      </c>
      <c r="G30" s="47">
        <f t="shared" si="6"/>
        <v>10833.333360847157</v>
      </c>
      <c r="H30" s="47">
        <f t="shared" si="6"/>
        <v>8750.000046025576</v>
      </c>
      <c r="I30" s="56">
        <f t="shared" si="6"/>
        <v>6666.6667111122078</v>
      </c>
      <c r="J30" s="56">
        <f t="shared" si="6"/>
        <v>4583.3333679715461</v>
      </c>
      <c r="K30" s="77">
        <f t="shared" si="6"/>
        <v>2500.0000169799041</v>
      </c>
    </row>
    <row r="31" spans="1:11" ht="15" customHeight="1" x14ac:dyDescent="0.35">
      <c r="A31" s="45"/>
      <c r="C31" s="46"/>
      <c r="D31" s="100"/>
      <c r="E31" s="47"/>
      <c r="F31" s="47"/>
      <c r="G31" s="47"/>
      <c r="H31" s="47"/>
      <c r="I31" s="56"/>
      <c r="J31" s="56"/>
      <c r="K31" s="77"/>
    </row>
    <row r="32" spans="1:11" ht="15" customHeight="1" x14ac:dyDescent="0.35">
      <c r="A32" s="45"/>
      <c r="C32" s="46" t="s">
        <v>33</v>
      </c>
      <c r="D32" s="99">
        <f t="shared" ref="D32" si="7">SUM(E32:K32)</f>
        <v>2610.000013942727</v>
      </c>
      <c r="E32" s="47">
        <f t="shared" ref="E32:K32" si="8">(E$9*E191+E$11*E210+E$13*E227)/1000000</f>
        <v>135.00000059273736</v>
      </c>
      <c r="F32" s="47">
        <f t="shared" si="8"/>
        <v>394.68750176174535</v>
      </c>
      <c r="G32" s="47">
        <f t="shared" si="8"/>
        <v>621.56250289680406</v>
      </c>
      <c r="H32" s="47">
        <f t="shared" si="8"/>
        <v>533.43750281034477</v>
      </c>
      <c r="I32" s="56">
        <f t="shared" si="8"/>
        <v>420.93750271855316</v>
      </c>
      <c r="J32" s="56">
        <f t="shared" si="8"/>
        <v>308.43750212149882</v>
      </c>
      <c r="K32" s="77">
        <f t="shared" si="8"/>
        <v>195.93750104104359</v>
      </c>
    </row>
    <row r="33" spans="1:11" ht="15" customHeight="1" thickBot="1" x14ac:dyDescent="0.4">
      <c r="A33" s="28"/>
      <c r="C33" s="49"/>
      <c r="D33" s="101"/>
      <c r="E33" s="50"/>
      <c r="F33" s="50"/>
      <c r="G33" s="50"/>
      <c r="H33" s="50"/>
      <c r="I33" s="58"/>
      <c r="J33" s="58"/>
      <c r="K33" s="78"/>
    </row>
    <row r="34" spans="1:11" ht="15" customHeight="1" x14ac:dyDescent="0.35"/>
    <row r="35" spans="1:11" ht="15" customHeight="1" x14ac:dyDescent="0.35">
      <c r="C35" s="27"/>
      <c r="D35" s="27"/>
    </row>
    <row r="36" spans="1:11" ht="15" customHeight="1" x14ac:dyDescent="0.35">
      <c r="C36" s="27"/>
      <c r="D36" s="27"/>
    </row>
    <row r="37" spans="1:11" ht="15" customHeight="1" x14ac:dyDescent="0.35">
      <c r="C37" s="27"/>
      <c r="D37" s="27"/>
    </row>
    <row r="38" spans="1:11" ht="25.5" customHeight="1" x14ac:dyDescent="0.65">
      <c r="C38" s="26" t="s">
        <v>42</v>
      </c>
      <c r="D38" s="27"/>
    </row>
    <row r="39" spans="1:11" ht="33" customHeight="1" x14ac:dyDescent="0.35">
      <c r="C39" s="27"/>
      <c r="D39" s="27"/>
    </row>
    <row r="40" spans="1:11" s="28" customFormat="1" x14ac:dyDescent="0.35">
      <c r="B40"/>
    </row>
    <row r="41" spans="1:11" s="28" customFormat="1" ht="15" hidden="1" customHeight="1" thickTop="1" x14ac:dyDescent="0.35">
      <c r="B41"/>
      <c r="C41" s="33"/>
      <c r="D41" s="33"/>
      <c r="E41" s="33"/>
      <c r="F41" s="33"/>
      <c r="G41" s="33"/>
      <c r="H41" s="33"/>
      <c r="I41" s="33"/>
      <c r="J41" s="33"/>
      <c r="K41" s="33"/>
    </row>
    <row r="42" spans="1:11" s="28" customFormat="1" ht="15" hidden="1" customHeight="1" x14ac:dyDescent="0.35">
      <c r="B42"/>
      <c r="C42" s="34"/>
      <c r="D42" s="34"/>
      <c r="E42" s="34"/>
      <c r="F42" s="34"/>
      <c r="G42" s="34"/>
      <c r="H42" s="34"/>
      <c r="I42" s="34"/>
      <c r="J42" s="34"/>
      <c r="K42" s="34"/>
    </row>
    <row r="43" spans="1:11" s="36" customFormat="1" ht="15" hidden="1" customHeight="1" x14ac:dyDescent="0.35">
      <c r="A43" s="28"/>
      <c r="B43"/>
      <c r="C43" s="35"/>
      <c r="D43" s="35"/>
      <c r="E43" s="35"/>
      <c r="F43" s="35"/>
      <c r="G43" s="35"/>
      <c r="H43" s="35"/>
      <c r="I43" s="35"/>
      <c r="J43" s="35"/>
      <c r="K43" s="35"/>
    </row>
    <row r="44" spans="1:11" s="36" customFormat="1" ht="15" hidden="1" customHeight="1" x14ac:dyDescent="0.35">
      <c r="A44" s="28"/>
      <c r="B44"/>
      <c r="C44" s="35"/>
      <c r="D44" s="35"/>
      <c r="E44" s="35"/>
      <c r="F44" s="35"/>
      <c r="G44" s="35"/>
      <c r="H44" s="35"/>
      <c r="I44" s="35"/>
      <c r="J44" s="35"/>
      <c r="K44" s="35"/>
    </row>
    <row r="45" spans="1:11" s="28" customFormat="1" ht="15" hidden="1" customHeight="1" x14ac:dyDescent="0.35">
      <c r="B45"/>
      <c r="C45" s="35"/>
      <c r="D45" s="35"/>
      <c r="E45" s="35"/>
      <c r="F45" s="35"/>
      <c r="G45" s="35"/>
      <c r="H45" s="35"/>
      <c r="I45" s="35"/>
      <c r="J45" s="35"/>
      <c r="K45" s="35"/>
    </row>
    <row r="46" spans="1:11" s="36" customFormat="1" ht="15" hidden="1" customHeight="1" x14ac:dyDescent="0.35">
      <c r="A46" s="28"/>
      <c r="B46"/>
      <c r="C46" s="35"/>
      <c r="D46" s="35"/>
      <c r="E46" s="35"/>
      <c r="F46" s="35"/>
      <c r="G46" s="35"/>
      <c r="H46" s="35"/>
      <c r="I46" s="35"/>
      <c r="J46" s="35"/>
      <c r="K46" s="35"/>
    </row>
    <row r="47" spans="1:11" s="36" customFormat="1" ht="15" hidden="1" customHeight="1" x14ac:dyDescent="0.35">
      <c r="A47" s="28"/>
      <c r="B47"/>
      <c r="C47" s="37"/>
      <c r="D47" s="37"/>
      <c r="E47" s="37"/>
      <c r="F47" s="37"/>
      <c r="G47" s="37"/>
      <c r="H47" s="37"/>
      <c r="I47" s="37"/>
      <c r="J47" s="37"/>
      <c r="K47" s="37"/>
    </row>
    <row r="48" spans="1:11" s="36" customFormat="1" ht="15" hidden="1" customHeight="1" thickBot="1" x14ac:dyDescent="0.4">
      <c r="A48" s="28"/>
      <c r="B48"/>
      <c r="C48" s="37"/>
      <c r="D48" s="37"/>
      <c r="E48" s="37"/>
      <c r="F48" s="37"/>
      <c r="G48" s="37"/>
      <c r="H48" s="37"/>
      <c r="I48" s="37"/>
      <c r="J48" s="37"/>
      <c r="K48" s="37"/>
    </row>
    <row r="49" spans="1:11" s="36" customFormat="1" ht="15" hidden="1" customHeight="1" thickBot="1" x14ac:dyDescent="0.4">
      <c r="A49" s="28"/>
      <c r="B49"/>
      <c r="C49" s="38"/>
      <c r="D49" s="38"/>
      <c r="E49" s="38"/>
      <c r="F49" s="38"/>
      <c r="G49" s="38"/>
      <c r="H49" s="38"/>
      <c r="I49" s="38"/>
      <c r="J49" s="38"/>
      <c r="K49" s="38"/>
    </row>
    <row r="50" spans="1:11" s="39" customFormat="1" ht="15" hidden="1" customHeight="1" thickTop="1" x14ac:dyDescent="0.35">
      <c r="A50" s="28"/>
      <c r="B50"/>
      <c r="C50" s="33"/>
      <c r="D50" s="33"/>
      <c r="E50" s="33"/>
      <c r="F50" s="33"/>
      <c r="G50" s="33"/>
      <c r="H50" s="33"/>
      <c r="I50" s="33"/>
      <c r="J50" s="33"/>
      <c r="K50" s="33"/>
    </row>
    <row r="51" spans="1:11" s="39" customFormat="1" ht="15" hidden="1" customHeight="1" x14ac:dyDescent="0.35">
      <c r="A51" s="28"/>
      <c r="B51"/>
      <c r="C51" s="40"/>
      <c r="D51" s="40"/>
      <c r="E51" s="40"/>
      <c r="F51" s="40"/>
      <c r="G51" s="40"/>
      <c r="H51" s="40"/>
      <c r="I51" s="40"/>
      <c r="J51" s="40"/>
      <c r="K51" s="40"/>
    </row>
    <row r="52" spans="1:11" s="36" customFormat="1" ht="15" hidden="1" customHeight="1" x14ac:dyDescent="0.35">
      <c r="A52" s="28"/>
      <c r="B52"/>
      <c r="C52" s="35"/>
      <c r="D52" s="35"/>
      <c r="E52" s="35"/>
      <c r="F52" s="35"/>
      <c r="G52" s="35"/>
      <c r="H52" s="35"/>
      <c r="I52" s="35"/>
      <c r="J52" s="35"/>
      <c r="K52" s="35"/>
    </row>
    <row r="53" spans="1:11" s="36" customFormat="1" ht="15" hidden="1" customHeight="1" x14ac:dyDescent="0.35">
      <c r="A53" s="28"/>
      <c r="B53"/>
      <c r="C53" s="35"/>
      <c r="D53" s="35"/>
      <c r="E53" s="35"/>
      <c r="F53" s="35"/>
      <c r="G53" s="35"/>
      <c r="H53" s="35"/>
      <c r="I53" s="35"/>
      <c r="J53" s="35"/>
      <c r="K53" s="35"/>
    </row>
    <row r="54" spans="1:11" s="28" customFormat="1" ht="15" hidden="1" customHeight="1" x14ac:dyDescent="0.35">
      <c r="B54"/>
      <c r="C54" s="35"/>
      <c r="D54" s="35"/>
      <c r="E54" s="35"/>
      <c r="F54" s="35"/>
      <c r="G54" s="35"/>
      <c r="H54" s="35"/>
      <c r="I54" s="35"/>
      <c r="J54" s="35"/>
      <c r="K54" s="35"/>
    </row>
    <row r="55" spans="1:11" s="36" customFormat="1" ht="15" hidden="1" customHeight="1" x14ac:dyDescent="0.35">
      <c r="A55" s="28"/>
      <c r="B55"/>
      <c r="C55" s="35"/>
      <c r="D55" s="35"/>
      <c r="E55" s="35"/>
      <c r="F55" s="35"/>
      <c r="G55" s="35"/>
      <c r="H55" s="35"/>
      <c r="I55" s="35"/>
      <c r="J55" s="35"/>
      <c r="K55" s="35"/>
    </row>
    <row r="56" spans="1:11" s="36" customFormat="1" ht="15" hidden="1" customHeight="1" x14ac:dyDescent="0.35">
      <c r="A56" s="28"/>
      <c r="B56"/>
      <c r="C56" s="37"/>
      <c r="D56" s="37"/>
      <c r="E56" s="37"/>
      <c r="F56" s="37"/>
      <c r="G56" s="37"/>
      <c r="H56" s="37"/>
      <c r="I56" s="37"/>
      <c r="J56" s="37"/>
      <c r="K56" s="37"/>
    </row>
    <row r="57" spans="1:11" s="36" customFormat="1" ht="15" hidden="1" customHeight="1" thickBot="1" x14ac:dyDescent="0.4">
      <c r="A57" s="28"/>
      <c r="B57"/>
      <c r="C57" s="41"/>
      <c r="D57" s="41"/>
      <c r="E57" s="41"/>
      <c r="F57" s="41"/>
      <c r="G57" s="41"/>
      <c r="H57" s="41"/>
      <c r="I57" s="41"/>
      <c r="J57" s="41"/>
      <c r="K57" s="41"/>
    </row>
    <row r="58" spans="1:11" s="36" customFormat="1" ht="15" hidden="1" customHeight="1" thickTop="1" thickBot="1" x14ac:dyDescent="0.4">
      <c r="A58" s="28"/>
      <c r="B58"/>
      <c r="C58" s="42"/>
      <c r="D58" s="42"/>
      <c r="E58" s="42"/>
      <c r="F58" s="42"/>
      <c r="G58" s="42"/>
      <c r="H58" s="42"/>
      <c r="I58" s="42"/>
      <c r="J58" s="42"/>
      <c r="K58" s="42"/>
    </row>
    <row r="59" spans="1:11" s="28" customFormat="1" ht="15" hidden="1" customHeight="1" thickTop="1" x14ac:dyDescent="0.35">
      <c r="B59"/>
      <c r="C59" s="33"/>
      <c r="D59" s="33"/>
      <c r="E59" s="33"/>
      <c r="F59" s="33"/>
      <c r="G59" s="33"/>
      <c r="H59" s="33"/>
      <c r="I59" s="33"/>
      <c r="J59" s="33"/>
      <c r="K59" s="33"/>
    </row>
    <row r="60" spans="1:11" s="28" customFormat="1" ht="15" hidden="1" customHeight="1" x14ac:dyDescent="0.35">
      <c r="B60"/>
      <c r="C60" s="34"/>
      <c r="D60" s="34"/>
      <c r="E60" s="34"/>
      <c r="F60" s="34"/>
      <c r="G60" s="34"/>
      <c r="H60" s="34"/>
      <c r="I60" s="34"/>
      <c r="J60" s="34"/>
      <c r="K60" s="34"/>
    </row>
    <row r="61" spans="1:11" s="36" customFormat="1" ht="15" hidden="1" customHeight="1" x14ac:dyDescent="0.35">
      <c r="A61" s="28"/>
      <c r="B61"/>
      <c r="C61" s="35"/>
      <c r="D61" s="35"/>
      <c r="E61" s="35"/>
      <c r="F61" s="35"/>
      <c r="G61" s="35"/>
      <c r="H61" s="35"/>
      <c r="I61" s="35"/>
      <c r="J61" s="35"/>
      <c r="K61" s="35"/>
    </row>
    <row r="62" spans="1:11" s="36" customFormat="1" ht="15" hidden="1" customHeight="1" x14ac:dyDescent="0.35">
      <c r="A62" s="28"/>
      <c r="B62"/>
      <c r="C62" s="35"/>
      <c r="D62" s="35"/>
      <c r="E62" s="35"/>
      <c r="F62" s="35"/>
      <c r="G62" s="35"/>
      <c r="H62" s="35"/>
      <c r="I62" s="35"/>
      <c r="J62" s="35"/>
      <c r="K62" s="35"/>
    </row>
    <row r="63" spans="1:11" s="28" customFormat="1" ht="15" hidden="1" customHeight="1" x14ac:dyDescent="0.35">
      <c r="B63"/>
      <c r="C63" s="35"/>
      <c r="D63" s="35"/>
      <c r="E63" s="35"/>
      <c r="F63" s="35"/>
      <c r="G63" s="35"/>
      <c r="H63" s="35"/>
      <c r="I63" s="35"/>
      <c r="J63" s="35"/>
      <c r="K63" s="35"/>
    </row>
    <row r="64" spans="1:11" s="36" customFormat="1" ht="15" hidden="1" customHeight="1" x14ac:dyDescent="0.35">
      <c r="A64" s="28"/>
      <c r="B64"/>
      <c r="C64" s="35"/>
      <c r="D64" s="35"/>
      <c r="E64" s="35"/>
      <c r="F64" s="35"/>
      <c r="G64" s="35"/>
      <c r="H64" s="35"/>
      <c r="I64" s="35"/>
      <c r="J64" s="35"/>
      <c r="K64" s="35"/>
    </row>
    <row r="65" spans="1:11" s="36" customFormat="1" ht="15" hidden="1" customHeight="1" x14ac:dyDescent="0.35">
      <c r="A65" s="28"/>
      <c r="B65"/>
      <c r="C65" s="37"/>
      <c r="D65" s="37"/>
      <c r="E65" s="37"/>
      <c r="F65" s="37"/>
      <c r="G65" s="37"/>
      <c r="H65" s="37"/>
      <c r="I65" s="37"/>
      <c r="J65" s="37"/>
      <c r="K65" s="37"/>
    </row>
    <row r="66" spans="1:11" s="36" customFormat="1" ht="15" hidden="1" customHeight="1" thickBot="1" x14ac:dyDescent="0.4">
      <c r="A66" s="28"/>
      <c r="B66"/>
      <c r="C66" s="37"/>
      <c r="D66" s="37"/>
      <c r="E66" s="37"/>
      <c r="F66" s="37"/>
      <c r="G66" s="37"/>
      <c r="H66" s="37"/>
      <c r="I66" s="37"/>
      <c r="J66" s="37"/>
      <c r="K66" s="37"/>
    </row>
    <row r="67" spans="1:11" s="36" customFormat="1" ht="15" hidden="1" customHeight="1" thickBot="1" x14ac:dyDescent="0.4">
      <c r="A67" s="28"/>
      <c r="B67"/>
      <c r="C67" s="38"/>
      <c r="D67" s="38"/>
      <c r="E67" s="38"/>
      <c r="F67" s="38"/>
      <c r="G67" s="38"/>
      <c r="H67" s="38"/>
      <c r="I67" s="38"/>
      <c r="J67" s="38"/>
      <c r="K67" s="38"/>
    </row>
    <row r="68" spans="1:11" s="39" customFormat="1" ht="15" hidden="1" customHeight="1" thickTop="1" x14ac:dyDescent="0.35">
      <c r="A68" s="28"/>
      <c r="B68"/>
      <c r="C68" s="33"/>
      <c r="D68" s="33"/>
      <c r="E68" s="33"/>
      <c r="F68" s="33"/>
      <c r="G68" s="33"/>
      <c r="H68" s="33"/>
      <c r="I68" s="33"/>
      <c r="J68" s="33"/>
      <c r="K68" s="33"/>
    </row>
    <row r="69" spans="1:11" s="39" customFormat="1" ht="15" hidden="1" customHeight="1" x14ac:dyDescent="0.35">
      <c r="A69" s="28"/>
      <c r="B69"/>
      <c r="C69" s="40"/>
      <c r="D69" s="40"/>
      <c r="E69" s="40"/>
      <c r="F69" s="40"/>
      <c r="G69" s="40"/>
      <c r="H69" s="40"/>
      <c r="I69" s="40"/>
      <c r="J69" s="40"/>
      <c r="K69" s="40"/>
    </row>
    <row r="70" spans="1:11" s="36" customFormat="1" ht="15" hidden="1" customHeight="1" x14ac:dyDescent="0.35">
      <c r="A70" s="28"/>
      <c r="B70"/>
      <c r="C70" s="35"/>
      <c r="D70" s="35"/>
      <c r="E70" s="35"/>
      <c r="F70" s="35"/>
      <c r="G70" s="35"/>
      <c r="H70" s="35"/>
      <c r="I70" s="35"/>
      <c r="J70" s="35"/>
      <c r="K70" s="35"/>
    </row>
    <row r="71" spans="1:11" s="36" customFormat="1" ht="15" hidden="1" customHeight="1" x14ac:dyDescent="0.35">
      <c r="A71" s="28"/>
      <c r="B71"/>
      <c r="C71" s="35"/>
      <c r="D71" s="35"/>
      <c r="E71" s="35"/>
      <c r="F71" s="35"/>
      <c r="G71" s="35"/>
      <c r="H71" s="35"/>
      <c r="I71" s="35"/>
      <c r="J71" s="35"/>
      <c r="K71" s="35"/>
    </row>
    <row r="72" spans="1:11" s="28" customFormat="1" ht="15" hidden="1" customHeight="1" x14ac:dyDescent="0.35">
      <c r="B72"/>
      <c r="C72" s="35"/>
      <c r="D72" s="35"/>
      <c r="E72" s="35"/>
      <c r="F72" s="35"/>
      <c r="G72" s="35"/>
      <c r="H72" s="35"/>
      <c r="I72" s="35"/>
      <c r="J72" s="35"/>
      <c r="K72" s="35"/>
    </row>
    <row r="73" spans="1:11" s="36" customFormat="1" ht="15" hidden="1" customHeight="1" x14ac:dyDescent="0.35">
      <c r="A73" s="28"/>
      <c r="B73"/>
      <c r="C73" s="35"/>
      <c r="D73" s="35"/>
      <c r="E73" s="35"/>
      <c r="F73" s="35"/>
      <c r="G73" s="35"/>
      <c r="H73" s="35"/>
      <c r="I73" s="35"/>
      <c r="J73" s="35"/>
      <c r="K73" s="35"/>
    </row>
    <row r="74" spans="1:11" s="36" customFormat="1" ht="15" hidden="1" customHeight="1" x14ac:dyDescent="0.35">
      <c r="A74" s="28"/>
      <c r="B74"/>
      <c r="C74" s="37"/>
      <c r="D74" s="37"/>
      <c r="E74" s="37"/>
      <c r="F74" s="37"/>
      <c r="G74" s="37"/>
      <c r="H74" s="37"/>
      <c r="I74" s="37"/>
      <c r="J74" s="37"/>
      <c r="K74" s="37"/>
    </row>
    <row r="75" spans="1:11" s="36" customFormat="1" ht="15" hidden="1" customHeight="1" thickBot="1" x14ac:dyDescent="0.4">
      <c r="A75" s="28"/>
      <c r="B75"/>
      <c r="C75" s="41"/>
      <c r="D75" s="41"/>
      <c r="E75" s="41"/>
      <c r="F75" s="41"/>
      <c r="G75" s="41"/>
      <c r="H75" s="41"/>
      <c r="I75" s="41"/>
      <c r="J75" s="41"/>
      <c r="K75" s="41"/>
    </row>
    <row r="76" spans="1:11" s="28" customFormat="1" ht="15" hidden="1" customHeight="1" thickTop="1" x14ac:dyDescent="0.35">
      <c r="B76"/>
      <c r="C76" s="33"/>
      <c r="D76" s="33"/>
      <c r="E76" s="33"/>
      <c r="F76" s="33"/>
      <c r="G76" s="33"/>
      <c r="H76" s="33"/>
      <c r="I76" s="33"/>
      <c r="J76" s="33"/>
      <c r="K76" s="33"/>
    </row>
    <row r="77" spans="1:11" s="28" customFormat="1" ht="15" hidden="1" customHeight="1" x14ac:dyDescent="0.35">
      <c r="B77"/>
      <c r="C77" s="34"/>
      <c r="D77" s="34"/>
      <c r="E77" s="34"/>
      <c r="F77" s="34"/>
      <c r="G77" s="34"/>
      <c r="H77" s="34"/>
      <c r="I77" s="34"/>
      <c r="J77" s="34"/>
      <c r="K77" s="34"/>
    </row>
    <row r="78" spans="1:11" s="36" customFormat="1" ht="15" hidden="1" customHeight="1" x14ac:dyDescent="0.35">
      <c r="A78" s="28"/>
      <c r="B78"/>
      <c r="C78" s="35"/>
      <c r="D78" s="35"/>
      <c r="E78" s="35"/>
      <c r="F78" s="35"/>
      <c r="G78" s="35"/>
      <c r="H78" s="35"/>
      <c r="I78" s="35"/>
      <c r="J78" s="35"/>
      <c r="K78" s="35"/>
    </row>
    <row r="79" spans="1:11" s="36" customFormat="1" ht="15" hidden="1" customHeight="1" x14ac:dyDescent="0.35">
      <c r="A79" s="28"/>
      <c r="B79"/>
      <c r="C79" s="35"/>
      <c r="D79" s="35"/>
      <c r="E79" s="35"/>
      <c r="F79" s="35"/>
      <c r="G79" s="35"/>
      <c r="H79" s="35"/>
      <c r="I79" s="35"/>
      <c r="J79" s="35"/>
      <c r="K79" s="35"/>
    </row>
    <row r="80" spans="1:11" s="28" customFormat="1" ht="15" hidden="1" customHeight="1" x14ac:dyDescent="0.35">
      <c r="B80"/>
      <c r="C80" s="35"/>
      <c r="D80" s="35"/>
      <c r="E80" s="35"/>
      <c r="F80" s="35"/>
      <c r="G80" s="35"/>
      <c r="H80" s="35"/>
      <c r="I80" s="35"/>
      <c r="J80" s="35"/>
      <c r="K80" s="35"/>
    </row>
    <row r="81" spans="1:11" s="36" customFormat="1" ht="15" hidden="1" customHeight="1" x14ac:dyDescent="0.35">
      <c r="A81" s="28"/>
      <c r="B81"/>
      <c r="C81" s="35"/>
      <c r="D81" s="35"/>
      <c r="E81" s="35"/>
      <c r="F81" s="35"/>
      <c r="G81" s="35"/>
      <c r="H81" s="35"/>
      <c r="I81" s="35"/>
      <c r="J81" s="35"/>
      <c r="K81" s="35"/>
    </row>
    <row r="82" spans="1:11" s="36" customFormat="1" ht="15" hidden="1" customHeight="1" x14ac:dyDescent="0.35">
      <c r="A82" s="28"/>
      <c r="B82"/>
      <c r="C82" s="37"/>
      <c r="D82" s="37"/>
      <c r="E82" s="37"/>
      <c r="F82" s="37"/>
      <c r="G82" s="37"/>
      <c r="H82" s="37"/>
      <c r="I82" s="37"/>
      <c r="J82" s="37"/>
      <c r="K82" s="37"/>
    </row>
    <row r="83" spans="1:11" s="36" customFormat="1" ht="15" hidden="1" customHeight="1" thickBot="1" x14ac:dyDescent="0.4">
      <c r="A83" s="28"/>
      <c r="B83"/>
      <c r="C83" s="37"/>
      <c r="D83" s="37"/>
      <c r="E83" s="37"/>
      <c r="F83" s="37"/>
      <c r="G83" s="37"/>
      <c r="H83" s="37"/>
      <c r="I83" s="37"/>
      <c r="J83" s="37"/>
      <c r="K83" s="37"/>
    </row>
    <row r="84" spans="1:11" s="36" customFormat="1" ht="15" hidden="1" customHeight="1" thickBot="1" x14ac:dyDescent="0.4">
      <c r="A84" s="28"/>
      <c r="B84"/>
      <c r="C84" s="38"/>
      <c r="D84" s="38"/>
      <c r="E84" s="38"/>
      <c r="F84" s="38"/>
      <c r="G84" s="38"/>
      <c r="H84" s="38"/>
      <c r="I84" s="38"/>
      <c r="J84" s="38"/>
      <c r="K84" s="38"/>
    </row>
    <row r="85" spans="1:11" s="39" customFormat="1" ht="15" hidden="1" customHeight="1" thickTop="1" x14ac:dyDescent="0.35">
      <c r="A85" s="28"/>
      <c r="B85"/>
      <c r="C85" s="33"/>
      <c r="D85" s="33"/>
      <c r="E85" s="33"/>
      <c r="F85" s="33"/>
      <c r="G85" s="33"/>
      <c r="H85" s="33"/>
      <c r="I85" s="33"/>
      <c r="J85" s="33"/>
      <c r="K85" s="33"/>
    </row>
    <row r="86" spans="1:11" s="39" customFormat="1" ht="15" hidden="1" customHeight="1" x14ac:dyDescent="0.35">
      <c r="A86" s="28"/>
      <c r="B86"/>
      <c r="C86" s="40"/>
      <c r="D86" s="40"/>
      <c r="E86" s="40"/>
      <c r="F86" s="40"/>
      <c r="G86" s="40"/>
      <c r="H86" s="40"/>
      <c r="I86" s="40"/>
      <c r="J86" s="40"/>
      <c r="K86" s="40"/>
    </row>
    <row r="87" spans="1:11" s="36" customFormat="1" ht="15" hidden="1" customHeight="1" x14ac:dyDescent="0.35">
      <c r="A87" s="28"/>
      <c r="B87"/>
      <c r="C87" s="35"/>
      <c r="D87" s="35"/>
      <c r="E87" s="35"/>
      <c r="F87" s="35"/>
      <c r="G87" s="35"/>
      <c r="H87" s="35"/>
      <c r="I87" s="35"/>
      <c r="J87" s="35"/>
      <c r="K87" s="35"/>
    </row>
    <row r="88" spans="1:11" s="36" customFormat="1" ht="15" hidden="1" customHeight="1" x14ac:dyDescent="0.35">
      <c r="A88" s="28"/>
      <c r="B88"/>
      <c r="C88" s="35"/>
      <c r="D88" s="35"/>
      <c r="E88" s="35"/>
      <c r="F88" s="35"/>
      <c r="G88" s="35"/>
      <c r="H88" s="35"/>
      <c r="I88" s="35"/>
      <c r="J88" s="35"/>
      <c r="K88" s="35"/>
    </row>
    <row r="89" spans="1:11" s="28" customFormat="1" ht="15" hidden="1" customHeight="1" x14ac:dyDescent="0.35">
      <c r="B89"/>
      <c r="C89" s="35"/>
      <c r="D89" s="35"/>
      <c r="E89" s="35"/>
      <c r="F89" s="35"/>
      <c r="G89" s="35"/>
      <c r="H89" s="35"/>
      <c r="I89" s="35"/>
      <c r="J89" s="35"/>
      <c r="K89" s="35"/>
    </row>
    <row r="90" spans="1:11" s="36" customFormat="1" ht="15" hidden="1" customHeight="1" x14ac:dyDescent="0.35">
      <c r="A90" s="28"/>
      <c r="B90"/>
      <c r="C90" s="35"/>
      <c r="D90" s="35"/>
      <c r="E90" s="35"/>
      <c r="F90" s="35"/>
      <c r="G90" s="35"/>
      <c r="H90" s="35"/>
      <c r="I90" s="35"/>
      <c r="J90" s="35"/>
      <c r="K90" s="35"/>
    </row>
    <row r="91" spans="1:11" s="36" customFormat="1" ht="15" hidden="1" customHeight="1" x14ac:dyDescent="0.35">
      <c r="A91" s="28"/>
      <c r="B91"/>
      <c r="C91" s="37"/>
      <c r="D91" s="37"/>
      <c r="E91" s="37"/>
      <c r="F91" s="37"/>
      <c r="G91" s="37"/>
      <c r="H91" s="37"/>
      <c r="I91" s="37"/>
      <c r="J91" s="37"/>
      <c r="K91" s="37"/>
    </row>
    <row r="92" spans="1:11" s="36" customFormat="1" ht="15" hidden="1" customHeight="1" thickBot="1" x14ac:dyDescent="0.4">
      <c r="A92" s="28"/>
      <c r="B92"/>
      <c r="C92" s="41"/>
      <c r="D92" s="41"/>
      <c r="E92" s="41"/>
      <c r="F92" s="41"/>
      <c r="G92" s="41"/>
      <c r="H92" s="41"/>
      <c r="I92" s="41"/>
      <c r="J92" s="41"/>
      <c r="K92" s="41"/>
    </row>
    <row r="93" spans="1:11" s="36" customFormat="1" ht="15" hidden="1" customHeight="1" thickTop="1" thickBot="1" x14ac:dyDescent="0.4">
      <c r="A93" s="28"/>
      <c r="B93"/>
      <c r="C93" s="42"/>
      <c r="D93" s="42"/>
      <c r="E93" s="42"/>
      <c r="F93" s="42"/>
      <c r="G93" s="42"/>
      <c r="H93" s="42"/>
      <c r="I93" s="42"/>
      <c r="J93" s="42"/>
      <c r="K93" s="42"/>
    </row>
    <row r="94" spans="1:11" s="28" customFormat="1" ht="15" hidden="1" customHeight="1" thickTop="1" x14ac:dyDescent="0.35">
      <c r="B94"/>
      <c r="C94" s="33"/>
      <c r="D94" s="33"/>
      <c r="E94" s="33"/>
      <c r="F94" s="33"/>
      <c r="G94" s="33"/>
      <c r="H94" s="33"/>
      <c r="I94" s="33"/>
      <c r="J94" s="33"/>
      <c r="K94" s="33"/>
    </row>
    <row r="95" spans="1:11" s="28" customFormat="1" ht="15" hidden="1" customHeight="1" x14ac:dyDescent="0.35">
      <c r="B95"/>
      <c r="C95" s="34"/>
      <c r="D95" s="34"/>
      <c r="E95" s="34"/>
      <c r="F95" s="34"/>
      <c r="G95" s="34"/>
      <c r="H95" s="34"/>
      <c r="I95" s="34"/>
      <c r="J95" s="34"/>
      <c r="K95" s="34"/>
    </row>
    <row r="96" spans="1:11" s="36" customFormat="1" ht="15" hidden="1" customHeight="1" x14ac:dyDescent="0.35">
      <c r="A96" s="28"/>
      <c r="B96"/>
      <c r="C96" s="35"/>
      <c r="D96" s="35"/>
      <c r="E96" s="35"/>
      <c r="F96" s="35"/>
      <c r="G96" s="35"/>
      <c r="H96" s="35"/>
      <c r="I96" s="35"/>
      <c r="J96" s="35"/>
      <c r="K96" s="35"/>
    </row>
    <row r="97" spans="1:11" s="36" customFormat="1" ht="15" hidden="1" customHeight="1" x14ac:dyDescent="0.35">
      <c r="A97" s="28"/>
      <c r="B97"/>
      <c r="C97" s="35"/>
      <c r="D97" s="35"/>
      <c r="E97" s="35"/>
      <c r="F97" s="35"/>
      <c r="G97" s="35"/>
      <c r="H97" s="35"/>
      <c r="I97" s="35"/>
      <c r="J97" s="35"/>
      <c r="K97" s="35"/>
    </row>
    <row r="98" spans="1:11" s="28" customFormat="1" ht="15" hidden="1" customHeight="1" x14ac:dyDescent="0.35">
      <c r="B98"/>
      <c r="C98" s="35"/>
      <c r="D98" s="35"/>
      <c r="E98" s="35"/>
      <c r="F98" s="35"/>
      <c r="G98" s="35"/>
      <c r="H98" s="35"/>
      <c r="I98" s="35"/>
      <c r="J98" s="35"/>
      <c r="K98" s="35"/>
    </row>
    <row r="99" spans="1:11" s="36" customFormat="1" ht="15" hidden="1" customHeight="1" x14ac:dyDescent="0.35">
      <c r="A99" s="28"/>
      <c r="B99"/>
      <c r="C99" s="35"/>
      <c r="D99" s="35"/>
      <c r="E99" s="35"/>
      <c r="F99" s="35"/>
      <c r="G99" s="35"/>
      <c r="H99" s="35"/>
      <c r="I99" s="35"/>
      <c r="J99" s="35"/>
      <c r="K99" s="35"/>
    </row>
    <row r="100" spans="1:11" s="36" customFormat="1" ht="15" hidden="1" customHeight="1" x14ac:dyDescent="0.35">
      <c r="A100" s="28"/>
      <c r="B100"/>
      <c r="C100" s="37"/>
      <c r="D100" s="37"/>
      <c r="E100" s="37"/>
      <c r="F100" s="37"/>
      <c r="G100" s="37"/>
      <c r="H100" s="37"/>
      <c r="I100" s="37"/>
      <c r="J100" s="37"/>
      <c r="K100" s="37"/>
    </row>
    <row r="101" spans="1:11" s="36" customFormat="1" ht="15" hidden="1" customHeight="1" thickBot="1" x14ac:dyDescent="0.4">
      <c r="A101" s="28"/>
      <c r="B101"/>
      <c r="C101" s="37"/>
      <c r="D101" s="37"/>
      <c r="E101" s="37"/>
      <c r="F101" s="37"/>
      <c r="G101" s="37"/>
      <c r="H101" s="37"/>
      <c r="I101" s="37"/>
      <c r="J101" s="37"/>
      <c r="K101" s="37"/>
    </row>
    <row r="102" spans="1:11" s="36" customFormat="1" ht="15" hidden="1" customHeight="1" thickBot="1" x14ac:dyDescent="0.4">
      <c r="A102" s="28"/>
      <c r="B102"/>
      <c r="C102" s="38"/>
      <c r="D102" s="38"/>
      <c r="E102" s="38"/>
      <c r="F102" s="38"/>
      <c r="G102" s="38"/>
      <c r="H102" s="38"/>
      <c r="I102" s="38"/>
      <c r="J102" s="38"/>
      <c r="K102" s="38"/>
    </row>
    <row r="103" spans="1:11" s="39" customFormat="1" ht="15" hidden="1" customHeight="1" thickTop="1" x14ac:dyDescent="0.35">
      <c r="A103" s="28"/>
      <c r="B103"/>
      <c r="C103" s="33"/>
      <c r="D103" s="33"/>
      <c r="E103" s="33"/>
      <c r="F103" s="33"/>
      <c r="G103" s="33"/>
      <c r="H103" s="33"/>
      <c r="I103" s="33"/>
      <c r="J103" s="33"/>
      <c r="K103" s="33"/>
    </row>
    <row r="104" spans="1:11" s="39" customFormat="1" ht="15" hidden="1" customHeight="1" x14ac:dyDescent="0.35">
      <c r="A104" s="28"/>
      <c r="B104"/>
      <c r="C104" s="40"/>
      <c r="D104" s="40"/>
      <c r="E104" s="40"/>
      <c r="F104" s="40"/>
      <c r="G104" s="40"/>
      <c r="H104" s="40"/>
      <c r="I104" s="40"/>
      <c r="J104" s="40"/>
      <c r="K104" s="40"/>
    </row>
    <row r="105" spans="1:11" s="36" customFormat="1" ht="15" hidden="1" customHeight="1" x14ac:dyDescent="0.35">
      <c r="A105" s="28"/>
      <c r="B105"/>
      <c r="C105" s="35"/>
      <c r="D105" s="35"/>
      <c r="E105" s="35"/>
      <c r="F105" s="35"/>
      <c r="G105" s="35"/>
      <c r="H105" s="35"/>
      <c r="I105" s="35"/>
      <c r="J105" s="35"/>
      <c r="K105" s="35"/>
    </row>
    <row r="106" spans="1:11" s="36" customFormat="1" ht="15" hidden="1" customHeight="1" x14ac:dyDescent="0.35">
      <c r="A106" s="28"/>
      <c r="B106"/>
      <c r="C106" s="35"/>
      <c r="D106" s="35"/>
      <c r="E106" s="35"/>
      <c r="F106" s="35"/>
      <c r="G106" s="35"/>
      <c r="H106" s="35"/>
      <c r="I106" s="35"/>
      <c r="J106" s="35"/>
      <c r="K106" s="35"/>
    </row>
    <row r="107" spans="1:11" s="28" customFormat="1" ht="15" hidden="1" customHeight="1" x14ac:dyDescent="0.35">
      <c r="B107"/>
      <c r="C107" s="35"/>
      <c r="D107" s="35"/>
      <c r="E107" s="35"/>
      <c r="F107" s="35"/>
      <c r="G107" s="35"/>
      <c r="H107" s="35"/>
      <c r="I107" s="35"/>
      <c r="J107" s="35"/>
      <c r="K107" s="35"/>
    </row>
    <row r="108" spans="1:11" s="36" customFormat="1" ht="15" hidden="1" customHeight="1" x14ac:dyDescent="0.35">
      <c r="A108" s="28"/>
      <c r="B108"/>
      <c r="C108" s="35"/>
      <c r="D108" s="35"/>
      <c r="E108" s="35"/>
      <c r="F108" s="35"/>
      <c r="G108" s="35"/>
      <c r="H108" s="35"/>
      <c r="I108" s="35"/>
      <c r="J108" s="35"/>
      <c r="K108" s="35"/>
    </row>
    <row r="109" spans="1:11" s="36" customFormat="1" ht="15" hidden="1" customHeight="1" x14ac:dyDescent="0.35">
      <c r="A109" s="28"/>
      <c r="B109"/>
      <c r="C109" s="37"/>
      <c r="D109" s="37"/>
      <c r="E109" s="37"/>
      <c r="F109" s="37"/>
      <c r="G109" s="37"/>
      <c r="H109" s="37"/>
      <c r="I109" s="37"/>
      <c r="J109" s="37"/>
      <c r="K109" s="37"/>
    </row>
    <row r="110" spans="1:11" s="36" customFormat="1" ht="15" hidden="1" customHeight="1" thickBot="1" x14ac:dyDescent="0.4">
      <c r="A110" s="28"/>
      <c r="B110"/>
      <c r="C110" s="41"/>
      <c r="D110" s="41"/>
      <c r="E110" s="41"/>
      <c r="F110" s="41"/>
      <c r="G110" s="41"/>
      <c r="H110" s="41"/>
      <c r="I110" s="41"/>
      <c r="J110" s="41"/>
      <c r="K110" s="41"/>
    </row>
    <row r="111" spans="1:11" s="36" customFormat="1" ht="15" hidden="1" customHeight="1" thickTop="1" thickBot="1" x14ac:dyDescent="0.4">
      <c r="A111" s="28"/>
      <c r="B111"/>
      <c r="C111" s="42"/>
      <c r="D111" s="42"/>
      <c r="E111" s="42"/>
      <c r="F111" s="42"/>
      <c r="G111" s="42"/>
      <c r="H111" s="42"/>
      <c r="I111" s="42"/>
      <c r="J111" s="42"/>
      <c r="K111" s="42"/>
    </row>
    <row r="112" spans="1:11" s="28" customFormat="1" ht="15" hidden="1" customHeight="1" thickTop="1" x14ac:dyDescent="0.35">
      <c r="B112"/>
      <c r="C112" s="33"/>
      <c r="D112" s="33"/>
      <c r="E112" s="33"/>
      <c r="F112" s="33"/>
      <c r="G112" s="33"/>
      <c r="H112" s="33"/>
      <c r="I112" s="33"/>
      <c r="J112" s="33"/>
      <c r="K112" s="33"/>
    </row>
    <row r="113" spans="1:11" s="28" customFormat="1" ht="15" hidden="1" customHeight="1" x14ac:dyDescent="0.35">
      <c r="B113"/>
      <c r="C113" s="34"/>
      <c r="D113" s="34"/>
      <c r="E113" s="34"/>
      <c r="F113" s="34"/>
      <c r="G113" s="34"/>
      <c r="H113" s="34"/>
      <c r="I113" s="34"/>
      <c r="J113" s="34"/>
      <c r="K113" s="34"/>
    </row>
    <row r="114" spans="1:11" s="36" customFormat="1" ht="15" hidden="1" customHeight="1" x14ac:dyDescent="0.35">
      <c r="A114" s="28"/>
      <c r="B114"/>
      <c r="C114" s="35"/>
      <c r="D114" s="35"/>
      <c r="E114" s="35"/>
      <c r="F114" s="35"/>
      <c r="G114" s="35"/>
      <c r="H114" s="35"/>
      <c r="I114" s="35"/>
      <c r="J114" s="35"/>
      <c r="K114" s="35"/>
    </row>
    <row r="115" spans="1:11" s="36" customFormat="1" ht="15" hidden="1" customHeight="1" x14ac:dyDescent="0.35">
      <c r="A115" s="28"/>
      <c r="B115"/>
      <c r="C115" s="35"/>
      <c r="D115" s="35"/>
      <c r="E115" s="35"/>
      <c r="F115" s="35"/>
      <c r="G115" s="35"/>
      <c r="H115" s="35"/>
      <c r="I115" s="35"/>
      <c r="J115" s="35"/>
      <c r="K115" s="35"/>
    </row>
    <row r="116" spans="1:11" s="28" customFormat="1" ht="15" hidden="1" customHeight="1" x14ac:dyDescent="0.35">
      <c r="B116"/>
      <c r="C116" s="35"/>
      <c r="D116" s="35"/>
      <c r="E116" s="35"/>
      <c r="F116" s="35"/>
      <c r="G116" s="35"/>
      <c r="H116" s="35"/>
      <c r="I116" s="35"/>
      <c r="J116" s="35"/>
      <c r="K116" s="35"/>
    </row>
    <row r="117" spans="1:11" s="36" customFormat="1" ht="15" hidden="1" customHeight="1" x14ac:dyDescent="0.35">
      <c r="A117" s="28"/>
      <c r="B117"/>
      <c r="C117" s="35"/>
      <c r="D117" s="35"/>
      <c r="E117" s="35"/>
      <c r="F117" s="35"/>
      <c r="G117" s="35"/>
      <c r="H117" s="35"/>
      <c r="I117" s="35"/>
      <c r="J117" s="35"/>
      <c r="K117" s="35"/>
    </row>
    <row r="118" spans="1:11" s="36" customFormat="1" ht="15" hidden="1" customHeight="1" x14ac:dyDescent="0.35">
      <c r="A118" s="28"/>
      <c r="B118"/>
      <c r="C118" s="37"/>
      <c r="D118" s="37"/>
      <c r="E118" s="37"/>
      <c r="F118" s="37"/>
      <c r="G118" s="37"/>
      <c r="H118" s="37"/>
      <c r="I118" s="37"/>
      <c r="J118" s="37"/>
      <c r="K118" s="37"/>
    </row>
    <row r="119" spans="1:11" s="36" customFormat="1" ht="15" hidden="1" customHeight="1" thickBot="1" x14ac:dyDescent="0.4">
      <c r="A119" s="28"/>
      <c r="B119"/>
      <c r="C119" s="37"/>
      <c r="D119" s="37"/>
      <c r="E119" s="37"/>
      <c r="F119" s="37"/>
      <c r="G119" s="37"/>
      <c r="H119" s="37"/>
      <c r="I119" s="37"/>
      <c r="J119" s="37"/>
      <c r="K119" s="37"/>
    </row>
    <row r="120" spans="1:11" s="36" customFormat="1" ht="15" hidden="1" customHeight="1" thickBot="1" x14ac:dyDescent="0.4">
      <c r="A120" s="28"/>
      <c r="B120"/>
      <c r="C120" s="38"/>
      <c r="D120" s="38"/>
      <c r="E120" s="38"/>
      <c r="F120" s="38"/>
      <c r="G120" s="38"/>
      <c r="H120" s="38"/>
      <c r="I120" s="38"/>
      <c r="J120" s="38"/>
      <c r="K120" s="38"/>
    </row>
    <row r="121" spans="1:11" s="39" customFormat="1" ht="15" hidden="1" customHeight="1" thickTop="1" x14ac:dyDescent="0.35">
      <c r="A121" s="28"/>
      <c r="B121"/>
      <c r="C121" s="33"/>
      <c r="D121" s="33"/>
      <c r="E121" s="33"/>
      <c r="F121" s="33"/>
      <c r="G121" s="33"/>
      <c r="H121" s="33"/>
      <c r="I121" s="33"/>
      <c r="J121" s="33"/>
      <c r="K121" s="33"/>
    </row>
    <row r="122" spans="1:11" s="39" customFormat="1" ht="15" hidden="1" customHeight="1" x14ac:dyDescent="0.35">
      <c r="A122" s="28"/>
      <c r="B122"/>
      <c r="C122" s="40"/>
      <c r="D122" s="40"/>
      <c r="E122" s="40"/>
      <c r="F122" s="40"/>
      <c r="G122" s="40"/>
      <c r="H122" s="40"/>
      <c r="I122" s="40"/>
      <c r="J122" s="40"/>
      <c r="K122" s="40"/>
    </row>
    <row r="123" spans="1:11" s="36" customFormat="1" ht="15" hidden="1" customHeight="1" x14ac:dyDescent="0.35">
      <c r="A123" s="28"/>
      <c r="B123"/>
      <c r="C123" s="35"/>
      <c r="D123" s="35"/>
      <c r="E123" s="35"/>
      <c r="F123" s="35"/>
      <c r="G123" s="35"/>
      <c r="H123" s="35"/>
      <c r="I123" s="35"/>
      <c r="J123" s="35"/>
      <c r="K123" s="35"/>
    </row>
    <row r="124" spans="1:11" s="36" customFormat="1" ht="15" hidden="1" customHeight="1" x14ac:dyDescent="0.35">
      <c r="A124" s="28"/>
      <c r="B124"/>
      <c r="C124" s="35"/>
      <c r="D124" s="35"/>
      <c r="E124" s="35"/>
      <c r="F124" s="35"/>
      <c r="G124" s="35"/>
      <c r="H124" s="35"/>
      <c r="I124" s="35"/>
      <c r="J124" s="35"/>
      <c r="K124" s="35"/>
    </row>
    <row r="125" spans="1:11" s="28" customFormat="1" ht="15" hidden="1" customHeight="1" x14ac:dyDescent="0.35">
      <c r="B125"/>
      <c r="C125" s="35"/>
      <c r="D125" s="35"/>
      <c r="E125" s="35"/>
      <c r="F125" s="35"/>
      <c r="G125" s="35"/>
      <c r="H125" s="35"/>
      <c r="I125" s="35"/>
      <c r="J125" s="35"/>
      <c r="K125" s="35"/>
    </row>
    <row r="126" spans="1:11" s="36" customFormat="1" ht="15" hidden="1" customHeight="1" x14ac:dyDescent="0.35">
      <c r="A126" s="28"/>
      <c r="B126"/>
      <c r="C126" s="35"/>
      <c r="D126" s="35"/>
      <c r="E126" s="35"/>
      <c r="F126" s="35"/>
      <c r="G126" s="35"/>
      <c r="H126" s="35"/>
      <c r="I126" s="35"/>
      <c r="J126" s="35"/>
      <c r="K126" s="35"/>
    </row>
    <row r="127" spans="1:11" s="36" customFormat="1" ht="15" hidden="1" customHeight="1" x14ac:dyDescent="0.35">
      <c r="A127" s="28"/>
      <c r="B127"/>
      <c r="C127" s="37"/>
      <c r="D127" s="37"/>
      <c r="E127" s="37"/>
      <c r="F127" s="37"/>
      <c r="G127" s="37"/>
      <c r="H127" s="37"/>
      <c r="I127" s="37"/>
      <c r="J127" s="37"/>
      <c r="K127" s="37"/>
    </row>
    <row r="128" spans="1:11" s="36" customFormat="1" ht="15" hidden="1" customHeight="1" thickBot="1" x14ac:dyDescent="0.4">
      <c r="A128" s="28"/>
      <c r="B128"/>
      <c r="C128" s="41"/>
      <c r="D128" s="41"/>
      <c r="E128" s="41"/>
      <c r="F128" s="41"/>
      <c r="G128" s="41"/>
      <c r="H128" s="41"/>
      <c r="I128" s="41"/>
      <c r="J128" s="41"/>
      <c r="K128" s="41"/>
    </row>
    <row r="129" spans="1:11" s="36" customFormat="1" ht="15" hidden="1" customHeight="1" thickTop="1" thickBot="1" x14ac:dyDescent="0.4">
      <c r="A129" s="28"/>
      <c r="B129"/>
      <c r="C129" s="42"/>
      <c r="D129" s="42"/>
      <c r="E129" s="42"/>
      <c r="F129" s="42"/>
      <c r="G129" s="42"/>
      <c r="H129" s="42"/>
      <c r="I129" s="42"/>
      <c r="J129" s="42"/>
      <c r="K129" s="42"/>
    </row>
    <row r="130" spans="1:11" s="28" customFormat="1" ht="15" hidden="1" customHeight="1" thickTop="1" x14ac:dyDescent="0.35">
      <c r="B130"/>
      <c r="C130" s="33"/>
      <c r="D130" s="33"/>
      <c r="E130" s="33"/>
      <c r="F130" s="33"/>
      <c r="G130" s="33"/>
      <c r="H130" s="33"/>
      <c r="I130" s="33"/>
      <c r="J130" s="33"/>
      <c r="K130" s="33"/>
    </row>
    <row r="131" spans="1:11" s="28" customFormat="1" ht="15" hidden="1" customHeight="1" x14ac:dyDescent="0.35">
      <c r="B131"/>
      <c r="C131" s="34"/>
      <c r="D131" s="34"/>
      <c r="E131" s="34"/>
      <c r="F131" s="34"/>
      <c r="G131" s="34"/>
      <c r="H131" s="34"/>
      <c r="I131" s="34"/>
      <c r="J131" s="34"/>
      <c r="K131" s="34"/>
    </row>
    <row r="132" spans="1:11" s="36" customFormat="1" ht="15" hidden="1" customHeight="1" x14ac:dyDescent="0.35">
      <c r="A132" s="28"/>
      <c r="B132"/>
      <c r="C132" s="35"/>
      <c r="D132" s="35"/>
      <c r="E132" s="35"/>
      <c r="F132" s="35"/>
      <c r="G132" s="35"/>
      <c r="H132" s="35"/>
      <c r="I132" s="35"/>
      <c r="J132" s="35"/>
      <c r="K132" s="35"/>
    </row>
    <row r="133" spans="1:11" s="36" customFormat="1" ht="15" hidden="1" customHeight="1" x14ac:dyDescent="0.35">
      <c r="A133" s="28"/>
      <c r="B133"/>
      <c r="C133" s="35"/>
      <c r="D133" s="35"/>
      <c r="E133" s="35"/>
      <c r="F133" s="35"/>
      <c r="G133" s="35"/>
      <c r="H133" s="35"/>
      <c r="I133" s="35"/>
      <c r="J133" s="35"/>
      <c r="K133" s="35"/>
    </row>
    <row r="134" spans="1:11" s="28" customFormat="1" ht="15" hidden="1" customHeight="1" x14ac:dyDescent="0.35">
      <c r="B134"/>
      <c r="C134" s="35"/>
      <c r="D134" s="35"/>
      <c r="E134" s="35"/>
      <c r="F134" s="35"/>
      <c r="G134" s="35"/>
      <c r="H134" s="35"/>
      <c r="I134" s="35"/>
      <c r="J134" s="35"/>
      <c r="K134" s="35"/>
    </row>
    <row r="135" spans="1:11" s="36" customFormat="1" ht="15" hidden="1" customHeight="1" x14ac:dyDescent="0.35">
      <c r="A135" s="28"/>
      <c r="B135"/>
      <c r="C135" s="35"/>
      <c r="D135" s="35"/>
      <c r="E135" s="35"/>
      <c r="F135" s="35"/>
      <c r="G135" s="35"/>
      <c r="H135" s="35"/>
      <c r="I135" s="35"/>
      <c r="J135" s="35"/>
      <c r="K135" s="35"/>
    </row>
    <row r="136" spans="1:11" s="36" customFormat="1" ht="15" hidden="1" customHeight="1" x14ac:dyDescent="0.35">
      <c r="A136" s="28"/>
      <c r="B136"/>
      <c r="C136" s="37"/>
      <c r="D136" s="37"/>
      <c r="E136" s="37"/>
      <c r="F136" s="37"/>
      <c r="G136" s="37"/>
      <c r="H136" s="37"/>
      <c r="I136" s="37"/>
      <c r="J136" s="37"/>
      <c r="K136" s="37"/>
    </row>
    <row r="137" spans="1:11" s="36" customFormat="1" ht="15" hidden="1" customHeight="1" thickBot="1" x14ac:dyDescent="0.4">
      <c r="A137" s="28"/>
      <c r="B137"/>
      <c r="C137" s="37"/>
      <c r="D137" s="37"/>
      <c r="E137" s="37"/>
      <c r="F137" s="37"/>
      <c r="G137" s="37"/>
      <c r="H137" s="37"/>
      <c r="I137" s="37"/>
      <c r="J137" s="37"/>
      <c r="K137" s="37"/>
    </row>
    <row r="138" spans="1:11" s="36" customFormat="1" ht="15" hidden="1" customHeight="1" thickBot="1" x14ac:dyDescent="0.4">
      <c r="A138" s="28"/>
      <c r="B138"/>
      <c r="C138" s="38"/>
      <c r="D138" s="38"/>
      <c r="E138" s="38"/>
      <c r="F138" s="38"/>
      <c r="G138" s="38"/>
      <c r="H138" s="38"/>
      <c r="I138" s="38"/>
      <c r="J138" s="38"/>
      <c r="K138" s="38"/>
    </row>
    <row r="139" spans="1:11" s="39" customFormat="1" ht="15" hidden="1" customHeight="1" thickTop="1" x14ac:dyDescent="0.35">
      <c r="A139" s="28"/>
      <c r="B139"/>
      <c r="C139" s="33"/>
      <c r="D139" s="33"/>
      <c r="E139" s="33"/>
      <c r="F139" s="33"/>
      <c r="G139" s="33"/>
      <c r="H139" s="33"/>
      <c r="I139" s="33"/>
      <c r="J139" s="33"/>
      <c r="K139" s="33"/>
    </row>
    <row r="140" spans="1:11" s="39" customFormat="1" ht="15" hidden="1" customHeight="1" x14ac:dyDescent="0.35">
      <c r="A140" s="28"/>
      <c r="B140"/>
      <c r="C140" s="40"/>
      <c r="D140" s="40"/>
      <c r="E140" s="40"/>
      <c r="F140" s="40"/>
      <c r="G140" s="40"/>
      <c r="H140" s="40"/>
      <c r="I140" s="40"/>
      <c r="J140" s="40"/>
      <c r="K140" s="40"/>
    </row>
    <row r="141" spans="1:11" s="36" customFormat="1" ht="15" hidden="1" customHeight="1" x14ac:dyDescent="0.35">
      <c r="A141" s="28"/>
      <c r="B141"/>
      <c r="C141" s="35"/>
      <c r="D141" s="35"/>
      <c r="E141" s="35"/>
      <c r="F141" s="35"/>
      <c r="G141" s="35"/>
      <c r="H141" s="35"/>
      <c r="I141" s="35"/>
      <c r="J141" s="35"/>
      <c r="K141" s="35"/>
    </row>
    <row r="142" spans="1:11" s="36" customFormat="1" ht="15" hidden="1" customHeight="1" x14ac:dyDescent="0.35">
      <c r="A142" s="28"/>
      <c r="B142"/>
      <c r="C142" s="35"/>
      <c r="D142" s="35"/>
      <c r="E142" s="35"/>
      <c r="F142" s="35"/>
      <c r="G142" s="35"/>
      <c r="H142" s="35"/>
      <c r="I142" s="35"/>
      <c r="J142" s="35"/>
      <c r="K142" s="35"/>
    </row>
    <row r="143" spans="1:11" s="28" customFormat="1" ht="15" hidden="1" customHeight="1" x14ac:dyDescent="0.35">
      <c r="B143"/>
      <c r="C143" s="35"/>
      <c r="D143" s="35"/>
      <c r="E143" s="35"/>
      <c r="F143" s="35"/>
      <c r="G143" s="35"/>
      <c r="H143" s="35"/>
      <c r="I143" s="35"/>
      <c r="J143" s="35"/>
      <c r="K143" s="35"/>
    </row>
    <row r="144" spans="1:11" s="36" customFormat="1" ht="15" hidden="1" customHeight="1" x14ac:dyDescent="0.35">
      <c r="A144" s="28"/>
      <c r="B144"/>
      <c r="C144" s="35"/>
      <c r="D144" s="35"/>
      <c r="E144" s="35"/>
      <c r="F144" s="35"/>
      <c r="G144" s="35"/>
      <c r="H144" s="35"/>
      <c r="I144" s="35"/>
      <c r="J144" s="35"/>
      <c r="K144" s="35"/>
    </row>
    <row r="145" spans="1:11" s="36" customFormat="1" ht="15" hidden="1" customHeight="1" x14ac:dyDescent="0.35">
      <c r="A145" s="28"/>
      <c r="B145"/>
      <c r="C145" s="37"/>
      <c r="D145" s="37"/>
      <c r="E145" s="37"/>
      <c r="F145" s="37"/>
      <c r="G145" s="37"/>
      <c r="H145" s="37"/>
      <c r="I145" s="37"/>
      <c r="J145" s="37"/>
      <c r="K145" s="37"/>
    </row>
    <row r="146" spans="1:11" s="36" customFormat="1" ht="15" hidden="1" customHeight="1" thickBot="1" x14ac:dyDescent="0.4">
      <c r="A146" s="28"/>
      <c r="B146"/>
      <c r="C146" s="41"/>
      <c r="D146" s="41"/>
      <c r="E146" s="41"/>
      <c r="F146" s="41"/>
      <c r="G146" s="41"/>
      <c r="H146" s="41"/>
      <c r="I146" s="41"/>
      <c r="J146" s="41"/>
      <c r="K146" s="41"/>
    </row>
    <row r="147" spans="1:11" s="36" customFormat="1" ht="15" hidden="1" customHeight="1" thickTop="1" thickBot="1" x14ac:dyDescent="0.4">
      <c r="A147" s="28"/>
      <c r="B147"/>
      <c r="C147" s="42"/>
      <c r="D147" s="42"/>
      <c r="E147" s="42"/>
      <c r="F147" s="42"/>
      <c r="G147" s="42"/>
      <c r="H147" s="42"/>
      <c r="I147" s="42"/>
      <c r="J147" s="42"/>
      <c r="K147" s="42"/>
    </row>
    <row r="148" spans="1:11" s="28" customFormat="1" ht="15" hidden="1" customHeight="1" thickTop="1" x14ac:dyDescent="0.35">
      <c r="B148"/>
      <c r="C148" s="33"/>
      <c r="D148" s="33"/>
      <c r="E148" s="33"/>
      <c r="F148" s="33"/>
      <c r="G148" s="33"/>
      <c r="H148" s="33"/>
      <c r="I148" s="33"/>
      <c r="J148" s="33"/>
      <c r="K148" s="33"/>
    </row>
    <row r="149" spans="1:11" s="28" customFormat="1" ht="15" hidden="1" customHeight="1" x14ac:dyDescent="0.35">
      <c r="B149"/>
      <c r="C149" s="34"/>
      <c r="D149" s="34"/>
      <c r="E149" s="34"/>
      <c r="F149" s="34"/>
      <c r="G149" s="34"/>
      <c r="H149" s="34"/>
      <c r="I149" s="34"/>
      <c r="J149" s="34"/>
      <c r="K149" s="34"/>
    </row>
    <row r="150" spans="1:11" s="36" customFormat="1" ht="15" hidden="1" customHeight="1" x14ac:dyDescent="0.35">
      <c r="A150" s="28"/>
      <c r="B150"/>
      <c r="C150" s="35"/>
      <c r="D150" s="35"/>
      <c r="E150" s="35"/>
      <c r="F150" s="35"/>
      <c r="G150" s="35"/>
      <c r="H150" s="35"/>
      <c r="I150" s="35"/>
      <c r="J150" s="35"/>
      <c r="K150" s="35"/>
    </row>
    <row r="151" spans="1:11" s="36" customFormat="1" ht="15" hidden="1" customHeight="1" x14ac:dyDescent="0.35">
      <c r="A151" s="28"/>
      <c r="B151"/>
      <c r="C151" s="35"/>
      <c r="D151" s="35"/>
      <c r="E151" s="35"/>
      <c r="F151" s="35"/>
      <c r="G151" s="35"/>
      <c r="H151" s="35"/>
      <c r="I151" s="35"/>
      <c r="J151" s="35"/>
      <c r="K151" s="35"/>
    </row>
    <row r="152" spans="1:11" s="28" customFormat="1" ht="15" hidden="1" customHeight="1" x14ac:dyDescent="0.35">
      <c r="B152"/>
      <c r="C152" s="35"/>
      <c r="D152" s="35"/>
      <c r="E152" s="35"/>
      <c r="F152" s="35"/>
      <c r="G152" s="35"/>
      <c r="H152" s="35"/>
      <c r="I152" s="35"/>
      <c r="J152" s="35"/>
      <c r="K152" s="35"/>
    </row>
    <row r="153" spans="1:11" s="36" customFormat="1" ht="15" hidden="1" customHeight="1" x14ac:dyDescent="0.35">
      <c r="A153" s="28"/>
      <c r="B153"/>
      <c r="C153" s="35"/>
      <c r="D153" s="35"/>
      <c r="E153" s="35"/>
      <c r="F153" s="35"/>
      <c r="G153" s="35"/>
      <c r="H153" s="35"/>
      <c r="I153" s="35"/>
      <c r="J153" s="35"/>
      <c r="K153" s="35"/>
    </row>
    <row r="154" spans="1:11" s="36" customFormat="1" ht="15" hidden="1" customHeight="1" x14ac:dyDescent="0.35">
      <c r="A154" s="28"/>
      <c r="B154"/>
      <c r="C154" s="37"/>
      <c r="D154" s="37"/>
      <c r="E154" s="37"/>
      <c r="F154" s="37"/>
      <c r="G154" s="37"/>
      <c r="H154" s="37"/>
      <c r="I154" s="37"/>
      <c r="J154" s="37"/>
      <c r="K154" s="37"/>
    </row>
    <row r="155" spans="1:11" s="36" customFormat="1" ht="15" hidden="1" customHeight="1" thickBot="1" x14ac:dyDescent="0.4">
      <c r="A155" s="28"/>
      <c r="B155"/>
      <c r="C155" s="37"/>
      <c r="D155" s="37"/>
      <c r="E155" s="37"/>
      <c r="F155" s="37"/>
      <c r="G155" s="37"/>
      <c r="H155" s="37"/>
      <c r="I155" s="37"/>
      <c r="J155" s="37"/>
      <c r="K155" s="37"/>
    </row>
    <row r="156" spans="1:11" s="36" customFormat="1" ht="15" hidden="1" customHeight="1" thickBot="1" x14ac:dyDescent="0.4">
      <c r="A156" s="28"/>
      <c r="B156"/>
      <c r="C156" s="38"/>
      <c r="D156" s="38"/>
      <c r="E156" s="38"/>
      <c r="F156" s="38"/>
      <c r="G156" s="38"/>
      <c r="H156" s="38"/>
      <c r="I156" s="38"/>
      <c r="J156" s="38"/>
      <c r="K156" s="38"/>
    </row>
    <row r="157" spans="1:11" s="39" customFormat="1" ht="15" hidden="1" customHeight="1" thickTop="1" x14ac:dyDescent="0.35">
      <c r="A157" s="28"/>
      <c r="B157"/>
      <c r="C157" s="33"/>
      <c r="D157" s="33"/>
      <c r="E157" s="33"/>
      <c r="F157" s="33"/>
      <c r="G157" s="33"/>
      <c r="H157" s="33"/>
      <c r="I157" s="33"/>
      <c r="J157" s="33"/>
      <c r="K157" s="33"/>
    </row>
    <row r="158" spans="1:11" s="39" customFormat="1" ht="15" hidden="1" customHeight="1" x14ac:dyDescent="0.35">
      <c r="A158" s="28"/>
      <c r="B158"/>
      <c r="C158" s="40"/>
      <c r="D158" s="40"/>
      <c r="E158" s="40"/>
      <c r="F158" s="40"/>
      <c r="G158" s="40"/>
      <c r="H158" s="40"/>
      <c r="I158" s="40"/>
      <c r="J158" s="40"/>
      <c r="K158" s="40"/>
    </row>
    <row r="159" spans="1:11" s="36" customFormat="1" ht="15" hidden="1" customHeight="1" x14ac:dyDescent="0.35">
      <c r="A159" s="28"/>
      <c r="B159"/>
      <c r="C159" s="35"/>
      <c r="D159" s="35"/>
      <c r="E159" s="35"/>
      <c r="F159" s="35"/>
      <c r="G159" s="35"/>
      <c r="H159" s="35"/>
      <c r="I159" s="35"/>
      <c r="J159" s="35"/>
      <c r="K159" s="35"/>
    </row>
    <row r="160" spans="1:11" s="36" customFormat="1" ht="15" hidden="1" customHeight="1" x14ac:dyDescent="0.35">
      <c r="A160" s="28"/>
      <c r="B160"/>
      <c r="C160" s="35"/>
      <c r="D160" s="35"/>
      <c r="E160" s="35"/>
      <c r="F160" s="35"/>
      <c r="G160" s="35"/>
      <c r="H160" s="35"/>
      <c r="I160" s="35"/>
      <c r="J160" s="35"/>
      <c r="K160" s="35"/>
    </row>
    <row r="161" spans="1:11" s="28" customFormat="1" ht="15" hidden="1" customHeight="1" x14ac:dyDescent="0.35">
      <c r="B161"/>
      <c r="C161" s="35"/>
      <c r="D161" s="35"/>
      <c r="E161" s="35"/>
      <c r="F161" s="35"/>
      <c r="G161" s="35"/>
      <c r="H161" s="35"/>
      <c r="I161" s="35"/>
      <c r="J161" s="35"/>
      <c r="K161" s="35"/>
    </row>
    <row r="162" spans="1:11" s="36" customFormat="1" ht="15" hidden="1" customHeight="1" x14ac:dyDescent="0.35">
      <c r="A162" s="28"/>
      <c r="B162"/>
      <c r="C162" s="35"/>
      <c r="D162" s="35"/>
      <c r="E162" s="35"/>
      <c r="F162" s="35"/>
      <c r="G162" s="35"/>
      <c r="H162" s="35"/>
      <c r="I162" s="35"/>
      <c r="J162" s="35"/>
      <c r="K162" s="35"/>
    </row>
    <row r="163" spans="1:11" s="36" customFormat="1" ht="15" hidden="1" customHeight="1" x14ac:dyDescent="0.35">
      <c r="A163" s="28"/>
      <c r="B163"/>
      <c r="C163" s="37"/>
      <c r="D163" s="37"/>
      <c r="E163" s="37"/>
      <c r="F163" s="37"/>
      <c r="G163" s="37"/>
      <c r="H163" s="37"/>
      <c r="I163" s="37"/>
      <c r="J163" s="37"/>
      <c r="K163" s="37"/>
    </row>
    <row r="164" spans="1:11" s="36" customFormat="1" ht="15" hidden="1" customHeight="1" thickBot="1" x14ac:dyDescent="0.4">
      <c r="A164" s="28"/>
      <c r="B164"/>
      <c r="C164" s="41"/>
      <c r="D164" s="41"/>
      <c r="E164" s="41"/>
      <c r="F164" s="41"/>
      <c r="G164" s="41"/>
      <c r="H164" s="41"/>
      <c r="I164" s="41"/>
      <c r="J164" s="41"/>
      <c r="K164" s="41"/>
    </row>
    <row r="165" spans="1:11" s="36" customFormat="1" ht="15" hidden="1" customHeight="1" thickTop="1" thickBot="1" x14ac:dyDescent="0.4">
      <c r="A165" s="28"/>
      <c r="B165"/>
      <c r="C165" s="42"/>
      <c r="D165" s="42"/>
      <c r="E165" s="42"/>
      <c r="F165" s="42"/>
      <c r="G165" s="42"/>
      <c r="H165" s="42"/>
      <c r="I165" s="42"/>
      <c r="J165" s="42"/>
      <c r="K165" s="42"/>
    </row>
    <row r="166" spans="1:11" s="28" customFormat="1" ht="15" hidden="1" customHeight="1" thickTop="1" x14ac:dyDescent="0.35">
      <c r="B166"/>
      <c r="C166" s="33"/>
      <c r="D166" s="33"/>
      <c r="E166" s="33"/>
      <c r="F166" s="33"/>
      <c r="G166" s="33"/>
      <c r="H166" s="33"/>
      <c r="I166" s="33"/>
      <c r="J166" s="33"/>
      <c r="K166" s="33"/>
    </row>
    <row r="167" spans="1:11" s="28" customFormat="1" ht="15" hidden="1" customHeight="1" x14ac:dyDescent="0.35">
      <c r="B167"/>
      <c r="C167" s="34"/>
      <c r="D167" s="34"/>
      <c r="E167" s="34"/>
      <c r="F167" s="34"/>
      <c r="G167" s="34"/>
      <c r="H167" s="34"/>
      <c r="I167" s="34"/>
      <c r="J167" s="34"/>
      <c r="K167" s="34"/>
    </row>
    <row r="168" spans="1:11" s="36" customFormat="1" ht="15" hidden="1" customHeight="1" x14ac:dyDescent="0.35">
      <c r="A168" s="28"/>
      <c r="B168"/>
      <c r="C168" s="35"/>
      <c r="D168" s="35"/>
      <c r="E168" s="35"/>
      <c r="F168" s="35"/>
      <c r="G168" s="35"/>
      <c r="H168" s="35"/>
      <c r="I168" s="35"/>
      <c r="J168" s="35"/>
      <c r="K168" s="35"/>
    </row>
    <row r="169" spans="1:11" s="36" customFormat="1" ht="15" hidden="1" customHeight="1" x14ac:dyDescent="0.35">
      <c r="A169" s="28"/>
      <c r="B169"/>
      <c r="C169" s="35"/>
      <c r="D169" s="35"/>
      <c r="E169" s="35"/>
      <c r="F169" s="35"/>
      <c r="G169" s="35"/>
      <c r="H169" s="35"/>
      <c r="I169" s="35"/>
      <c r="J169" s="35"/>
      <c r="K169" s="35"/>
    </row>
    <row r="170" spans="1:11" s="28" customFormat="1" ht="15" hidden="1" customHeight="1" x14ac:dyDescent="0.35">
      <c r="B170"/>
      <c r="C170" s="35"/>
      <c r="D170" s="35"/>
      <c r="E170" s="35"/>
      <c r="F170" s="35"/>
      <c r="G170" s="35"/>
      <c r="H170" s="35"/>
      <c r="I170" s="35"/>
      <c r="J170" s="35"/>
      <c r="K170" s="35"/>
    </row>
    <row r="171" spans="1:11" s="36" customFormat="1" ht="15" hidden="1" customHeight="1" x14ac:dyDescent="0.35">
      <c r="A171" s="28"/>
      <c r="B171"/>
      <c r="C171" s="35"/>
      <c r="D171" s="35"/>
      <c r="E171" s="35"/>
      <c r="F171" s="35"/>
      <c r="G171" s="35"/>
      <c r="H171" s="35"/>
      <c r="I171" s="35"/>
      <c r="J171" s="35"/>
      <c r="K171" s="35"/>
    </row>
    <row r="172" spans="1:11" s="36" customFormat="1" ht="15" hidden="1" customHeight="1" x14ac:dyDescent="0.35">
      <c r="A172" s="28"/>
      <c r="B172"/>
      <c r="C172" s="37"/>
      <c r="D172" s="37"/>
      <c r="E172" s="37"/>
      <c r="F172" s="37"/>
      <c r="G172" s="37"/>
      <c r="H172" s="37"/>
      <c r="I172" s="37"/>
      <c r="J172" s="37"/>
      <c r="K172" s="37"/>
    </row>
    <row r="173" spans="1:11" s="36" customFormat="1" ht="15" hidden="1" customHeight="1" thickBot="1" x14ac:dyDescent="0.4">
      <c r="A173" s="28"/>
      <c r="B173"/>
      <c r="C173" s="37"/>
      <c r="D173" s="37"/>
      <c r="E173" s="37"/>
      <c r="F173" s="37"/>
      <c r="G173" s="37"/>
      <c r="H173" s="37"/>
      <c r="I173" s="37"/>
      <c r="J173" s="37"/>
      <c r="K173" s="37"/>
    </row>
    <row r="174" spans="1:11" s="36" customFormat="1" ht="15" hidden="1" customHeight="1" thickBot="1" x14ac:dyDescent="0.4">
      <c r="A174" s="28"/>
      <c r="B174"/>
      <c r="C174" s="38"/>
      <c r="D174" s="38"/>
      <c r="E174" s="38"/>
      <c r="F174" s="38"/>
      <c r="G174" s="38"/>
      <c r="H174" s="38"/>
      <c r="I174" s="38"/>
      <c r="J174" s="38"/>
      <c r="K174" s="38"/>
    </row>
    <row r="175" spans="1:11" s="39" customFormat="1" ht="15" hidden="1" customHeight="1" thickTop="1" x14ac:dyDescent="0.35">
      <c r="A175" s="28"/>
      <c r="B175"/>
      <c r="C175" s="33"/>
      <c r="D175" s="33"/>
      <c r="E175" s="33"/>
      <c r="F175" s="33"/>
      <c r="G175" s="33"/>
      <c r="H175" s="33"/>
      <c r="I175" s="33"/>
      <c r="J175" s="33"/>
      <c r="K175" s="33"/>
    </row>
    <row r="176" spans="1:11" s="39" customFormat="1" ht="15" hidden="1" customHeight="1" x14ac:dyDescent="0.35">
      <c r="A176" s="28"/>
      <c r="B176"/>
      <c r="C176" s="40"/>
      <c r="D176" s="40"/>
      <c r="E176" s="40"/>
      <c r="F176" s="40"/>
      <c r="G176" s="40"/>
      <c r="H176" s="40"/>
      <c r="I176" s="40"/>
      <c r="J176" s="40"/>
      <c r="K176" s="40"/>
    </row>
    <row r="177" spans="1:19" s="36" customFormat="1" ht="15" hidden="1" customHeight="1" x14ac:dyDescent="0.35">
      <c r="A177" s="28"/>
      <c r="B177"/>
      <c r="C177" s="35"/>
      <c r="D177" s="35"/>
      <c r="E177" s="35"/>
      <c r="F177" s="35"/>
      <c r="G177" s="35"/>
      <c r="H177" s="35"/>
      <c r="I177" s="35"/>
      <c r="J177" s="35"/>
      <c r="K177" s="35"/>
    </row>
    <row r="178" spans="1:19" s="36" customFormat="1" ht="15" hidden="1" customHeight="1" x14ac:dyDescent="0.35">
      <c r="A178" s="28"/>
      <c r="B178"/>
      <c r="C178" s="35"/>
      <c r="D178" s="35"/>
      <c r="E178" s="35"/>
      <c r="F178" s="35"/>
      <c r="G178" s="35"/>
      <c r="H178" s="35"/>
      <c r="I178" s="35"/>
      <c r="J178" s="35"/>
      <c r="K178" s="35"/>
    </row>
    <row r="179" spans="1:19" s="28" customFormat="1" ht="15" hidden="1" customHeight="1" x14ac:dyDescent="0.35">
      <c r="B179"/>
      <c r="C179" s="35"/>
      <c r="D179" s="35"/>
      <c r="E179" s="35"/>
      <c r="F179" s="35"/>
      <c r="G179" s="35"/>
      <c r="H179" s="35"/>
      <c r="I179" s="35"/>
      <c r="J179" s="35"/>
      <c r="K179" s="35"/>
    </row>
    <row r="180" spans="1:19" s="36" customFormat="1" ht="15" hidden="1" customHeight="1" x14ac:dyDescent="0.35">
      <c r="A180" s="28"/>
      <c r="B180"/>
      <c r="C180" s="35"/>
      <c r="D180" s="35"/>
      <c r="E180" s="35"/>
      <c r="F180" s="35"/>
      <c r="G180" s="35"/>
      <c r="H180" s="35"/>
      <c r="I180" s="35"/>
      <c r="J180" s="35"/>
      <c r="K180" s="35"/>
    </row>
    <row r="181" spans="1:19" s="36" customFormat="1" ht="15" hidden="1" customHeight="1" x14ac:dyDescent="0.35">
      <c r="A181" s="28"/>
      <c r="B181"/>
      <c r="C181" s="37"/>
      <c r="D181" s="37"/>
      <c r="E181" s="37"/>
      <c r="F181" s="37"/>
      <c r="G181" s="37"/>
      <c r="H181" s="37"/>
      <c r="I181" s="37"/>
      <c r="J181" s="37"/>
      <c r="K181" s="37"/>
    </row>
    <row r="182" spans="1:19" s="36" customFormat="1" ht="15" hidden="1" customHeight="1" thickBot="1" x14ac:dyDescent="0.4">
      <c r="A182" s="28"/>
      <c r="B182"/>
      <c r="C182" s="41"/>
      <c r="D182" s="41"/>
      <c r="E182" s="41"/>
      <c r="F182" s="41"/>
      <c r="G182" s="41"/>
      <c r="H182" s="41"/>
      <c r="I182" s="41"/>
      <c r="J182" s="41"/>
      <c r="K182" s="41"/>
    </row>
    <row r="183" spans="1:19" s="36" customFormat="1" ht="20.149999999999999" customHeight="1" thickBot="1" x14ac:dyDescent="0.5">
      <c r="A183" s="28"/>
      <c r="B183"/>
      <c r="C183" s="79" t="s">
        <v>39</v>
      </c>
      <c r="D183" s="79"/>
      <c r="E183" s="73">
        <f t="shared" ref="E183:K183" si="9">E7</f>
        <v>1</v>
      </c>
      <c r="F183" s="73">
        <f t="shared" si="9"/>
        <v>2</v>
      </c>
      <c r="G183" s="73">
        <f t="shared" si="9"/>
        <v>3</v>
      </c>
      <c r="H183" s="73">
        <f t="shared" si="9"/>
        <v>4</v>
      </c>
      <c r="I183" s="73">
        <f t="shared" si="9"/>
        <v>5</v>
      </c>
      <c r="J183" s="73">
        <f t="shared" si="9"/>
        <v>6</v>
      </c>
      <c r="K183" s="73">
        <f t="shared" si="9"/>
        <v>7</v>
      </c>
      <c r="L183"/>
      <c r="M183"/>
      <c r="N183"/>
      <c r="O183"/>
      <c r="P183"/>
      <c r="Q183"/>
      <c r="R183"/>
      <c r="S183"/>
    </row>
    <row r="184" spans="1:19" s="45" customFormat="1" ht="15.75" customHeight="1" x14ac:dyDescent="0.35">
      <c r="A184" s="28"/>
      <c r="B184"/>
      <c r="C184" s="43" t="s">
        <v>29</v>
      </c>
      <c r="D184" s="94"/>
      <c r="E184" s="44">
        <f>[3]emprunts!S149</f>
        <v>13500000.085971728</v>
      </c>
      <c r="F184" s="44">
        <f>[1]emprunts!S149</f>
        <v>54135416.752638377</v>
      </c>
      <c r="G184" s="44">
        <f>[1]emprunts!T149</f>
        <v>51885416.752638377</v>
      </c>
      <c r="H184" s="44">
        <f>[1]emprunts!U149</f>
        <v>49635416.75263837</v>
      </c>
      <c r="I184" s="55">
        <f>[1]emprunts!V149</f>
        <v>47385416.752638377</v>
      </c>
      <c r="J184" s="55">
        <f>[1]emprunts!W149</f>
        <v>45135416.752638377</v>
      </c>
      <c r="K184" s="55">
        <f>[1]emprunts!X149</f>
        <v>42885416.752638377</v>
      </c>
    </row>
    <row r="185" spans="1:19" s="45" customFormat="1" ht="15.75" customHeight="1" x14ac:dyDescent="0.35">
      <c r="A185" s="28"/>
      <c r="B185"/>
      <c r="C185" s="46" t="s">
        <v>43</v>
      </c>
      <c r="D185" s="95"/>
      <c r="E185" s="47">
        <f>[3]emprunts!S150</f>
        <v>250000000</v>
      </c>
      <c r="F185" s="47">
        <v>0</v>
      </c>
      <c r="G185" s="47">
        <f>[1]emprunts!T150</f>
        <v>0</v>
      </c>
      <c r="H185" s="47">
        <f>[1]emprunts!U150</f>
        <v>0</v>
      </c>
      <c r="I185" s="56">
        <f>[1]emprunts!V150</f>
        <v>0</v>
      </c>
      <c r="J185" s="56">
        <f>[1]emprunts!W150</f>
        <v>0</v>
      </c>
      <c r="K185" s="56">
        <f>[1]emprunts!X150</f>
        <v>0</v>
      </c>
    </row>
    <row r="186" spans="1:19" s="45" customFormat="1" ht="15.75" customHeight="1" x14ac:dyDescent="0.35">
      <c r="A186" s="28"/>
      <c r="B186"/>
      <c r="C186" s="46" t="s">
        <v>30</v>
      </c>
      <c r="D186" s="95"/>
      <c r="E186" s="47">
        <f>[3]emprunts!S151</f>
        <v>2.6697988212901501E-2</v>
      </c>
      <c r="F186" s="47">
        <f>[1]emprunts!S151</f>
        <v>41666666.695011325</v>
      </c>
      <c r="G186" s="47">
        <f>[1]emprunts!T151</f>
        <v>41666666.696759574</v>
      </c>
      <c r="H186" s="47">
        <f>[1]emprunts!U151</f>
        <v>41666666.69861564</v>
      </c>
      <c r="I186" s="56">
        <f>[1]emprunts!V151</f>
        <v>41666666.700586177</v>
      </c>
      <c r="J186" s="56">
        <f>[1]emprunts!W151</f>
        <v>41666666.702678256</v>
      </c>
      <c r="K186" s="56">
        <f>[1]emprunts!X151</f>
        <v>41666666.704899371</v>
      </c>
    </row>
    <row r="187" spans="1:19" s="45" customFormat="1" ht="15.75" customHeight="1" x14ac:dyDescent="0.35">
      <c r="B187"/>
      <c r="C187" s="46" t="s">
        <v>31</v>
      </c>
      <c r="D187" s="95"/>
      <c r="E187" s="47">
        <f>[3]emprunts!S152</f>
        <v>249999999.97330201</v>
      </c>
      <c r="F187" s="47">
        <f>[1]emprunts!S152</f>
        <v>208333334.27829048</v>
      </c>
      <c r="G187" s="47">
        <f>[1]emprunts!T152</f>
        <v>166666667.58153075</v>
      </c>
      <c r="H187" s="47">
        <f>[1]emprunts!U152</f>
        <v>125000000.88291512</v>
      </c>
      <c r="I187" s="56">
        <f>[1]emprunts!V152</f>
        <v>83333334.182328984</v>
      </c>
      <c r="J187" s="56">
        <f>[1]emprunts!W152</f>
        <v>41666666.666666359</v>
      </c>
      <c r="K187" s="56">
        <f>[1]emprunts!X152</f>
        <v>-2.9569491744041443E-7</v>
      </c>
    </row>
    <row r="188" spans="1:19" s="45" customFormat="1" ht="15.75" customHeight="1" x14ac:dyDescent="0.35">
      <c r="B188"/>
      <c r="C188" s="46"/>
      <c r="D188" s="95"/>
      <c r="E188" s="47"/>
      <c r="F188" s="47"/>
      <c r="G188" s="47"/>
      <c r="H188" s="47"/>
      <c r="I188" s="56"/>
      <c r="J188" s="56"/>
      <c r="K188" s="56"/>
    </row>
    <row r="189" spans="1:19" s="45" customFormat="1" ht="15.75" customHeight="1" x14ac:dyDescent="0.35">
      <c r="B189"/>
      <c r="C189" s="46"/>
      <c r="D189" s="95"/>
      <c r="E189" s="47"/>
      <c r="F189" s="47"/>
      <c r="G189" s="47"/>
      <c r="H189" s="47"/>
      <c r="I189" s="56"/>
      <c r="J189" s="56"/>
      <c r="K189" s="56"/>
    </row>
    <row r="190" spans="1:19" s="45" customFormat="1" ht="15.75" customHeight="1" x14ac:dyDescent="0.35">
      <c r="B190"/>
      <c r="C190" s="46" t="s">
        <v>32</v>
      </c>
      <c r="D190" s="95"/>
      <c r="E190" s="47">
        <f>[3]emprunts!S155</f>
        <v>0</v>
      </c>
      <c r="F190" s="47">
        <v>0</v>
      </c>
      <c r="G190" s="47">
        <f>[1]emprunts!T155</f>
        <v>0</v>
      </c>
      <c r="H190" s="47">
        <f>[1]emprunts!U155</f>
        <v>0</v>
      </c>
      <c r="I190" s="56">
        <f>[1]emprunts!V155</f>
        <v>0</v>
      </c>
      <c r="J190" s="56">
        <f>[1]emprunts!W155</f>
        <v>0</v>
      </c>
      <c r="K190" s="56">
        <f>[1]emprunts!X155</f>
        <v>0</v>
      </c>
    </row>
    <row r="191" spans="1:19" s="45" customFormat="1" ht="15.75" customHeight="1" x14ac:dyDescent="0.35">
      <c r="B191"/>
      <c r="C191" s="46" t="s">
        <v>33</v>
      </c>
      <c r="D191" s="95"/>
      <c r="E191" s="47">
        <f>[3]emprunts!S156</f>
        <v>13500000.059273737</v>
      </c>
      <c r="F191" s="47">
        <f>[1]emprunts!S156</f>
        <v>12468750.05762706</v>
      </c>
      <c r="G191" s="47">
        <f>[1]emprunts!T156</f>
        <v>10218750.055878811</v>
      </c>
      <c r="H191" s="47">
        <f>[1]emprunts!U156</f>
        <v>7968750.0540227443</v>
      </c>
      <c r="I191" s="56">
        <f>[1]emprunts!V156</f>
        <v>5718750.0520522045</v>
      </c>
      <c r="J191" s="56">
        <f>[1]emprunts!W156</f>
        <v>3468749.9999999828</v>
      </c>
      <c r="K191" s="56">
        <f>[1]emprunts!X156</f>
        <v>1218749.9999999837</v>
      </c>
    </row>
    <row r="192" spans="1:19" s="45" customFormat="1" ht="15.75" customHeight="1" x14ac:dyDescent="0.35">
      <c r="B192"/>
      <c r="C192" s="46" t="s">
        <v>34</v>
      </c>
      <c r="D192" s="95"/>
      <c r="E192" s="47">
        <f>[3]emprunts!S157</f>
        <v>13500000.059273737</v>
      </c>
      <c r="F192" s="47">
        <f>[1]emprunts!S157</f>
        <v>12468750.05762706</v>
      </c>
      <c r="G192" s="47">
        <f>[1]emprunts!T157</f>
        <v>10218750.055878811</v>
      </c>
      <c r="H192" s="47">
        <f>[1]emprunts!U157</f>
        <v>7968750.0540227443</v>
      </c>
      <c r="I192" s="56">
        <f>[1]emprunts!V157</f>
        <v>5718750.0520522045</v>
      </c>
      <c r="J192" s="56">
        <f>[1]emprunts!W157</f>
        <v>3468750.0499601243</v>
      </c>
      <c r="K192" s="56">
        <f>[1]emprunts!X157</f>
        <v>1218750.0477390096</v>
      </c>
    </row>
    <row r="193" spans="2:11" s="45" customFormat="1" ht="15.75" customHeight="1" x14ac:dyDescent="0.35">
      <c r="B193"/>
      <c r="C193" s="48" t="s">
        <v>35</v>
      </c>
      <c r="D193" s="96"/>
      <c r="E193" s="47">
        <f>[3]emprunts!S158</f>
        <v>13500000.059273737</v>
      </c>
      <c r="F193" s="47">
        <f>[1]emprunts!S158</f>
        <v>12468750.05762706</v>
      </c>
      <c r="G193" s="47">
        <f>[1]emprunts!T158</f>
        <v>10218750.055878811</v>
      </c>
      <c r="H193" s="47">
        <f>[1]emprunts!U158</f>
        <v>7968750.0540227443</v>
      </c>
      <c r="I193" s="57">
        <f>[1]emprunts!V158</f>
        <v>5718750.0520522045</v>
      </c>
      <c r="J193" s="57">
        <f>[1]emprunts!W158</f>
        <v>3468750.0499601243</v>
      </c>
      <c r="K193" s="57">
        <f>[1]emprunts!X158</f>
        <v>1218750.0477390096</v>
      </c>
    </row>
    <row r="194" spans="2:11" s="28" customFormat="1" ht="15.75" customHeight="1" thickBot="1" x14ac:dyDescent="0.4">
      <c r="B194"/>
      <c r="C194" s="49" t="s">
        <v>28</v>
      </c>
      <c r="D194" s="97"/>
      <c r="E194" s="50"/>
      <c r="F194" s="50"/>
      <c r="G194" s="50"/>
      <c r="H194" s="50"/>
      <c r="I194" s="58"/>
      <c r="J194" s="58"/>
      <c r="K194" s="58"/>
    </row>
    <row r="195" spans="2:11" ht="15.75" customHeight="1" x14ac:dyDescent="0.35"/>
    <row r="196" spans="2:11" ht="15.75" customHeight="1" x14ac:dyDescent="0.35"/>
    <row r="197" spans="2:11" ht="15.75" customHeight="1" x14ac:dyDescent="0.35"/>
    <row r="198" spans="2:11" ht="15.75" customHeight="1" x14ac:dyDescent="0.35"/>
    <row r="199" spans="2:11" ht="15.75" customHeight="1" x14ac:dyDescent="0.35"/>
    <row r="200" spans="2:11" ht="15.75" customHeight="1" x14ac:dyDescent="0.35"/>
    <row r="201" spans="2:11" ht="15.75" customHeight="1" x14ac:dyDescent="0.35"/>
    <row r="202" spans="2:11" ht="15.75" customHeight="1" thickBot="1" x14ac:dyDescent="0.5">
      <c r="C202" s="79" t="s">
        <v>40</v>
      </c>
      <c r="D202" s="79"/>
      <c r="F202" s="73">
        <f t="shared" ref="F202:K213" si="10">E183</f>
        <v>1</v>
      </c>
      <c r="G202" s="73">
        <f t="shared" si="10"/>
        <v>2</v>
      </c>
      <c r="H202" s="73">
        <f t="shared" si="10"/>
        <v>3</v>
      </c>
      <c r="I202" s="73">
        <f t="shared" si="10"/>
        <v>4</v>
      </c>
      <c r="J202" s="73">
        <f t="shared" si="10"/>
        <v>5</v>
      </c>
      <c r="K202" s="73">
        <f t="shared" si="10"/>
        <v>6</v>
      </c>
    </row>
    <row r="203" spans="2:11" ht="15.75" customHeight="1" x14ac:dyDescent="0.45">
      <c r="C203" s="43" t="s">
        <v>29</v>
      </c>
      <c r="D203" s="79"/>
      <c r="F203" s="44">
        <f t="shared" si="10"/>
        <v>13500000.085971728</v>
      </c>
      <c r="G203" s="44">
        <f t="shared" si="10"/>
        <v>54135416.752638377</v>
      </c>
      <c r="H203" s="44">
        <f t="shared" si="10"/>
        <v>51885416.752638377</v>
      </c>
      <c r="I203" s="44">
        <f t="shared" si="10"/>
        <v>49635416.75263837</v>
      </c>
      <c r="J203" s="55">
        <f t="shared" si="10"/>
        <v>47385416.752638377</v>
      </c>
      <c r="K203" s="55">
        <f t="shared" si="10"/>
        <v>45135416.752638377</v>
      </c>
    </row>
    <row r="204" spans="2:11" ht="15.75" customHeight="1" x14ac:dyDescent="0.45">
      <c r="C204" s="46" t="s">
        <v>43</v>
      </c>
      <c r="D204" s="79"/>
      <c r="F204" s="47">
        <f t="shared" si="10"/>
        <v>250000000</v>
      </c>
      <c r="G204" s="47">
        <f t="shared" si="10"/>
        <v>0</v>
      </c>
      <c r="H204" s="47">
        <f t="shared" si="10"/>
        <v>0</v>
      </c>
      <c r="I204" s="47">
        <f t="shared" si="10"/>
        <v>0</v>
      </c>
      <c r="J204" s="56">
        <f t="shared" si="10"/>
        <v>0</v>
      </c>
      <c r="K204" s="56">
        <f t="shared" si="10"/>
        <v>0</v>
      </c>
    </row>
    <row r="205" spans="2:11" ht="15.75" customHeight="1" x14ac:dyDescent="0.45">
      <c r="C205" s="46" t="s">
        <v>30</v>
      </c>
      <c r="D205" s="79"/>
      <c r="F205" s="47">
        <f t="shared" si="10"/>
        <v>2.6697988212901501E-2</v>
      </c>
      <c r="G205" s="47">
        <f t="shared" si="10"/>
        <v>41666666.695011325</v>
      </c>
      <c r="H205" s="47">
        <f t="shared" si="10"/>
        <v>41666666.696759574</v>
      </c>
      <c r="I205" s="47">
        <f t="shared" si="10"/>
        <v>41666666.69861564</v>
      </c>
      <c r="J205" s="56">
        <f t="shared" si="10"/>
        <v>41666666.700586177</v>
      </c>
      <c r="K205" s="56">
        <f t="shared" si="10"/>
        <v>41666666.702678256</v>
      </c>
    </row>
    <row r="206" spans="2:11" ht="15.75" customHeight="1" x14ac:dyDescent="0.45">
      <c r="C206" s="46" t="s">
        <v>31</v>
      </c>
      <c r="D206" s="79"/>
      <c r="F206" s="47">
        <f t="shared" si="10"/>
        <v>249999999.97330201</v>
      </c>
      <c r="G206" s="47">
        <f t="shared" si="10"/>
        <v>208333334.27829048</v>
      </c>
      <c r="H206" s="47">
        <f t="shared" si="10"/>
        <v>166666667.58153075</v>
      </c>
      <c r="I206" s="47">
        <f t="shared" si="10"/>
        <v>125000000.88291512</v>
      </c>
      <c r="J206" s="56">
        <f t="shared" si="10"/>
        <v>83333334.182328984</v>
      </c>
      <c r="K206" s="56">
        <f t="shared" si="10"/>
        <v>41666666.666666359</v>
      </c>
    </row>
    <row r="207" spans="2:11" ht="15.75" customHeight="1" x14ac:dyDescent="0.45">
      <c r="C207" s="46"/>
      <c r="D207" s="79"/>
      <c r="F207" s="47">
        <f t="shared" si="10"/>
        <v>0</v>
      </c>
      <c r="G207" s="47">
        <f t="shared" si="10"/>
        <v>0</v>
      </c>
      <c r="H207" s="47">
        <f t="shared" si="10"/>
        <v>0</v>
      </c>
      <c r="I207" s="47">
        <f t="shared" si="10"/>
        <v>0</v>
      </c>
      <c r="J207" s="56">
        <f t="shared" si="10"/>
        <v>0</v>
      </c>
      <c r="K207" s="56">
        <f t="shared" si="10"/>
        <v>0</v>
      </c>
    </row>
    <row r="208" spans="2:11" ht="15.75" customHeight="1" x14ac:dyDescent="0.45">
      <c r="C208" s="46"/>
      <c r="D208" s="79"/>
      <c r="F208" s="47">
        <f t="shared" si="10"/>
        <v>0</v>
      </c>
      <c r="G208" s="47">
        <f t="shared" si="10"/>
        <v>0</v>
      </c>
      <c r="H208" s="47">
        <f t="shared" si="10"/>
        <v>0</v>
      </c>
      <c r="I208" s="47">
        <f t="shared" si="10"/>
        <v>0</v>
      </c>
      <c r="J208" s="56">
        <f t="shared" si="10"/>
        <v>0</v>
      </c>
      <c r="K208" s="56">
        <f t="shared" si="10"/>
        <v>0</v>
      </c>
    </row>
    <row r="209" spans="3:11" ht="15.75" customHeight="1" x14ac:dyDescent="0.45">
      <c r="C209" s="46" t="s">
        <v>32</v>
      </c>
      <c r="D209" s="79"/>
      <c r="F209" s="47">
        <f t="shared" si="10"/>
        <v>0</v>
      </c>
      <c r="G209" s="47">
        <f t="shared" si="10"/>
        <v>0</v>
      </c>
      <c r="H209" s="47">
        <f t="shared" si="10"/>
        <v>0</v>
      </c>
      <c r="I209" s="47">
        <f t="shared" si="10"/>
        <v>0</v>
      </c>
      <c r="J209" s="56">
        <f t="shared" si="10"/>
        <v>0</v>
      </c>
      <c r="K209" s="56">
        <f t="shared" si="10"/>
        <v>0</v>
      </c>
    </row>
    <row r="210" spans="3:11" ht="15.75" customHeight="1" x14ac:dyDescent="0.45">
      <c r="C210" s="46" t="s">
        <v>33</v>
      </c>
      <c r="D210" s="79"/>
      <c r="F210" s="47">
        <f t="shared" si="10"/>
        <v>13500000.059273737</v>
      </c>
      <c r="G210" s="47">
        <f t="shared" si="10"/>
        <v>12468750.05762706</v>
      </c>
      <c r="H210" s="47">
        <f t="shared" si="10"/>
        <v>10218750.055878811</v>
      </c>
      <c r="I210" s="47">
        <f t="shared" si="10"/>
        <v>7968750.0540227443</v>
      </c>
      <c r="J210" s="56">
        <f t="shared" si="10"/>
        <v>5718750.0520522045</v>
      </c>
      <c r="K210" s="56">
        <f t="shared" si="10"/>
        <v>3468749.9999999828</v>
      </c>
    </row>
    <row r="211" spans="3:11" ht="18.5" hidden="1" x14ac:dyDescent="0.45">
      <c r="C211" s="46" t="s">
        <v>34</v>
      </c>
      <c r="D211" s="79"/>
      <c r="F211" s="47">
        <f t="shared" si="10"/>
        <v>13500000.059273737</v>
      </c>
      <c r="G211" s="47">
        <f t="shared" si="10"/>
        <v>12468750.05762706</v>
      </c>
      <c r="H211" s="47">
        <f t="shared" si="10"/>
        <v>10218750.055878811</v>
      </c>
      <c r="I211" s="47">
        <f t="shared" si="10"/>
        <v>7968750.0540227443</v>
      </c>
      <c r="J211" s="56">
        <f t="shared" si="10"/>
        <v>5718750.0520522045</v>
      </c>
      <c r="K211" s="56">
        <f t="shared" si="10"/>
        <v>3468750.0499601243</v>
      </c>
    </row>
    <row r="212" spans="3:11" ht="18.5" hidden="1" x14ac:dyDescent="0.45">
      <c r="C212" s="48" t="s">
        <v>35</v>
      </c>
      <c r="D212" s="79"/>
      <c r="F212" s="47">
        <f t="shared" si="10"/>
        <v>13500000.059273737</v>
      </c>
      <c r="G212" s="47">
        <f t="shared" si="10"/>
        <v>12468750.05762706</v>
      </c>
      <c r="H212" s="47">
        <f t="shared" si="10"/>
        <v>10218750.055878811</v>
      </c>
      <c r="I212" s="47">
        <f t="shared" si="10"/>
        <v>7968750.0540227443</v>
      </c>
      <c r="J212" s="57">
        <f t="shared" si="10"/>
        <v>5718750.0520522045</v>
      </c>
      <c r="K212" s="57">
        <f t="shared" si="10"/>
        <v>3468750.0499601243</v>
      </c>
    </row>
    <row r="213" spans="3:11" ht="19" hidden="1" thickBot="1" x14ac:dyDescent="0.5">
      <c r="C213" s="49" t="s">
        <v>28</v>
      </c>
      <c r="D213" s="79"/>
      <c r="F213" s="50">
        <f t="shared" si="10"/>
        <v>0</v>
      </c>
      <c r="G213" s="50">
        <f t="shared" si="10"/>
        <v>0</v>
      </c>
      <c r="H213" s="50">
        <f t="shared" si="10"/>
        <v>0</v>
      </c>
      <c r="I213" s="50">
        <f t="shared" si="10"/>
        <v>0</v>
      </c>
      <c r="J213" s="58">
        <f t="shared" si="10"/>
        <v>0</v>
      </c>
      <c r="K213" s="58">
        <f t="shared" si="10"/>
        <v>0</v>
      </c>
    </row>
    <row r="219" spans="3:11" ht="19" thickBot="1" x14ac:dyDescent="0.5">
      <c r="C219" s="79" t="s">
        <v>41</v>
      </c>
      <c r="G219" s="73">
        <f>F202</f>
        <v>1</v>
      </c>
      <c r="H219" s="73">
        <f t="shared" ref="H219:K219" si="11">G202</f>
        <v>2</v>
      </c>
      <c r="I219" s="73">
        <f t="shared" si="11"/>
        <v>3</v>
      </c>
      <c r="J219" s="73">
        <f t="shared" si="11"/>
        <v>4</v>
      </c>
      <c r="K219" s="73">
        <f t="shared" si="11"/>
        <v>5</v>
      </c>
    </row>
    <row r="220" spans="3:11" ht="15.5" x14ac:dyDescent="0.35">
      <c r="C220" s="43" t="s">
        <v>29</v>
      </c>
      <c r="G220" s="44">
        <f t="shared" ref="G220:K220" si="12">F203</f>
        <v>13500000.085971728</v>
      </c>
      <c r="H220" s="44">
        <f t="shared" si="12"/>
        <v>54135416.752638377</v>
      </c>
      <c r="I220" s="44">
        <f t="shared" si="12"/>
        <v>51885416.752638377</v>
      </c>
      <c r="J220" s="44">
        <f t="shared" si="12"/>
        <v>49635416.75263837</v>
      </c>
      <c r="K220" s="55">
        <f t="shared" si="12"/>
        <v>47385416.752638377</v>
      </c>
    </row>
    <row r="221" spans="3:11" ht="15.5" x14ac:dyDescent="0.35">
      <c r="C221" s="46" t="s">
        <v>43</v>
      </c>
      <c r="G221" s="47">
        <f t="shared" ref="G221:K221" si="13">F204</f>
        <v>250000000</v>
      </c>
      <c r="H221" s="47">
        <f t="shared" si="13"/>
        <v>0</v>
      </c>
      <c r="I221" s="47">
        <f t="shared" si="13"/>
        <v>0</v>
      </c>
      <c r="J221" s="47">
        <f t="shared" si="13"/>
        <v>0</v>
      </c>
      <c r="K221" s="56">
        <f t="shared" si="13"/>
        <v>0</v>
      </c>
    </row>
    <row r="222" spans="3:11" ht="15.5" x14ac:dyDescent="0.35">
      <c r="C222" s="46" t="s">
        <v>30</v>
      </c>
      <c r="G222" s="47">
        <f t="shared" ref="G222:K222" si="14">F205</f>
        <v>2.6697988212901501E-2</v>
      </c>
      <c r="H222" s="47">
        <f t="shared" si="14"/>
        <v>41666666.695011325</v>
      </c>
      <c r="I222" s="47">
        <f t="shared" si="14"/>
        <v>41666666.696759574</v>
      </c>
      <c r="J222" s="47">
        <f t="shared" si="14"/>
        <v>41666666.69861564</v>
      </c>
      <c r="K222" s="56">
        <f t="shared" si="14"/>
        <v>41666666.700586177</v>
      </c>
    </row>
    <row r="223" spans="3:11" ht="15.5" x14ac:dyDescent="0.35">
      <c r="C223" s="46" t="s">
        <v>31</v>
      </c>
      <c r="G223" s="47">
        <f t="shared" ref="G223:K223" si="15">F206</f>
        <v>249999999.97330201</v>
      </c>
      <c r="H223" s="47">
        <f t="shared" si="15"/>
        <v>208333334.27829048</v>
      </c>
      <c r="I223" s="47">
        <f t="shared" si="15"/>
        <v>166666667.58153075</v>
      </c>
      <c r="J223" s="47">
        <f t="shared" si="15"/>
        <v>125000000.88291512</v>
      </c>
      <c r="K223" s="56">
        <f t="shared" si="15"/>
        <v>83333334.182328984</v>
      </c>
    </row>
    <row r="224" spans="3:11" ht="15.5" hidden="1" x14ac:dyDescent="0.35">
      <c r="C224" s="46"/>
      <c r="G224" s="47">
        <f t="shared" ref="G224:K224" si="16">F207</f>
        <v>0</v>
      </c>
      <c r="H224" s="47">
        <f t="shared" si="16"/>
        <v>0</v>
      </c>
      <c r="I224" s="47">
        <f t="shared" si="16"/>
        <v>0</v>
      </c>
      <c r="J224" s="47">
        <f t="shared" si="16"/>
        <v>0</v>
      </c>
      <c r="K224" s="56">
        <f t="shared" si="16"/>
        <v>0</v>
      </c>
    </row>
    <row r="225" spans="3:11" ht="15.5" hidden="1" x14ac:dyDescent="0.35">
      <c r="C225" s="46"/>
      <c r="G225" s="47">
        <f t="shared" ref="G225:K225" si="17">F208</f>
        <v>0</v>
      </c>
      <c r="H225" s="47">
        <f t="shared" si="17"/>
        <v>0</v>
      </c>
      <c r="I225" s="47">
        <f t="shared" si="17"/>
        <v>0</v>
      </c>
      <c r="J225" s="47">
        <f t="shared" si="17"/>
        <v>0</v>
      </c>
      <c r="K225" s="56">
        <f t="shared" si="17"/>
        <v>0</v>
      </c>
    </row>
    <row r="226" spans="3:11" ht="15.5" hidden="1" x14ac:dyDescent="0.35">
      <c r="C226" s="46" t="s">
        <v>32</v>
      </c>
      <c r="G226" s="47">
        <f t="shared" ref="G226:K226" si="18">F209</f>
        <v>0</v>
      </c>
      <c r="H226" s="47">
        <f t="shared" si="18"/>
        <v>0</v>
      </c>
      <c r="I226" s="47">
        <f t="shared" si="18"/>
        <v>0</v>
      </c>
      <c r="J226" s="47">
        <f t="shared" si="18"/>
        <v>0</v>
      </c>
      <c r="K226" s="56">
        <f t="shared" si="18"/>
        <v>0</v>
      </c>
    </row>
    <row r="227" spans="3:11" ht="15.5" x14ac:dyDescent="0.35">
      <c r="C227" s="46" t="s">
        <v>33</v>
      </c>
      <c r="G227" s="47">
        <f t="shared" ref="G227:K227" si="19">F210</f>
        <v>13500000.059273737</v>
      </c>
      <c r="H227" s="47">
        <f t="shared" si="19"/>
        <v>12468750.05762706</v>
      </c>
      <c r="I227" s="47">
        <f t="shared" si="19"/>
        <v>10218750.055878811</v>
      </c>
      <c r="J227" s="47">
        <f t="shared" si="19"/>
        <v>7968750.0540227443</v>
      </c>
      <c r="K227" s="56">
        <f t="shared" si="19"/>
        <v>5718750.0520522045</v>
      </c>
    </row>
    <row r="228" spans="3:11" ht="15.5" hidden="1" x14ac:dyDescent="0.35">
      <c r="C228" s="46" t="s">
        <v>34</v>
      </c>
      <c r="G228" s="47">
        <f t="shared" ref="G228:K228" si="20">F211</f>
        <v>13500000.059273737</v>
      </c>
      <c r="H228" s="47">
        <f t="shared" si="20"/>
        <v>12468750.05762706</v>
      </c>
      <c r="I228" s="47">
        <f t="shared" si="20"/>
        <v>10218750.055878811</v>
      </c>
      <c r="J228" s="47">
        <f t="shared" si="20"/>
        <v>7968750.0540227443</v>
      </c>
      <c r="K228" s="56">
        <f t="shared" si="20"/>
        <v>5718750.0520522045</v>
      </c>
    </row>
    <row r="229" spans="3:11" ht="15.5" hidden="1" x14ac:dyDescent="0.35">
      <c r="C229" s="48" t="s">
        <v>35</v>
      </c>
      <c r="G229" s="47">
        <f t="shared" ref="G229:K229" si="21">F212</f>
        <v>13500000.059273737</v>
      </c>
      <c r="H229" s="47">
        <f t="shared" si="21"/>
        <v>12468750.05762706</v>
      </c>
      <c r="I229" s="47">
        <f t="shared" si="21"/>
        <v>10218750.055878811</v>
      </c>
      <c r="J229" s="47">
        <f t="shared" si="21"/>
        <v>7968750.0540227443</v>
      </c>
      <c r="K229" s="57">
        <f t="shared" si="21"/>
        <v>5718750.0520522045</v>
      </c>
    </row>
    <row r="230" spans="3:11" ht="15" hidden="1" thickBot="1" x14ac:dyDescent="0.4">
      <c r="C230" s="49" t="s">
        <v>28</v>
      </c>
      <c r="G230" s="50">
        <f t="shared" ref="G230:K230" si="22">F213</f>
        <v>0</v>
      </c>
      <c r="H230" s="50">
        <f t="shared" si="22"/>
        <v>0</v>
      </c>
      <c r="I230" s="50">
        <f t="shared" si="22"/>
        <v>0</v>
      </c>
      <c r="J230" s="50">
        <f t="shared" si="22"/>
        <v>0</v>
      </c>
      <c r="K230" s="58">
        <f t="shared" si="22"/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2</vt:i4>
      </vt:variant>
    </vt:vector>
  </HeadingPairs>
  <TitlesOfParts>
    <vt:vector size="9" baseType="lpstr">
      <vt:lpstr>VAN des CAP</vt:lpstr>
      <vt:lpstr>1 CAP</vt:lpstr>
      <vt:lpstr>50 CAP</vt:lpstr>
      <vt:lpstr>PL</vt:lpstr>
      <vt:lpstr>Tréso</vt:lpstr>
      <vt:lpstr>Invest</vt:lpstr>
      <vt:lpstr>Emprunts</vt:lpstr>
      <vt:lpstr>'50 CAP'!Impression_des_titres</vt:lpstr>
      <vt:lpstr>'50 CAP'!Zone_d_impression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Ch. CUSSAC</dc:creator>
  <cp:lastModifiedBy>Christian Chapus</cp:lastModifiedBy>
  <cp:lastPrinted>2025-05-08T08:19:51Z</cp:lastPrinted>
  <dcterms:created xsi:type="dcterms:W3CDTF">2025-04-16T17:22:31Z</dcterms:created>
  <dcterms:modified xsi:type="dcterms:W3CDTF">2025-06-05T05:12:47Z</dcterms:modified>
</cp:coreProperties>
</file>